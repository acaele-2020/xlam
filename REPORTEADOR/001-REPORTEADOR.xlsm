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embeddings/oleObject2.bin" ContentType="application/vnd.openxmlformats-officedocument.oleObject"/>
  <Override PartName="/xl/drawings/drawing4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aele\"/>
    </mc:Choice>
  </mc:AlternateContent>
  <xr:revisionPtr revIDLastSave="0" documentId="13_ncr:1_{B3CFC226-5D99-4182-87B2-CD1C68DC524C}" xr6:coauthVersionLast="47" xr6:coauthVersionMax="47" xr10:uidLastSave="{00000000-0000-0000-0000-000000000000}"/>
  <bookViews>
    <workbookView xWindow="-7128" yWindow="-16308" windowWidth="29016" windowHeight="15696" tabRatio="799" xr2:uid="{00000000-000D-0000-FFFF-FFFF00000000}"/>
  </bookViews>
  <sheets>
    <sheet name="TABLERO" sheetId="2" r:id="rId1"/>
    <sheet name="CUADRO (1)" sheetId="10" state="veryHidden" r:id="rId2"/>
    <sheet name="EJEMPLO" sheetId="16" r:id="rId3"/>
    <sheet name="TAB." sheetId="20" r:id="rId4"/>
    <sheet name="RESUMEN" sheetId="7" r:id="rId5"/>
    <sheet name="CORRIENTES" sheetId="8" r:id="rId6"/>
    <sheet name="AL-TAB" sheetId="21" r:id="rId7"/>
    <sheet name="CONDUCTOR (1)" sheetId="12" r:id="rId8"/>
    <sheet name="CONDUCTOR (2)" sheetId="11" r:id="rId9"/>
    <sheet name="AL-EQ" sheetId="13" r:id="rId10"/>
    <sheet name="EQUIPO" sheetId="17" r:id="rId11"/>
    <sheet name="Icc" sheetId="25" r:id="rId12"/>
  </sheets>
  <functionGroups builtInGroupCount="19"/>
  <definedNames>
    <definedName name="agrupamiento">#REF!</definedName>
    <definedName name="ALUMINIO">#REF!</definedName>
    <definedName name="_xlnm.Print_Area" localSheetId="9">'AL-EQ'!$A$1:$Q$161</definedName>
    <definedName name="_xlnm.Print_Area" localSheetId="6">'AL-TAB'!$A$1:$Q$164</definedName>
    <definedName name="_xlnm.Print_Area" localSheetId="2">EJEMPLO!$A$2:$G$205</definedName>
    <definedName name="_xlnm.Print_Area" localSheetId="10">EQUIPO!$A$1:$G$283</definedName>
    <definedName name="_xlnm.Print_Area" localSheetId="11">Icc!$A$1:$G$82</definedName>
    <definedName name="_xlnm.Print_Area" localSheetId="3">TAB.!$A$1:$G$272</definedName>
    <definedName name="areacond">#REF!</definedName>
    <definedName name="COBRE">#REF!</definedName>
    <definedName name="DERIVADOS">#REF!</definedName>
    <definedName name="DR">#REF!</definedName>
    <definedName name="DUCTO">#REF!</definedName>
    <definedName name="interruptor">#REF!</definedName>
    <definedName name="seccioncobre">#REF!</definedName>
    <definedName name="taluminio">#REF!</definedName>
    <definedName name="tcobre">#REF!</definedName>
    <definedName name="temperatura">#REF!</definedName>
    <definedName name="_xlnm.Print_Titles" localSheetId="4">RESUMEN!$28:$30</definedName>
    <definedName name="TUB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1" i="17" l="1"/>
  <c r="F280" i="17"/>
  <c r="A283" i="17"/>
  <c r="A212" i="17"/>
  <c r="G246" i="17"/>
  <c r="B144" i="13"/>
  <c r="B127" i="13"/>
  <c r="F230" i="17"/>
  <c r="F210" i="20"/>
  <c r="A264" i="17"/>
  <c r="A263" i="17"/>
  <c r="A215" i="17"/>
  <c r="A214" i="17"/>
  <c r="A77" i="17"/>
  <c r="B60" i="17"/>
  <c r="B59" i="17"/>
  <c r="A194" i="16"/>
  <c r="F181" i="16" l="1"/>
  <c r="F179" i="16"/>
  <c r="F178" i="16"/>
  <c r="A126" i="16"/>
  <c r="A264" i="20"/>
  <c r="A130" i="16" a="1"/>
  <c r="A186" i="16" a="1"/>
  <c r="A130" i="16" l="1"/>
  <c r="A186" i="16"/>
  <c r="D266" i="20"/>
  <c r="G237" i="20"/>
  <c r="A269" i="20"/>
  <c r="E269" i="20"/>
  <c r="F267" i="20"/>
  <c r="F266" i="20"/>
  <c r="A257" i="20"/>
  <c r="F238" i="20"/>
  <c r="F235" i="20"/>
  <c r="F234" i="20"/>
  <c r="F233" i="20"/>
  <c r="A22" i="20"/>
  <c r="C129" i="7"/>
  <c r="E129" i="7"/>
  <c r="D129" i="7"/>
  <c r="L129" i="7"/>
  <c r="K129" i="7"/>
  <c r="J129" i="7"/>
  <c r="I129" i="7"/>
  <c r="H129" i="7"/>
  <c r="G129" i="7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F129" i="7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H128" i="7"/>
  <c r="H126" i="7"/>
  <c r="H124" i="7"/>
  <c r="H122" i="7"/>
  <c r="H120" i="7"/>
  <c r="H118" i="7"/>
  <c r="H116" i="7"/>
  <c r="E128" i="7"/>
  <c r="E126" i="7"/>
  <c r="E124" i="7"/>
  <c r="E122" i="7"/>
  <c r="E120" i="7"/>
  <c r="E118" i="7"/>
  <c r="E116" i="7"/>
  <c r="D128" i="7"/>
  <c r="D126" i="7"/>
  <c r="D124" i="7"/>
  <c r="D122" i="7"/>
  <c r="D120" i="7"/>
  <c r="D118" i="7"/>
  <c r="D116" i="7"/>
  <c r="C128" i="7"/>
  <c r="C126" i="7"/>
  <c r="C124" i="7"/>
  <c r="C122" i="7"/>
  <c r="C120" i="7"/>
  <c r="C118" i="7"/>
  <c r="C116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F128" i="7"/>
  <c r="F126" i="7"/>
  <c r="F124" i="7"/>
  <c r="F122" i="7"/>
  <c r="F120" i="7"/>
  <c r="F118" i="7"/>
  <c r="F116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A26" i="25" l="1"/>
  <c r="C35" i="25"/>
  <c r="C37" i="25"/>
  <c r="E44" i="25"/>
  <c r="E45" i="25"/>
  <c r="E46" i="25"/>
  <c r="E57" i="25"/>
  <c r="E73" i="25"/>
  <c r="A18" i="17"/>
  <c r="A19" i="17"/>
  <c r="A21" i="17"/>
  <c r="A22" i="17"/>
  <c r="C31" i="17"/>
  <c r="B33" i="17"/>
  <c r="C33" i="17"/>
  <c r="B45" i="17"/>
  <c r="B46" i="17"/>
  <c r="C46" i="17"/>
  <c r="D46" i="17"/>
  <c r="F46" i="17"/>
  <c r="G46" i="17"/>
  <c r="B47" i="17"/>
  <c r="C47" i="17"/>
  <c r="D47" i="17"/>
  <c r="F47" i="17"/>
  <c r="G47" i="17"/>
  <c r="B48" i="17"/>
  <c r="C48" i="17"/>
  <c r="D48" i="17"/>
  <c r="F48" i="17"/>
  <c r="G48" i="17"/>
  <c r="E107" i="17"/>
  <c r="E114" i="17"/>
  <c r="E115" i="17"/>
  <c r="B273" i="17" s="1"/>
  <c r="E116" i="17"/>
  <c r="E117" i="17"/>
  <c r="E119" i="17"/>
  <c r="E121" i="17"/>
  <c r="E124" i="17"/>
  <c r="B197" i="17" s="1"/>
  <c r="E125" i="17"/>
  <c r="B195" i="17"/>
  <c r="B194" i="17" s="1"/>
  <c r="B196" i="17" s="1"/>
  <c r="E126" i="17"/>
  <c r="F126" i="17"/>
  <c r="G126" i="17"/>
  <c r="D143" i="17"/>
  <c r="F143" i="17"/>
  <c r="D144" i="17"/>
  <c r="F144" i="17"/>
  <c r="D145" i="17"/>
  <c r="F145" i="17"/>
  <c r="D146" i="17"/>
  <c r="F146" i="17"/>
  <c r="D147" i="17"/>
  <c r="F147" i="17"/>
  <c r="E148" i="17"/>
  <c r="D163" i="17"/>
  <c r="D164" i="17"/>
  <c r="C166" i="17"/>
  <c r="E179" i="17" s="1"/>
  <c r="C177" i="17"/>
  <c r="D251" i="17" s="1"/>
  <c r="D177" i="17"/>
  <c r="E251" i="17" s="1"/>
  <c r="C179" i="17"/>
  <c r="B190" i="17"/>
  <c r="D255" i="17" s="1"/>
  <c r="B191" i="17"/>
  <c r="C280" i="17"/>
  <c r="C191" i="17"/>
  <c r="E252" i="17" s="1"/>
  <c r="F191" i="17"/>
  <c r="B192" i="17"/>
  <c r="B193" i="17"/>
  <c r="C200" i="17"/>
  <c r="D207" i="17"/>
  <c r="C216" i="17"/>
  <c r="E263" i="17"/>
  <c r="F263" i="17"/>
  <c r="A266" i="17"/>
  <c r="C266" i="17"/>
  <c r="A268" i="17"/>
  <c r="C268" i="17"/>
  <c r="D268" i="17"/>
  <c r="D273" i="17"/>
  <c r="C281" i="17"/>
  <c r="A282" i="17"/>
  <c r="A281" i="17" s="1"/>
  <c r="C282" i="17"/>
  <c r="A15" i="13"/>
  <c r="M19" i="13"/>
  <c r="L20" i="13"/>
  <c r="M20" i="13"/>
  <c r="M21" i="13"/>
  <c r="M22" i="13"/>
  <c r="M23" i="13"/>
  <c r="M24" i="13"/>
  <c r="M25" i="13"/>
  <c r="E26" i="13"/>
  <c r="G26" i="13"/>
  <c r="E27" i="13"/>
  <c r="M27" i="13"/>
  <c r="D28" i="13"/>
  <c r="I28" i="13"/>
  <c r="D31" i="13"/>
  <c r="E31" i="13"/>
  <c r="F31" i="13"/>
  <c r="G31" i="13"/>
  <c r="G116" i="13" s="1"/>
  <c r="G118" i="13" s="1"/>
  <c r="H31" i="13"/>
  <c r="I31" i="13"/>
  <c r="J31" i="13"/>
  <c r="K31" i="13"/>
  <c r="L31" i="13"/>
  <c r="M31" i="13"/>
  <c r="N31" i="13"/>
  <c r="O31" i="13"/>
  <c r="P31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D33" i="13"/>
  <c r="E33" i="13"/>
  <c r="E116" i="13" s="1"/>
  <c r="E118" i="13" s="1"/>
  <c r="F33" i="13"/>
  <c r="G33" i="13"/>
  <c r="H33" i="13"/>
  <c r="I33" i="13"/>
  <c r="J33" i="13"/>
  <c r="K33" i="13"/>
  <c r="L33" i="13"/>
  <c r="M33" i="13"/>
  <c r="M116" i="13" s="1"/>
  <c r="M118" i="13" s="1"/>
  <c r="N33" i="13"/>
  <c r="O33" i="13"/>
  <c r="P33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D86" i="13"/>
  <c r="E86" i="13"/>
  <c r="F86" i="13"/>
  <c r="G86" i="13"/>
  <c r="H86" i="13"/>
  <c r="H116" i="13" s="1"/>
  <c r="H118" i="13" s="1"/>
  <c r="I86" i="13"/>
  <c r="J86" i="13"/>
  <c r="K86" i="13"/>
  <c r="L86" i="13"/>
  <c r="M86" i="13"/>
  <c r="N86" i="13"/>
  <c r="O86" i="13"/>
  <c r="P86" i="13"/>
  <c r="Q86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D101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D102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D103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D104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D105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D106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D107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D108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D117" i="13"/>
  <c r="E117" i="13"/>
  <c r="F117" i="13"/>
  <c r="G117" i="13"/>
  <c r="H117" i="13"/>
  <c r="I117" i="13"/>
  <c r="J117" i="13"/>
  <c r="K117" i="13"/>
  <c r="L117" i="13"/>
  <c r="M117" i="13"/>
  <c r="N117" i="13"/>
  <c r="Q117" i="13"/>
  <c r="H121" i="13"/>
  <c r="A134" i="17"/>
  <c r="H131" i="13"/>
  <c r="E111" i="20"/>
  <c r="H132" i="13"/>
  <c r="E112" i="20"/>
  <c r="H140" i="13"/>
  <c r="E150" i="17"/>
  <c r="A153" i="17"/>
  <c r="B146" i="13"/>
  <c r="C146" i="13"/>
  <c r="B147" i="13"/>
  <c r="A155" i="17" s="1"/>
  <c r="I147" i="13"/>
  <c r="F155" i="17" s="1"/>
  <c r="G149" i="13"/>
  <c r="A157" i="17" s="1"/>
  <c r="H149" i="13"/>
  <c r="E157" i="17" s="1"/>
  <c r="I149" i="13"/>
  <c r="F157" i="17" s="1"/>
  <c r="G150" i="13"/>
  <c r="D264" i="17"/>
  <c r="I150" i="13"/>
  <c r="F264" i="17"/>
  <c r="G151" i="13"/>
  <c r="D265" i="17"/>
  <c r="A158" i="17"/>
  <c r="I151" i="13"/>
  <c r="F158" i="17" s="1"/>
  <c r="F265" i="17"/>
  <c r="G152" i="13"/>
  <c r="D266" i="17"/>
  <c r="I152" i="13"/>
  <c r="F266" i="17"/>
  <c r="G153" i="13"/>
  <c r="D267" i="17"/>
  <c r="I153" i="13"/>
  <c r="F267" i="17"/>
  <c r="H154" i="13"/>
  <c r="G155" i="13"/>
  <c r="D269" i="17"/>
  <c r="I155" i="13"/>
  <c r="F269" i="17"/>
  <c r="B156" i="13"/>
  <c r="G156" i="13"/>
  <c r="D270" i="17"/>
  <c r="H156" i="13"/>
  <c r="E270" i="17"/>
  <c r="B157" i="13"/>
  <c r="G157" i="13"/>
  <c r="D271" i="17"/>
  <c r="H157" i="13"/>
  <c r="E271" i="17"/>
  <c r="I157" i="13"/>
  <c r="F271" i="17"/>
  <c r="G158" i="13"/>
  <c r="D272" i="17"/>
  <c r="I158" i="13"/>
  <c r="F272" i="17"/>
  <c r="G160" i="13"/>
  <c r="H160" i="13"/>
  <c r="I160" i="13"/>
  <c r="E26" i="11"/>
  <c r="D31" i="11"/>
  <c r="I31" i="11" s="1"/>
  <c r="F31" i="11"/>
  <c r="R31" i="11"/>
  <c r="D32" i="11"/>
  <c r="H32" i="11" s="1"/>
  <c r="F32" i="11"/>
  <c r="R32" i="11"/>
  <c r="D33" i="11"/>
  <c r="E33" i="11" s="1"/>
  <c r="F33" i="11"/>
  <c r="R33" i="11"/>
  <c r="D34" i="11"/>
  <c r="J34" i="11" s="1"/>
  <c r="F34" i="11"/>
  <c r="R34" i="11"/>
  <c r="D35" i="11"/>
  <c r="F35" i="11"/>
  <c r="R35" i="11"/>
  <c r="D36" i="11"/>
  <c r="C36" i="11"/>
  <c r="F36" i="11"/>
  <c r="R36" i="11"/>
  <c r="D37" i="11"/>
  <c r="E37" i="11"/>
  <c r="F37" i="11"/>
  <c r="R37" i="11"/>
  <c r="D38" i="11"/>
  <c r="J38" i="11"/>
  <c r="F38" i="11"/>
  <c r="R38" i="11"/>
  <c r="D39" i="11"/>
  <c r="H39" i="11"/>
  <c r="F39" i="11"/>
  <c r="R39" i="11"/>
  <c r="D40" i="11"/>
  <c r="F40" i="11"/>
  <c r="R40" i="11"/>
  <c r="D41" i="11"/>
  <c r="E41" i="11"/>
  <c r="F41" i="11"/>
  <c r="R41" i="11"/>
  <c r="D42" i="11"/>
  <c r="P42" i="11" s="1"/>
  <c r="F42" i="11"/>
  <c r="R42" i="11"/>
  <c r="D43" i="11"/>
  <c r="Q43" i="11"/>
  <c r="F43" i="11"/>
  <c r="R43" i="11"/>
  <c r="D44" i="11"/>
  <c r="H44" i="11" s="1"/>
  <c r="F44" i="11"/>
  <c r="R44" i="11"/>
  <c r="D45" i="11"/>
  <c r="F45" i="11"/>
  <c r="R45" i="11"/>
  <c r="D46" i="11"/>
  <c r="B46" i="11"/>
  <c r="F46" i="11"/>
  <c r="R46" i="11"/>
  <c r="D47" i="11"/>
  <c r="Q47" i="11"/>
  <c r="F47" i="11"/>
  <c r="R47" i="11"/>
  <c r="D48" i="11"/>
  <c r="L48" i="11"/>
  <c r="F48" i="11"/>
  <c r="R48" i="11"/>
  <c r="D49" i="11"/>
  <c r="E49" i="11"/>
  <c r="F49" i="11"/>
  <c r="R49" i="11"/>
  <c r="D50" i="11"/>
  <c r="P50" i="11"/>
  <c r="F50" i="11"/>
  <c r="R50" i="11"/>
  <c r="D51" i="11"/>
  <c r="E51" i="11"/>
  <c r="F51" i="11"/>
  <c r="R51" i="11"/>
  <c r="D52" i="11"/>
  <c r="Q52" i="11"/>
  <c r="F52" i="11"/>
  <c r="R52" i="11"/>
  <c r="D53" i="11"/>
  <c r="M53" i="11"/>
  <c r="F53" i="11"/>
  <c r="R53" i="11"/>
  <c r="D54" i="11"/>
  <c r="P54" i="11"/>
  <c r="F54" i="11"/>
  <c r="R54" i="11"/>
  <c r="D55" i="11"/>
  <c r="E55" i="11"/>
  <c r="F55" i="11"/>
  <c r="R55" i="11"/>
  <c r="D56" i="11"/>
  <c r="E56" i="11"/>
  <c r="F56" i="11"/>
  <c r="R56" i="11"/>
  <c r="D57" i="11"/>
  <c r="H57" i="11"/>
  <c r="F57" i="11"/>
  <c r="R57" i="11"/>
  <c r="D58" i="11"/>
  <c r="E58" i="11"/>
  <c r="F58" i="11"/>
  <c r="R58" i="11"/>
  <c r="D59" i="11"/>
  <c r="Q59" i="11"/>
  <c r="F59" i="11"/>
  <c r="R59" i="11"/>
  <c r="D60" i="11"/>
  <c r="E60" i="11"/>
  <c r="F60" i="11"/>
  <c r="R60" i="11"/>
  <c r="D61" i="11"/>
  <c r="E61" i="11"/>
  <c r="F61" i="11"/>
  <c r="R61" i="11"/>
  <c r="D62" i="11"/>
  <c r="E62" i="11"/>
  <c r="F62" i="11"/>
  <c r="R62" i="11"/>
  <c r="D63" i="11"/>
  <c r="P63" i="11"/>
  <c r="F63" i="11"/>
  <c r="R63" i="11"/>
  <c r="D64" i="11"/>
  <c r="G64" i="11"/>
  <c r="F64" i="11"/>
  <c r="R64" i="11"/>
  <c r="D65" i="11"/>
  <c r="F65" i="11"/>
  <c r="R65" i="11"/>
  <c r="D66" i="11"/>
  <c r="I66" i="11" s="1"/>
  <c r="F66" i="11"/>
  <c r="R66" i="11"/>
  <c r="D67" i="11"/>
  <c r="E67" i="11" s="1"/>
  <c r="F67" i="11"/>
  <c r="R67" i="11"/>
  <c r="D68" i="11"/>
  <c r="J68" i="11" s="1"/>
  <c r="F68" i="11"/>
  <c r="R68" i="11"/>
  <c r="D69" i="11"/>
  <c r="L69" i="11" s="1"/>
  <c r="F69" i="11"/>
  <c r="R69" i="11"/>
  <c r="D70" i="11"/>
  <c r="E70" i="11" s="1"/>
  <c r="F70" i="11"/>
  <c r="R70" i="11"/>
  <c r="D71" i="11"/>
  <c r="H71" i="11" s="1"/>
  <c r="F71" i="11"/>
  <c r="R71" i="11"/>
  <c r="D72" i="11"/>
  <c r="C72" i="11" s="1"/>
  <c r="F72" i="11"/>
  <c r="N72" i="11"/>
  <c r="R72" i="11"/>
  <c r="D73" i="11"/>
  <c r="H73" i="11"/>
  <c r="F73" i="11"/>
  <c r="N73" i="11"/>
  <c r="R73" i="11"/>
  <c r="D74" i="11"/>
  <c r="B74" i="11" s="1"/>
  <c r="F74" i="11"/>
  <c r="N74" i="11"/>
  <c r="R74" i="11"/>
  <c r="D75" i="11"/>
  <c r="M75" i="11"/>
  <c r="F75" i="11"/>
  <c r="N75" i="11"/>
  <c r="R75" i="11"/>
  <c r="D76" i="11"/>
  <c r="M76" i="11" s="1"/>
  <c r="F76" i="11"/>
  <c r="N76" i="11"/>
  <c r="R76" i="11"/>
  <c r="D77" i="11"/>
  <c r="Q77" i="11"/>
  <c r="F77" i="11"/>
  <c r="N77" i="11"/>
  <c r="R77" i="11"/>
  <c r="D78" i="11"/>
  <c r="G78" i="11"/>
  <c r="F78" i="11"/>
  <c r="N78" i="11"/>
  <c r="R78" i="11"/>
  <c r="D79" i="11"/>
  <c r="P79" i="11"/>
  <c r="F79" i="11"/>
  <c r="N79" i="11"/>
  <c r="R79" i="11"/>
  <c r="D80" i="11"/>
  <c r="H80" i="11" s="1"/>
  <c r="F80" i="11"/>
  <c r="N80" i="11"/>
  <c r="R80" i="11"/>
  <c r="D81" i="11"/>
  <c r="P81" i="11"/>
  <c r="F81" i="11"/>
  <c r="N81" i="11"/>
  <c r="R81" i="11"/>
  <c r="D82" i="11"/>
  <c r="O82" i="11" s="1"/>
  <c r="F82" i="11"/>
  <c r="N82" i="11"/>
  <c r="R82" i="11"/>
  <c r="D83" i="11"/>
  <c r="H83" i="11"/>
  <c r="F83" i="11"/>
  <c r="N83" i="11"/>
  <c r="R83" i="11"/>
  <c r="D84" i="11"/>
  <c r="G84" i="11" s="1"/>
  <c r="F84" i="11"/>
  <c r="N84" i="11"/>
  <c r="R84" i="11"/>
  <c r="D85" i="11"/>
  <c r="H85" i="11"/>
  <c r="F85" i="11"/>
  <c r="N85" i="11"/>
  <c r="R85" i="11"/>
  <c r="D86" i="11"/>
  <c r="E86" i="11"/>
  <c r="F86" i="11"/>
  <c r="N86" i="11"/>
  <c r="R86" i="11"/>
  <c r="D87" i="11"/>
  <c r="O87" i="11"/>
  <c r="F87" i="11"/>
  <c r="N87" i="11"/>
  <c r="R87" i="11"/>
  <c r="D88" i="11"/>
  <c r="M88" i="11" s="1"/>
  <c r="F88" i="11"/>
  <c r="N88" i="11"/>
  <c r="R88" i="11"/>
  <c r="D89" i="11"/>
  <c r="M89" i="11"/>
  <c r="F89" i="11"/>
  <c r="N89" i="11"/>
  <c r="R89" i="11"/>
  <c r="D90" i="11"/>
  <c r="L90" i="11" s="1"/>
  <c r="F90" i="11"/>
  <c r="N90" i="11"/>
  <c r="R90" i="11"/>
  <c r="D91" i="11"/>
  <c r="E91" i="11"/>
  <c r="F91" i="11"/>
  <c r="N91" i="11"/>
  <c r="R91" i="11"/>
  <c r="D92" i="11"/>
  <c r="B92" i="11" s="1"/>
  <c r="F92" i="11"/>
  <c r="N92" i="11"/>
  <c r="R92" i="11"/>
  <c r="D93" i="11"/>
  <c r="O93" i="11"/>
  <c r="F93" i="11"/>
  <c r="N93" i="11"/>
  <c r="R93" i="11"/>
  <c r="D94" i="11"/>
  <c r="E94" i="11"/>
  <c r="F94" i="11"/>
  <c r="N94" i="11"/>
  <c r="R94" i="11"/>
  <c r="D95" i="11"/>
  <c r="H95" i="11"/>
  <c r="F95" i="11"/>
  <c r="N95" i="11"/>
  <c r="R95" i="11"/>
  <c r="D96" i="11"/>
  <c r="M96" i="11" s="1"/>
  <c r="F96" i="11"/>
  <c r="N96" i="11"/>
  <c r="R96" i="11"/>
  <c r="D97" i="11"/>
  <c r="K97" i="11"/>
  <c r="F97" i="11"/>
  <c r="N97" i="11"/>
  <c r="R97" i="11"/>
  <c r="D98" i="11"/>
  <c r="M98" i="11" s="1"/>
  <c r="F98" i="11"/>
  <c r="N98" i="11"/>
  <c r="R98" i="11"/>
  <c r="D99" i="11"/>
  <c r="E99" i="11"/>
  <c r="F99" i="11"/>
  <c r="N99" i="11"/>
  <c r="R99" i="11"/>
  <c r="D100" i="11"/>
  <c r="F100" i="11"/>
  <c r="N100" i="11"/>
  <c r="R100" i="11"/>
  <c r="D101" i="11"/>
  <c r="Q101" i="11" s="1"/>
  <c r="F101" i="11"/>
  <c r="N101" i="11"/>
  <c r="R101" i="11"/>
  <c r="D102" i="11"/>
  <c r="B102" i="11"/>
  <c r="F102" i="11"/>
  <c r="N102" i="11"/>
  <c r="R102" i="11"/>
  <c r="D103" i="11"/>
  <c r="E103" i="11" s="1"/>
  <c r="F103" i="11"/>
  <c r="N103" i="11"/>
  <c r="R103" i="11"/>
  <c r="D104" i="11"/>
  <c r="B104" i="11"/>
  <c r="F104" i="11"/>
  <c r="N104" i="11"/>
  <c r="R104" i="11"/>
  <c r="D105" i="11"/>
  <c r="K105" i="11" s="1"/>
  <c r="F105" i="11"/>
  <c r="N105" i="11"/>
  <c r="R105" i="11"/>
  <c r="D106" i="11"/>
  <c r="I106" i="11"/>
  <c r="F106" i="11"/>
  <c r="N106" i="11"/>
  <c r="R106" i="11"/>
  <c r="D107" i="11"/>
  <c r="E107" i="11"/>
  <c r="F107" i="11"/>
  <c r="N107" i="11"/>
  <c r="R107" i="11"/>
  <c r="D108" i="11"/>
  <c r="L108" i="11"/>
  <c r="F108" i="11"/>
  <c r="N108" i="11"/>
  <c r="R108" i="11"/>
  <c r="D109" i="11"/>
  <c r="K109" i="11" s="1"/>
  <c r="F109" i="11"/>
  <c r="N109" i="11"/>
  <c r="R109" i="11"/>
  <c r="D110" i="11"/>
  <c r="L110" i="11"/>
  <c r="F110" i="11"/>
  <c r="N110" i="11"/>
  <c r="R110" i="11"/>
  <c r="D111" i="11"/>
  <c r="I111" i="11" s="1"/>
  <c r="F111" i="11"/>
  <c r="N111" i="11"/>
  <c r="R111" i="11"/>
  <c r="D112" i="11"/>
  <c r="Q112" i="11"/>
  <c r="F112" i="11"/>
  <c r="N112" i="11"/>
  <c r="R112" i="11"/>
  <c r="D113" i="11"/>
  <c r="L113" i="11" s="1"/>
  <c r="F113" i="11"/>
  <c r="N113" i="11"/>
  <c r="R113" i="11"/>
  <c r="D114" i="11"/>
  <c r="L114" i="11"/>
  <c r="F114" i="11"/>
  <c r="N114" i="11"/>
  <c r="R114" i="11"/>
  <c r="B116" i="11"/>
  <c r="C116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B118" i="11"/>
  <c r="C118" i="11"/>
  <c r="D118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B120" i="11"/>
  <c r="C120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B122" i="11"/>
  <c r="C122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B124" i="11"/>
  <c r="C124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B126" i="11"/>
  <c r="C126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B128" i="11"/>
  <c r="C128" i="11"/>
  <c r="D128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E25" i="12"/>
  <c r="F31" i="12"/>
  <c r="G31" i="12"/>
  <c r="H31" i="12"/>
  <c r="I31" i="12"/>
  <c r="J31" i="12"/>
  <c r="K31" i="12"/>
  <c r="L31" i="12"/>
  <c r="M31" i="12"/>
  <c r="N31" i="12"/>
  <c r="O31" i="12"/>
  <c r="P31" i="12"/>
  <c r="R31" i="12"/>
  <c r="F32" i="12"/>
  <c r="B32" i="12"/>
  <c r="G32" i="12"/>
  <c r="H32" i="12"/>
  <c r="I32" i="12"/>
  <c r="J32" i="12"/>
  <c r="K32" i="12"/>
  <c r="L32" i="12"/>
  <c r="M32" i="12"/>
  <c r="N32" i="12"/>
  <c r="O32" i="12"/>
  <c r="P32" i="12"/>
  <c r="R32" i="12"/>
  <c r="F33" i="12"/>
  <c r="G33" i="12"/>
  <c r="H33" i="12"/>
  <c r="I33" i="12"/>
  <c r="J33" i="12"/>
  <c r="K33" i="12"/>
  <c r="L33" i="12"/>
  <c r="M33" i="12"/>
  <c r="N33" i="12"/>
  <c r="O33" i="12"/>
  <c r="P33" i="12"/>
  <c r="R33" i="12"/>
  <c r="F34" i="12"/>
  <c r="D34" i="12" s="1"/>
  <c r="G34" i="12"/>
  <c r="H34" i="12"/>
  <c r="I34" i="12"/>
  <c r="J34" i="12"/>
  <c r="K34" i="12"/>
  <c r="L34" i="12"/>
  <c r="M34" i="12"/>
  <c r="N34" i="12"/>
  <c r="O34" i="12"/>
  <c r="P34" i="12"/>
  <c r="R34" i="12"/>
  <c r="F35" i="12"/>
  <c r="D35" i="12"/>
  <c r="G35" i="12"/>
  <c r="H35" i="12"/>
  <c r="I35" i="12"/>
  <c r="J35" i="12"/>
  <c r="K35" i="12"/>
  <c r="L35" i="12"/>
  <c r="M35" i="12"/>
  <c r="N35" i="12"/>
  <c r="O35" i="12"/>
  <c r="P35" i="12"/>
  <c r="R35" i="12"/>
  <c r="F36" i="12"/>
  <c r="G36" i="12"/>
  <c r="H36" i="12"/>
  <c r="I36" i="12"/>
  <c r="J36" i="12"/>
  <c r="K36" i="12"/>
  <c r="L36" i="12"/>
  <c r="M36" i="12"/>
  <c r="N36" i="12"/>
  <c r="O36" i="12"/>
  <c r="P36" i="12"/>
  <c r="R36" i="12"/>
  <c r="F37" i="12"/>
  <c r="E37" i="12" s="1"/>
  <c r="G37" i="12"/>
  <c r="H37" i="12"/>
  <c r="I37" i="12"/>
  <c r="J37" i="12"/>
  <c r="K37" i="12"/>
  <c r="L37" i="12"/>
  <c r="M37" i="12"/>
  <c r="N37" i="12"/>
  <c r="O37" i="12"/>
  <c r="P37" i="12"/>
  <c r="R37" i="12"/>
  <c r="F38" i="12"/>
  <c r="C38" i="12"/>
  <c r="G38" i="12"/>
  <c r="H38" i="12"/>
  <c r="I38" i="12"/>
  <c r="J38" i="12"/>
  <c r="K38" i="12"/>
  <c r="L38" i="12"/>
  <c r="M38" i="12"/>
  <c r="N38" i="12"/>
  <c r="O38" i="12"/>
  <c r="P38" i="12"/>
  <c r="R38" i="12"/>
  <c r="F39" i="12"/>
  <c r="E39" i="12" s="1"/>
  <c r="G39" i="12"/>
  <c r="H39" i="12"/>
  <c r="I39" i="12"/>
  <c r="J39" i="12"/>
  <c r="K39" i="12"/>
  <c r="L39" i="12"/>
  <c r="M39" i="12"/>
  <c r="N39" i="12"/>
  <c r="O39" i="12"/>
  <c r="P39" i="12"/>
  <c r="R39" i="12"/>
  <c r="F40" i="12"/>
  <c r="C40" i="12"/>
  <c r="G40" i="12"/>
  <c r="H40" i="12"/>
  <c r="I40" i="12"/>
  <c r="J40" i="12"/>
  <c r="K40" i="12"/>
  <c r="L40" i="12"/>
  <c r="M40" i="12"/>
  <c r="N40" i="12"/>
  <c r="O40" i="12"/>
  <c r="P40" i="12"/>
  <c r="R40" i="12"/>
  <c r="F41" i="12"/>
  <c r="E41" i="12"/>
  <c r="G41" i="12"/>
  <c r="H41" i="12"/>
  <c r="I41" i="12"/>
  <c r="J41" i="12"/>
  <c r="K41" i="12"/>
  <c r="L41" i="12"/>
  <c r="M41" i="12"/>
  <c r="N41" i="12"/>
  <c r="O41" i="12"/>
  <c r="P41" i="12"/>
  <c r="R41" i="12"/>
  <c r="F42" i="12"/>
  <c r="G42" i="12"/>
  <c r="H42" i="12"/>
  <c r="I42" i="12"/>
  <c r="J42" i="12"/>
  <c r="K42" i="12"/>
  <c r="L42" i="12"/>
  <c r="M42" i="12"/>
  <c r="N42" i="12"/>
  <c r="O42" i="12"/>
  <c r="P42" i="12"/>
  <c r="R42" i="12"/>
  <c r="F43" i="12"/>
  <c r="D43" i="12"/>
  <c r="G43" i="12"/>
  <c r="H43" i="12"/>
  <c r="I43" i="12"/>
  <c r="J43" i="12"/>
  <c r="K43" i="12"/>
  <c r="L43" i="12"/>
  <c r="M43" i="12"/>
  <c r="N43" i="12"/>
  <c r="O43" i="12"/>
  <c r="P43" i="12"/>
  <c r="R43" i="12"/>
  <c r="F44" i="12"/>
  <c r="B44" i="12" s="1"/>
  <c r="G44" i="12"/>
  <c r="H44" i="12"/>
  <c r="I44" i="12"/>
  <c r="J44" i="12"/>
  <c r="K44" i="12"/>
  <c r="L44" i="12"/>
  <c r="M44" i="12"/>
  <c r="N44" i="12"/>
  <c r="O44" i="12"/>
  <c r="P44" i="12"/>
  <c r="R44" i="12"/>
  <c r="F45" i="12"/>
  <c r="E45" i="12"/>
  <c r="G45" i="12"/>
  <c r="H45" i="12"/>
  <c r="I45" i="12"/>
  <c r="J45" i="12"/>
  <c r="K45" i="12"/>
  <c r="L45" i="12"/>
  <c r="M45" i="12"/>
  <c r="N45" i="12"/>
  <c r="O45" i="12"/>
  <c r="P45" i="12"/>
  <c r="R45" i="12"/>
  <c r="F46" i="12"/>
  <c r="D46" i="12"/>
  <c r="G46" i="12"/>
  <c r="H46" i="12"/>
  <c r="I46" i="12"/>
  <c r="J46" i="12"/>
  <c r="K46" i="12"/>
  <c r="L46" i="12"/>
  <c r="M46" i="12"/>
  <c r="N46" i="12"/>
  <c r="O46" i="12"/>
  <c r="P46" i="12"/>
  <c r="R46" i="12"/>
  <c r="F47" i="12"/>
  <c r="E47" i="12"/>
  <c r="G47" i="12"/>
  <c r="H47" i="12"/>
  <c r="I47" i="12"/>
  <c r="J47" i="12"/>
  <c r="K47" i="12"/>
  <c r="L47" i="12"/>
  <c r="M47" i="12"/>
  <c r="N47" i="12"/>
  <c r="O47" i="12"/>
  <c r="P47" i="12"/>
  <c r="R47" i="12"/>
  <c r="F48" i="12"/>
  <c r="B48" i="12" s="1"/>
  <c r="G48" i="12"/>
  <c r="H48" i="12"/>
  <c r="I48" i="12"/>
  <c r="J48" i="12"/>
  <c r="K48" i="12"/>
  <c r="L48" i="12"/>
  <c r="M48" i="12"/>
  <c r="N48" i="12"/>
  <c r="O48" i="12"/>
  <c r="P48" i="12"/>
  <c r="R48" i="12"/>
  <c r="F49" i="12"/>
  <c r="E49" i="12"/>
  <c r="G49" i="12"/>
  <c r="H49" i="12"/>
  <c r="I49" i="12"/>
  <c r="J49" i="12"/>
  <c r="K49" i="12"/>
  <c r="L49" i="12"/>
  <c r="M49" i="12"/>
  <c r="N49" i="12"/>
  <c r="O49" i="12"/>
  <c r="P49" i="12"/>
  <c r="R49" i="12"/>
  <c r="F50" i="12"/>
  <c r="D50" i="12" s="1"/>
  <c r="G50" i="12"/>
  <c r="H50" i="12"/>
  <c r="I50" i="12"/>
  <c r="J50" i="12"/>
  <c r="K50" i="12"/>
  <c r="L50" i="12"/>
  <c r="M50" i="12"/>
  <c r="N50" i="12"/>
  <c r="O50" i="12"/>
  <c r="P50" i="12"/>
  <c r="R50" i="12"/>
  <c r="F51" i="12"/>
  <c r="D51" i="12"/>
  <c r="G51" i="12"/>
  <c r="H51" i="12"/>
  <c r="I51" i="12"/>
  <c r="J51" i="12"/>
  <c r="K51" i="12"/>
  <c r="L51" i="12"/>
  <c r="M51" i="12"/>
  <c r="N51" i="12"/>
  <c r="O51" i="12"/>
  <c r="P51" i="12"/>
  <c r="R51" i="12"/>
  <c r="F52" i="12"/>
  <c r="E52" i="12" s="1"/>
  <c r="G52" i="12"/>
  <c r="H52" i="12"/>
  <c r="I52" i="12"/>
  <c r="J52" i="12"/>
  <c r="K52" i="12"/>
  <c r="L52" i="12"/>
  <c r="M52" i="12"/>
  <c r="N52" i="12"/>
  <c r="O52" i="12"/>
  <c r="P52" i="12"/>
  <c r="R52" i="12"/>
  <c r="F53" i="12"/>
  <c r="G53" i="12"/>
  <c r="H53" i="12"/>
  <c r="I53" i="12"/>
  <c r="J53" i="12"/>
  <c r="K53" i="12"/>
  <c r="L53" i="12"/>
  <c r="M53" i="12"/>
  <c r="N53" i="12"/>
  <c r="O53" i="12"/>
  <c r="P53" i="12"/>
  <c r="R53" i="12"/>
  <c r="F54" i="12"/>
  <c r="G54" i="12"/>
  <c r="H54" i="12"/>
  <c r="I54" i="12"/>
  <c r="J54" i="12"/>
  <c r="K54" i="12"/>
  <c r="L54" i="12"/>
  <c r="M54" i="12"/>
  <c r="N54" i="12"/>
  <c r="O54" i="12"/>
  <c r="P54" i="12"/>
  <c r="R54" i="12"/>
  <c r="F55" i="12"/>
  <c r="B55" i="12"/>
  <c r="G55" i="12"/>
  <c r="H55" i="12"/>
  <c r="I55" i="12"/>
  <c r="J55" i="12"/>
  <c r="K55" i="12"/>
  <c r="L55" i="12"/>
  <c r="M55" i="12"/>
  <c r="N55" i="12"/>
  <c r="O55" i="12"/>
  <c r="P55" i="12"/>
  <c r="R55" i="12"/>
  <c r="F56" i="12"/>
  <c r="G56" i="12"/>
  <c r="H56" i="12"/>
  <c r="I56" i="12"/>
  <c r="J56" i="12"/>
  <c r="K56" i="12"/>
  <c r="L56" i="12"/>
  <c r="M56" i="12"/>
  <c r="N56" i="12"/>
  <c r="O56" i="12"/>
  <c r="P56" i="12"/>
  <c r="R56" i="12"/>
  <c r="F57" i="12"/>
  <c r="G57" i="12"/>
  <c r="H57" i="12"/>
  <c r="I57" i="12"/>
  <c r="J57" i="12"/>
  <c r="K57" i="12"/>
  <c r="L57" i="12"/>
  <c r="M57" i="12"/>
  <c r="N57" i="12"/>
  <c r="O57" i="12"/>
  <c r="P57" i="12"/>
  <c r="R57" i="12"/>
  <c r="F58" i="12"/>
  <c r="B58" i="12"/>
  <c r="G58" i="12"/>
  <c r="H58" i="12"/>
  <c r="I58" i="12"/>
  <c r="J58" i="12"/>
  <c r="K58" i="12"/>
  <c r="L58" i="12"/>
  <c r="M58" i="12"/>
  <c r="N58" i="12"/>
  <c r="O58" i="12"/>
  <c r="P58" i="12"/>
  <c r="R58" i="12"/>
  <c r="F59" i="12"/>
  <c r="G59" i="12"/>
  <c r="H59" i="12"/>
  <c r="I59" i="12"/>
  <c r="J59" i="12"/>
  <c r="K59" i="12"/>
  <c r="L59" i="12"/>
  <c r="M59" i="12"/>
  <c r="N59" i="12"/>
  <c r="O59" i="12"/>
  <c r="P59" i="12"/>
  <c r="R59" i="12"/>
  <c r="F60" i="12"/>
  <c r="G60" i="12"/>
  <c r="H60" i="12"/>
  <c r="I60" i="12"/>
  <c r="J60" i="12"/>
  <c r="K60" i="12"/>
  <c r="L60" i="12"/>
  <c r="M60" i="12"/>
  <c r="N60" i="12"/>
  <c r="O60" i="12"/>
  <c r="P60" i="12"/>
  <c r="R60" i="12"/>
  <c r="F61" i="12"/>
  <c r="E61" i="12"/>
  <c r="G61" i="12"/>
  <c r="H61" i="12"/>
  <c r="I61" i="12"/>
  <c r="J61" i="12"/>
  <c r="K61" i="12"/>
  <c r="L61" i="12"/>
  <c r="M61" i="12"/>
  <c r="N61" i="12"/>
  <c r="O61" i="12"/>
  <c r="P61" i="12"/>
  <c r="R61" i="12"/>
  <c r="F62" i="12"/>
  <c r="G62" i="12"/>
  <c r="H62" i="12"/>
  <c r="I62" i="12"/>
  <c r="J62" i="12"/>
  <c r="K62" i="12"/>
  <c r="L62" i="12"/>
  <c r="M62" i="12"/>
  <c r="N62" i="12"/>
  <c r="O62" i="12"/>
  <c r="P62" i="12"/>
  <c r="R62" i="12"/>
  <c r="F63" i="12"/>
  <c r="E63" i="12" s="1"/>
  <c r="G63" i="12"/>
  <c r="H63" i="12"/>
  <c r="I63" i="12"/>
  <c r="J63" i="12"/>
  <c r="K63" i="12"/>
  <c r="L63" i="12"/>
  <c r="M63" i="12"/>
  <c r="N63" i="12"/>
  <c r="O63" i="12"/>
  <c r="P63" i="12"/>
  <c r="R63" i="12"/>
  <c r="F64" i="12"/>
  <c r="G64" i="12"/>
  <c r="H64" i="12"/>
  <c r="I64" i="12"/>
  <c r="J64" i="12"/>
  <c r="K64" i="12"/>
  <c r="L64" i="12"/>
  <c r="M64" i="12"/>
  <c r="N64" i="12"/>
  <c r="O64" i="12"/>
  <c r="P64" i="12"/>
  <c r="R64" i="12"/>
  <c r="F65" i="12"/>
  <c r="E65" i="12" s="1"/>
  <c r="G65" i="12"/>
  <c r="H65" i="12"/>
  <c r="I65" i="12"/>
  <c r="J65" i="12"/>
  <c r="K65" i="12"/>
  <c r="L65" i="12"/>
  <c r="M65" i="12"/>
  <c r="N65" i="12"/>
  <c r="O65" i="12"/>
  <c r="P65" i="12"/>
  <c r="R65" i="12"/>
  <c r="F66" i="12"/>
  <c r="B66" i="12" s="1"/>
  <c r="G66" i="12"/>
  <c r="H66" i="12"/>
  <c r="I66" i="12"/>
  <c r="J66" i="12"/>
  <c r="K66" i="12"/>
  <c r="L66" i="12"/>
  <c r="M66" i="12"/>
  <c r="N66" i="12"/>
  <c r="O66" i="12"/>
  <c r="P66" i="12"/>
  <c r="R66" i="12"/>
  <c r="F67" i="12"/>
  <c r="E67" i="12"/>
  <c r="G67" i="12"/>
  <c r="H67" i="12"/>
  <c r="I67" i="12"/>
  <c r="J67" i="12"/>
  <c r="K67" i="12"/>
  <c r="L67" i="12"/>
  <c r="M67" i="12"/>
  <c r="N67" i="12"/>
  <c r="O67" i="12"/>
  <c r="P67" i="12"/>
  <c r="R67" i="12"/>
  <c r="F68" i="12"/>
  <c r="B68" i="12" s="1"/>
  <c r="G68" i="12"/>
  <c r="H68" i="12"/>
  <c r="I68" i="12"/>
  <c r="J68" i="12"/>
  <c r="K68" i="12"/>
  <c r="L68" i="12"/>
  <c r="M68" i="12"/>
  <c r="N68" i="12"/>
  <c r="O68" i="12"/>
  <c r="P68" i="12"/>
  <c r="R68" i="12"/>
  <c r="F69" i="12"/>
  <c r="E69" i="12"/>
  <c r="G69" i="12"/>
  <c r="H69" i="12"/>
  <c r="I69" i="12"/>
  <c r="J69" i="12"/>
  <c r="K69" i="12"/>
  <c r="L69" i="12"/>
  <c r="M69" i="12"/>
  <c r="N69" i="12"/>
  <c r="O69" i="12"/>
  <c r="P69" i="12"/>
  <c r="R69" i="12"/>
  <c r="F70" i="12"/>
  <c r="G70" i="12"/>
  <c r="H70" i="12"/>
  <c r="I70" i="12"/>
  <c r="J70" i="12"/>
  <c r="K70" i="12"/>
  <c r="L70" i="12"/>
  <c r="M70" i="12"/>
  <c r="N70" i="12"/>
  <c r="O70" i="12"/>
  <c r="P70" i="12"/>
  <c r="R70" i="12"/>
  <c r="F71" i="12"/>
  <c r="C71" i="12" s="1"/>
  <c r="G71" i="12"/>
  <c r="H71" i="12"/>
  <c r="I71" i="12"/>
  <c r="J71" i="12"/>
  <c r="K71" i="12"/>
  <c r="L71" i="12"/>
  <c r="M71" i="12"/>
  <c r="N71" i="12"/>
  <c r="O71" i="12"/>
  <c r="P71" i="12"/>
  <c r="R71" i="12"/>
  <c r="F72" i="12"/>
  <c r="G72" i="12"/>
  <c r="H72" i="12"/>
  <c r="I72" i="12"/>
  <c r="J72" i="12"/>
  <c r="K72" i="12"/>
  <c r="L72" i="12"/>
  <c r="M72" i="12"/>
  <c r="N72" i="12"/>
  <c r="O72" i="12"/>
  <c r="P72" i="12"/>
  <c r="R72" i="12"/>
  <c r="F73" i="12"/>
  <c r="E73" i="12"/>
  <c r="G73" i="12"/>
  <c r="H73" i="12"/>
  <c r="I73" i="12"/>
  <c r="J73" i="12"/>
  <c r="K73" i="12"/>
  <c r="L73" i="12"/>
  <c r="M73" i="12"/>
  <c r="N73" i="12"/>
  <c r="O73" i="12"/>
  <c r="P73" i="12"/>
  <c r="R73" i="12"/>
  <c r="F74" i="12"/>
  <c r="B74" i="12" s="1"/>
  <c r="G74" i="12"/>
  <c r="H74" i="12"/>
  <c r="I74" i="12"/>
  <c r="J74" i="12"/>
  <c r="K74" i="12"/>
  <c r="L74" i="12"/>
  <c r="M74" i="12"/>
  <c r="N74" i="12"/>
  <c r="O74" i="12"/>
  <c r="P74" i="12"/>
  <c r="R74" i="12"/>
  <c r="F75" i="12"/>
  <c r="B75" i="12"/>
  <c r="G75" i="12"/>
  <c r="H75" i="12"/>
  <c r="I75" i="12"/>
  <c r="J75" i="12"/>
  <c r="K75" i="12"/>
  <c r="L75" i="12"/>
  <c r="M75" i="12"/>
  <c r="N75" i="12"/>
  <c r="O75" i="12"/>
  <c r="P75" i="12"/>
  <c r="R75" i="12"/>
  <c r="F76" i="12"/>
  <c r="B76" i="12" s="1"/>
  <c r="G76" i="12"/>
  <c r="H76" i="12"/>
  <c r="I76" i="12"/>
  <c r="J76" i="12"/>
  <c r="K76" i="12"/>
  <c r="L76" i="12"/>
  <c r="M76" i="12"/>
  <c r="N76" i="12"/>
  <c r="O76" i="12"/>
  <c r="P76" i="12"/>
  <c r="R76" i="12"/>
  <c r="F77" i="12"/>
  <c r="E77" i="12"/>
  <c r="G77" i="12"/>
  <c r="H77" i="12"/>
  <c r="I77" i="12"/>
  <c r="J77" i="12"/>
  <c r="K77" i="12"/>
  <c r="L77" i="12"/>
  <c r="M77" i="12"/>
  <c r="N77" i="12"/>
  <c r="O77" i="12"/>
  <c r="P77" i="12"/>
  <c r="R77" i="12"/>
  <c r="F78" i="12"/>
  <c r="C78" i="12" s="1"/>
  <c r="G78" i="12"/>
  <c r="H78" i="12"/>
  <c r="I78" i="12"/>
  <c r="J78" i="12"/>
  <c r="K78" i="12"/>
  <c r="L78" i="12"/>
  <c r="M78" i="12"/>
  <c r="N78" i="12"/>
  <c r="O78" i="12"/>
  <c r="P78" i="12"/>
  <c r="R78" i="12"/>
  <c r="F79" i="12"/>
  <c r="E79" i="12"/>
  <c r="G79" i="12"/>
  <c r="H79" i="12"/>
  <c r="I79" i="12"/>
  <c r="J79" i="12"/>
  <c r="K79" i="12"/>
  <c r="L79" i="12"/>
  <c r="M79" i="12"/>
  <c r="N79" i="12"/>
  <c r="O79" i="12"/>
  <c r="P79" i="12"/>
  <c r="R79" i="12"/>
  <c r="F80" i="12"/>
  <c r="B80" i="12"/>
  <c r="G80" i="12"/>
  <c r="H80" i="12"/>
  <c r="I80" i="12"/>
  <c r="J80" i="12"/>
  <c r="K80" i="12"/>
  <c r="L80" i="12"/>
  <c r="M80" i="12"/>
  <c r="N80" i="12"/>
  <c r="O80" i="12"/>
  <c r="P80" i="12"/>
  <c r="R80" i="12"/>
  <c r="F81" i="12"/>
  <c r="E81" i="12"/>
  <c r="G81" i="12"/>
  <c r="H81" i="12"/>
  <c r="I81" i="12"/>
  <c r="J81" i="12"/>
  <c r="K81" i="12"/>
  <c r="L81" i="12"/>
  <c r="M81" i="12"/>
  <c r="N81" i="12"/>
  <c r="O81" i="12"/>
  <c r="P81" i="12"/>
  <c r="R81" i="12"/>
  <c r="F82" i="12"/>
  <c r="B82" i="12" s="1"/>
  <c r="G82" i="12"/>
  <c r="H82" i="12"/>
  <c r="I82" i="12"/>
  <c r="J82" i="12"/>
  <c r="K82" i="12"/>
  <c r="L82" i="12"/>
  <c r="M82" i="12"/>
  <c r="N82" i="12"/>
  <c r="O82" i="12"/>
  <c r="P82" i="12"/>
  <c r="R82" i="12"/>
  <c r="F83" i="12"/>
  <c r="E83" i="12"/>
  <c r="G83" i="12"/>
  <c r="H83" i="12"/>
  <c r="I83" i="12"/>
  <c r="J83" i="12"/>
  <c r="K83" i="12"/>
  <c r="L83" i="12"/>
  <c r="M83" i="12"/>
  <c r="N83" i="12"/>
  <c r="O83" i="12"/>
  <c r="P83" i="12"/>
  <c r="R83" i="12"/>
  <c r="F84" i="12"/>
  <c r="G84" i="12"/>
  <c r="H84" i="12"/>
  <c r="I84" i="12"/>
  <c r="J84" i="12"/>
  <c r="K84" i="12"/>
  <c r="L84" i="12"/>
  <c r="M84" i="12"/>
  <c r="N84" i="12"/>
  <c r="O84" i="12"/>
  <c r="P84" i="12"/>
  <c r="R84" i="12"/>
  <c r="F85" i="12"/>
  <c r="G85" i="12"/>
  <c r="H85" i="12"/>
  <c r="I85" i="12"/>
  <c r="J85" i="12"/>
  <c r="K85" i="12"/>
  <c r="L85" i="12"/>
  <c r="M85" i="12"/>
  <c r="N85" i="12"/>
  <c r="O85" i="12"/>
  <c r="P85" i="12"/>
  <c r="R85" i="12"/>
  <c r="F86" i="12"/>
  <c r="G86" i="12"/>
  <c r="H86" i="12"/>
  <c r="I86" i="12"/>
  <c r="J86" i="12"/>
  <c r="K86" i="12"/>
  <c r="L86" i="12"/>
  <c r="M86" i="12"/>
  <c r="N86" i="12"/>
  <c r="O86" i="12"/>
  <c r="P86" i="12"/>
  <c r="R86" i="12"/>
  <c r="F87" i="12"/>
  <c r="C87" i="12"/>
  <c r="G87" i="12"/>
  <c r="H87" i="12"/>
  <c r="I87" i="12"/>
  <c r="J87" i="12"/>
  <c r="K87" i="12"/>
  <c r="L87" i="12"/>
  <c r="M87" i="12"/>
  <c r="N87" i="12"/>
  <c r="O87" i="12"/>
  <c r="P87" i="12"/>
  <c r="R87" i="12"/>
  <c r="F88" i="12"/>
  <c r="B88" i="12"/>
  <c r="G88" i="12"/>
  <c r="H88" i="12"/>
  <c r="I88" i="12"/>
  <c r="J88" i="12"/>
  <c r="K88" i="12"/>
  <c r="L88" i="12"/>
  <c r="M88" i="12"/>
  <c r="N88" i="12"/>
  <c r="O88" i="12"/>
  <c r="P88" i="12"/>
  <c r="R88" i="12"/>
  <c r="F89" i="12"/>
  <c r="E89" i="12" s="1"/>
  <c r="G89" i="12"/>
  <c r="H89" i="12"/>
  <c r="I89" i="12"/>
  <c r="J89" i="12"/>
  <c r="K89" i="12"/>
  <c r="L89" i="12"/>
  <c r="M89" i="12"/>
  <c r="N89" i="12"/>
  <c r="O89" i="12"/>
  <c r="P89" i="12"/>
  <c r="R89" i="12"/>
  <c r="F90" i="12"/>
  <c r="G90" i="12"/>
  <c r="H90" i="12"/>
  <c r="I90" i="12"/>
  <c r="J90" i="12"/>
  <c r="K90" i="12"/>
  <c r="L90" i="12"/>
  <c r="M90" i="12"/>
  <c r="N90" i="12"/>
  <c r="O90" i="12"/>
  <c r="P90" i="12"/>
  <c r="R90" i="12"/>
  <c r="F91" i="12"/>
  <c r="B91" i="12" s="1"/>
  <c r="G91" i="12"/>
  <c r="H91" i="12"/>
  <c r="I91" i="12"/>
  <c r="J91" i="12"/>
  <c r="K91" i="12"/>
  <c r="L91" i="12"/>
  <c r="M91" i="12"/>
  <c r="N91" i="12"/>
  <c r="O91" i="12"/>
  <c r="P91" i="12"/>
  <c r="R91" i="12"/>
  <c r="F92" i="12"/>
  <c r="G92" i="12"/>
  <c r="H92" i="12"/>
  <c r="I92" i="12"/>
  <c r="J92" i="12"/>
  <c r="K92" i="12"/>
  <c r="L92" i="12"/>
  <c r="M92" i="12"/>
  <c r="N92" i="12"/>
  <c r="O92" i="12"/>
  <c r="P92" i="12"/>
  <c r="R92" i="12"/>
  <c r="F93" i="12"/>
  <c r="E93" i="12"/>
  <c r="G93" i="12"/>
  <c r="H93" i="12"/>
  <c r="I93" i="12"/>
  <c r="J93" i="12"/>
  <c r="K93" i="12"/>
  <c r="L93" i="12"/>
  <c r="M93" i="12"/>
  <c r="N93" i="12"/>
  <c r="O93" i="12"/>
  <c r="P93" i="12"/>
  <c r="R93" i="12"/>
  <c r="F94" i="12"/>
  <c r="C94" i="12" s="1"/>
  <c r="G94" i="12"/>
  <c r="H94" i="12"/>
  <c r="I94" i="12"/>
  <c r="J94" i="12"/>
  <c r="K94" i="12"/>
  <c r="L94" i="12"/>
  <c r="M94" i="12"/>
  <c r="N94" i="12"/>
  <c r="O94" i="12"/>
  <c r="P94" i="12"/>
  <c r="R94" i="12"/>
  <c r="F95" i="12"/>
  <c r="B95" i="12"/>
  <c r="G95" i="12"/>
  <c r="H95" i="12"/>
  <c r="I95" i="12"/>
  <c r="J95" i="12"/>
  <c r="K95" i="12"/>
  <c r="L95" i="12"/>
  <c r="M95" i="12"/>
  <c r="N95" i="12"/>
  <c r="O95" i="12"/>
  <c r="P95" i="12"/>
  <c r="R95" i="12"/>
  <c r="F96" i="12"/>
  <c r="G96" i="12"/>
  <c r="H96" i="12"/>
  <c r="I96" i="12"/>
  <c r="J96" i="12"/>
  <c r="K96" i="12"/>
  <c r="L96" i="12"/>
  <c r="M96" i="12"/>
  <c r="N96" i="12"/>
  <c r="O96" i="12"/>
  <c r="P96" i="12"/>
  <c r="R96" i="12"/>
  <c r="F97" i="12"/>
  <c r="E97" i="12"/>
  <c r="G97" i="12"/>
  <c r="H97" i="12"/>
  <c r="I97" i="12"/>
  <c r="J97" i="12"/>
  <c r="K97" i="12"/>
  <c r="L97" i="12"/>
  <c r="M97" i="12"/>
  <c r="N97" i="12"/>
  <c r="O97" i="12"/>
  <c r="P97" i="12"/>
  <c r="R97" i="12"/>
  <c r="F98" i="12"/>
  <c r="G98" i="12"/>
  <c r="H98" i="12"/>
  <c r="I98" i="12"/>
  <c r="J98" i="12"/>
  <c r="K98" i="12"/>
  <c r="L98" i="12"/>
  <c r="M98" i="12"/>
  <c r="N98" i="12"/>
  <c r="O98" i="12"/>
  <c r="P98" i="12"/>
  <c r="R98" i="12"/>
  <c r="F99" i="12"/>
  <c r="E99" i="12" s="1"/>
  <c r="G99" i="12"/>
  <c r="H99" i="12"/>
  <c r="I99" i="12"/>
  <c r="J99" i="12"/>
  <c r="K99" i="12"/>
  <c r="L99" i="12"/>
  <c r="M99" i="12"/>
  <c r="N99" i="12"/>
  <c r="O99" i="12"/>
  <c r="P99" i="12"/>
  <c r="R99" i="12"/>
  <c r="F100" i="12"/>
  <c r="C100" i="12"/>
  <c r="G100" i="12"/>
  <c r="H100" i="12"/>
  <c r="I100" i="12"/>
  <c r="J100" i="12"/>
  <c r="K100" i="12"/>
  <c r="L100" i="12"/>
  <c r="M100" i="12"/>
  <c r="N100" i="12"/>
  <c r="O100" i="12"/>
  <c r="P100" i="12"/>
  <c r="R100" i="12"/>
  <c r="F101" i="12"/>
  <c r="G101" i="12"/>
  <c r="H101" i="12"/>
  <c r="I101" i="12"/>
  <c r="J101" i="12"/>
  <c r="K101" i="12"/>
  <c r="L101" i="12"/>
  <c r="M101" i="12"/>
  <c r="N101" i="12"/>
  <c r="O101" i="12"/>
  <c r="P101" i="12"/>
  <c r="R101" i="12"/>
  <c r="F102" i="12"/>
  <c r="D102" i="12"/>
  <c r="G102" i="12"/>
  <c r="H102" i="12"/>
  <c r="I102" i="12"/>
  <c r="J102" i="12"/>
  <c r="K102" i="12"/>
  <c r="L102" i="12"/>
  <c r="M102" i="12"/>
  <c r="N102" i="12"/>
  <c r="O102" i="12"/>
  <c r="P102" i="12"/>
  <c r="R102" i="12"/>
  <c r="F103" i="12"/>
  <c r="B103" i="12"/>
  <c r="G103" i="12"/>
  <c r="H103" i="12"/>
  <c r="I103" i="12"/>
  <c r="J103" i="12"/>
  <c r="K103" i="12"/>
  <c r="L103" i="12"/>
  <c r="M103" i="12"/>
  <c r="N103" i="12"/>
  <c r="O103" i="12"/>
  <c r="P103" i="12"/>
  <c r="R103" i="12"/>
  <c r="F104" i="12"/>
  <c r="G104" i="12"/>
  <c r="H104" i="12"/>
  <c r="I104" i="12"/>
  <c r="J104" i="12"/>
  <c r="K104" i="12"/>
  <c r="L104" i="12"/>
  <c r="M104" i="12"/>
  <c r="N104" i="12"/>
  <c r="O104" i="12"/>
  <c r="P104" i="12"/>
  <c r="R104" i="12"/>
  <c r="F105" i="12"/>
  <c r="G105" i="12"/>
  <c r="H105" i="12"/>
  <c r="I105" i="12"/>
  <c r="J105" i="12"/>
  <c r="K105" i="12"/>
  <c r="L105" i="12"/>
  <c r="M105" i="12"/>
  <c r="N105" i="12"/>
  <c r="O105" i="12"/>
  <c r="P105" i="12"/>
  <c r="R105" i="12"/>
  <c r="F106" i="12"/>
  <c r="D106" i="12" s="1"/>
  <c r="G106" i="12"/>
  <c r="H106" i="12"/>
  <c r="I106" i="12"/>
  <c r="J106" i="12"/>
  <c r="K106" i="12"/>
  <c r="L106" i="12"/>
  <c r="M106" i="12"/>
  <c r="N106" i="12"/>
  <c r="O106" i="12"/>
  <c r="P106" i="12"/>
  <c r="R106" i="12"/>
  <c r="F107" i="12"/>
  <c r="E107" i="12"/>
  <c r="G107" i="12"/>
  <c r="H107" i="12"/>
  <c r="I107" i="12"/>
  <c r="J107" i="12"/>
  <c r="K107" i="12"/>
  <c r="L107" i="12"/>
  <c r="M107" i="12"/>
  <c r="N107" i="12"/>
  <c r="O107" i="12"/>
  <c r="P107" i="12"/>
  <c r="R107" i="12"/>
  <c r="F108" i="12"/>
  <c r="G108" i="12"/>
  <c r="H108" i="12"/>
  <c r="I108" i="12"/>
  <c r="J108" i="12"/>
  <c r="K108" i="12"/>
  <c r="L108" i="12"/>
  <c r="M108" i="12"/>
  <c r="N108" i="12"/>
  <c r="O108" i="12"/>
  <c r="P108" i="12"/>
  <c r="R108" i="12"/>
  <c r="F109" i="12"/>
  <c r="Q109" i="12"/>
  <c r="G109" i="12"/>
  <c r="H109" i="12"/>
  <c r="I109" i="12"/>
  <c r="J109" i="12"/>
  <c r="K109" i="12"/>
  <c r="L109" i="12"/>
  <c r="M109" i="12"/>
  <c r="N109" i="12"/>
  <c r="O109" i="12"/>
  <c r="P109" i="12"/>
  <c r="R109" i="12"/>
  <c r="F110" i="12"/>
  <c r="Q110" i="12" s="1"/>
  <c r="G110" i="12"/>
  <c r="H110" i="12"/>
  <c r="I110" i="12"/>
  <c r="J110" i="12"/>
  <c r="K110" i="12"/>
  <c r="L110" i="12"/>
  <c r="M110" i="12"/>
  <c r="N110" i="12"/>
  <c r="O110" i="12"/>
  <c r="P110" i="12"/>
  <c r="R110" i="12"/>
  <c r="F111" i="12"/>
  <c r="E111" i="12"/>
  <c r="G111" i="12"/>
  <c r="H111" i="12"/>
  <c r="I111" i="12"/>
  <c r="J111" i="12"/>
  <c r="K111" i="12"/>
  <c r="L111" i="12"/>
  <c r="M111" i="12"/>
  <c r="N111" i="12"/>
  <c r="O111" i="12"/>
  <c r="P111" i="12"/>
  <c r="R111" i="12"/>
  <c r="F112" i="12"/>
  <c r="C112" i="12"/>
  <c r="G112" i="12"/>
  <c r="H112" i="12"/>
  <c r="I112" i="12"/>
  <c r="J112" i="12"/>
  <c r="K112" i="12"/>
  <c r="L112" i="12"/>
  <c r="M112" i="12"/>
  <c r="N112" i="12"/>
  <c r="O112" i="12"/>
  <c r="P112" i="12"/>
  <c r="R112" i="12"/>
  <c r="F113" i="12"/>
  <c r="Q113" i="12"/>
  <c r="G113" i="12"/>
  <c r="H113" i="12"/>
  <c r="I113" i="12"/>
  <c r="J113" i="12"/>
  <c r="K113" i="12"/>
  <c r="L113" i="12"/>
  <c r="M113" i="12"/>
  <c r="N113" i="12"/>
  <c r="O113" i="12"/>
  <c r="P113" i="12"/>
  <c r="R113" i="12"/>
  <c r="F114" i="12"/>
  <c r="Q114" i="12" s="1"/>
  <c r="G114" i="12"/>
  <c r="H114" i="12"/>
  <c r="I114" i="12"/>
  <c r="J114" i="12"/>
  <c r="K114" i="12"/>
  <c r="L114" i="12"/>
  <c r="M114" i="12"/>
  <c r="N114" i="12"/>
  <c r="O114" i="12"/>
  <c r="P114" i="12"/>
  <c r="R114" i="12"/>
  <c r="B116" i="12"/>
  <c r="C116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B118" i="12"/>
  <c r="C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P118" i="12"/>
  <c r="Q118" i="12"/>
  <c r="R118" i="12"/>
  <c r="B120" i="12"/>
  <c r="C120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P120" i="12"/>
  <c r="Q120" i="12"/>
  <c r="R120" i="12"/>
  <c r="B122" i="12"/>
  <c r="C122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P122" i="12"/>
  <c r="Q122" i="12"/>
  <c r="R122" i="12"/>
  <c r="B124" i="12"/>
  <c r="C124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Q124" i="12"/>
  <c r="R124" i="12"/>
  <c r="B126" i="12"/>
  <c r="C126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P126" i="12"/>
  <c r="Q126" i="12"/>
  <c r="R126" i="12"/>
  <c r="B128" i="12"/>
  <c r="C128" i="12"/>
  <c r="D128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A15" i="21"/>
  <c r="M19" i="21"/>
  <c r="L20" i="21"/>
  <c r="M20" i="21"/>
  <c r="M21" i="21"/>
  <c r="M22" i="21"/>
  <c r="M23" i="21"/>
  <c r="M24" i="21"/>
  <c r="M25" i="21"/>
  <c r="E26" i="21"/>
  <c r="G26" i="21"/>
  <c r="E27" i="21"/>
  <c r="M27" i="21"/>
  <c r="D28" i="21"/>
  <c r="I28" i="21"/>
  <c r="C30" i="21"/>
  <c r="D31" i="21"/>
  <c r="D116" i="21" s="1"/>
  <c r="D118" i="21" s="1"/>
  <c r="E31" i="21"/>
  <c r="F31" i="21"/>
  <c r="G31" i="21"/>
  <c r="H31" i="21"/>
  <c r="I31" i="21"/>
  <c r="J31" i="21"/>
  <c r="K31" i="21"/>
  <c r="L31" i="21"/>
  <c r="M31" i="21"/>
  <c r="N31" i="21"/>
  <c r="O31" i="21"/>
  <c r="P31" i="21"/>
  <c r="D32" i="21"/>
  <c r="E32" i="21"/>
  <c r="F32" i="21"/>
  <c r="G32" i="21"/>
  <c r="H32" i="21"/>
  <c r="I32" i="21"/>
  <c r="J32" i="21"/>
  <c r="K32" i="21"/>
  <c r="L32" i="21"/>
  <c r="M32" i="21"/>
  <c r="N32" i="21"/>
  <c r="O32" i="21"/>
  <c r="P32" i="21"/>
  <c r="D33" i="21"/>
  <c r="E33" i="21"/>
  <c r="F33" i="21"/>
  <c r="G33" i="21"/>
  <c r="H33" i="21"/>
  <c r="I33" i="21"/>
  <c r="J33" i="21"/>
  <c r="J116" i="21" s="1"/>
  <c r="J118" i="21" s="1"/>
  <c r="K33" i="21"/>
  <c r="L33" i="21"/>
  <c r="M33" i="21"/>
  <c r="N33" i="21"/>
  <c r="O33" i="21"/>
  <c r="P33" i="21"/>
  <c r="D34" i="21"/>
  <c r="E34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D35" i="21"/>
  <c r="E35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D36" i="21"/>
  <c r="E36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D37" i="21"/>
  <c r="E37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D38" i="21"/>
  <c r="E38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D39" i="21"/>
  <c r="E39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D40" i="21"/>
  <c r="E40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D41" i="21"/>
  <c r="E41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D42" i="21"/>
  <c r="E42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D43" i="21"/>
  <c r="E43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D44" i="21"/>
  <c r="E44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D45" i="21"/>
  <c r="E45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D46" i="21"/>
  <c r="E46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D47" i="21"/>
  <c r="E47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D48" i="21"/>
  <c r="E48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D49" i="21"/>
  <c r="E49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D50" i="21"/>
  <c r="E50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D53" i="21"/>
  <c r="E53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D56" i="21"/>
  <c r="E56" i="21"/>
  <c r="F56" i="21"/>
  <c r="G56" i="21"/>
  <c r="H56" i="21"/>
  <c r="I56" i="21"/>
  <c r="J56" i="21"/>
  <c r="K56" i="21"/>
  <c r="L56" i="21"/>
  <c r="M56" i="21"/>
  <c r="N56" i="21"/>
  <c r="O56" i="21"/>
  <c r="P56" i="21"/>
  <c r="Q56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D58" i="21"/>
  <c r="E58" i="21"/>
  <c r="F58" i="21"/>
  <c r="G58" i="21"/>
  <c r="H58" i="21"/>
  <c r="I58" i="21"/>
  <c r="J58" i="21"/>
  <c r="K58" i="21"/>
  <c r="L58" i="21"/>
  <c r="M58" i="21"/>
  <c r="N58" i="21"/>
  <c r="O58" i="21"/>
  <c r="P58" i="21"/>
  <c r="Q58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D60" i="21"/>
  <c r="E60" i="21"/>
  <c r="F60" i="21"/>
  <c r="G60" i="21"/>
  <c r="H60" i="21"/>
  <c r="I60" i="21"/>
  <c r="J60" i="21"/>
  <c r="K60" i="21"/>
  <c r="L60" i="21"/>
  <c r="M60" i="21"/>
  <c r="N60" i="21"/>
  <c r="O60" i="21"/>
  <c r="P60" i="21"/>
  <c r="Q60" i="21"/>
  <c r="D61" i="21"/>
  <c r="E61" i="21"/>
  <c r="F61" i="21"/>
  <c r="G61" i="21"/>
  <c r="H61" i="21"/>
  <c r="I61" i="21"/>
  <c r="J61" i="21"/>
  <c r="K61" i="21"/>
  <c r="L61" i="21"/>
  <c r="M61" i="21"/>
  <c r="N61" i="21"/>
  <c r="O61" i="21"/>
  <c r="P61" i="21"/>
  <c r="Q61" i="21"/>
  <c r="D62" i="21"/>
  <c r="E62" i="21"/>
  <c r="F62" i="21"/>
  <c r="G62" i="21"/>
  <c r="H62" i="21"/>
  <c r="I62" i="21"/>
  <c r="J62" i="21"/>
  <c r="K62" i="21"/>
  <c r="L62" i="21"/>
  <c r="M62" i="21"/>
  <c r="N62" i="21"/>
  <c r="O62" i="21"/>
  <c r="P62" i="21"/>
  <c r="Q62" i="21"/>
  <c r="D63" i="21"/>
  <c r="E63" i="21"/>
  <c r="F63" i="21"/>
  <c r="G63" i="21"/>
  <c r="H63" i="21"/>
  <c r="I63" i="21"/>
  <c r="J63" i="21"/>
  <c r="K63" i="21"/>
  <c r="L63" i="21"/>
  <c r="M63" i="21"/>
  <c r="N63" i="21"/>
  <c r="O63" i="21"/>
  <c r="P63" i="21"/>
  <c r="Q63" i="21"/>
  <c r="D64" i="21"/>
  <c r="E64" i="21"/>
  <c r="F64" i="21"/>
  <c r="G64" i="21"/>
  <c r="H64" i="21"/>
  <c r="I64" i="21"/>
  <c r="J64" i="21"/>
  <c r="K64" i="21"/>
  <c r="L64" i="21"/>
  <c r="M64" i="21"/>
  <c r="N64" i="21"/>
  <c r="O64" i="21"/>
  <c r="P64" i="21"/>
  <c r="Q64" i="21"/>
  <c r="D65" i="21"/>
  <c r="E65" i="21"/>
  <c r="F65" i="21"/>
  <c r="G65" i="21"/>
  <c r="H65" i="21"/>
  <c r="I65" i="21"/>
  <c r="J65" i="21"/>
  <c r="K65" i="21"/>
  <c r="L65" i="21"/>
  <c r="M65" i="21"/>
  <c r="N65" i="21"/>
  <c r="O65" i="21"/>
  <c r="P65" i="21"/>
  <c r="Q65" i="21"/>
  <c r="D66" i="21"/>
  <c r="E66" i="21"/>
  <c r="F66" i="21"/>
  <c r="G66" i="21"/>
  <c r="H66" i="21"/>
  <c r="I66" i="21"/>
  <c r="J66" i="21"/>
  <c r="K66" i="21"/>
  <c r="L66" i="21"/>
  <c r="M66" i="21"/>
  <c r="N66" i="21"/>
  <c r="O66" i="21"/>
  <c r="P66" i="21"/>
  <c r="Q66" i="21"/>
  <c r="D67" i="21"/>
  <c r="E67" i="21"/>
  <c r="F67" i="21"/>
  <c r="G67" i="21"/>
  <c r="H67" i="21"/>
  <c r="I67" i="21"/>
  <c r="J67" i="21"/>
  <c r="K67" i="21"/>
  <c r="L67" i="21"/>
  <c r="M67" i="21"/>
  <c r="N67" i="21"/>
  <c r="O67" i="21"/>
  <c r="P67" i="21"/>
  <c r="Q67" i="21"/>
  <c r="D68" i="21"/>
  <c r="E68" i="21"/>
  <c r="F68" i="21"/>
  <c r="G68" i="21"/>
  <c r="H68" i="21"/>
  <c r="I68" i="21"/>
  <c r="J68" i="21"/>
  <c r="K68" i="21"/>
  <c r="L68" i="21"/>
  <c r="M68" i="21"/>
  <c r="N68" i="21"/>
  <c r="O68" i="21"/>
  <c r="P68" i="21"/>
  <c r="Q68" i="21"/>
  <c r="D69" i="21"/>
  <c r="E69" i="21"/>
  <c r="F69" i="21"/>
  <c r="G69" i="21"/>
  <c r="H69" i="21"/>
  <c r="I69" i="21"/>
  <c r="J69" i="21"/>
  <c r="K69" i="21"/>
  <c r="L69" i="21"/>
  <c r="M69" i="21"/>
  <c r="N69" i="21"/>
  <c r="O69" i="21"/>
  <c r="P69" i="21"/>
  <c r="Q69" i="21"/>
  <c r="D70" i="21"/>
  <c r="E70" i="21"/>
  <c r="F70" i="21"/>
  <c r="G70" i="21"/>
  <c r="H70" i="21"/>
  <c r="I70" i="21"/>
  <c r="J70" i="21"/>
  <c r="K70" i="21"/>
  <c r="L70" i="21"/>
  <c r="M70" i="21"/>
  <c r="N70" i="21"/>
  <c r="O70" i="21"/>
  <c r="P70" i="21"/>
  <c r="Q70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P71" i="21"/>
  <c r="Q71" i="21"/>
  <c r="D72" i="21"/>
  <c r="E72" i="21"/>
  <c r="F72" i="21"/>
  <c r="G72" i="21"/>
  <c r="H72" i="21"/>
  <c r="I72" i="21"/>
  <c r="J72" i="21"/>
  <c r="K72" i="21"/>
  <c r="L72" i="21"/>
  <c r="M72" i="21"/>
  <c r="N72" i="21"/>
  <c r="O72" i="21"/>
  <c r="P72" i="21"/>
  <c r="Q72" i="21"/>
  <c r="D73" i="21"/>
  <c r="E73" i="21"/>
  <c r="F73" i="21"/>
  <c r="G73" i="21"/>
  <c r="H73" i="21"/>
  <c r="I73" i="21"/>
  <c r="J73" i="21"/>
  <c r="K73" i="21"/>
  <c r="L73" i="21"/>
  <c r="M73" i="21"/>
  <c r="N73" i="21"/>
  <c r="O73" i="21"/>
  <c r="P73" i="21"/>
  <c r="Q73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P74" i="21"/>
  <c r="Q74" i="21"/>
  <c r="D75" i="21"/>
  <c r="E75" i="21"/>
  <c r="F75" i="21"/>
  <c r="G75" i="21"/>
  <c r="H75" i="21"/>
  <c r="I75" i="21"/>
  <c r="J75" i="21"/>
  <c r="K75" i="21"/>
  <c r="L75" i="21"/>
  <c r="M75" i="21"/>
  <c r="N75" i="21"/>
  <c r="O75" i="21"/>
  <c r="P75" i="21"/>
  <c r="Q75" i="21"/>
  <c r="D76" i="21"/>
  <c r="E76" i="21"/>
  <c r="F76" i="21"/>
  <c r="G76" i="21"/>
  <c r="H76" i="21"/>
  <c r="I76" i="21"/>
  <c r="J76" i="21"/>
  <c r="K76" i="21"/>
  <c r="L76" i="21"/>
  <c r="M76" i="21"/>
  <c r="N76" i="21"/>
  <c r="O76" i="21"/>
  <c r="P76" i="21"/>
  <c r="Q76" i="21"/>
  <c r="D77" i="21"/>
  <c r="E77" i="21"/>
  <c r="F77" i="21"/>
  <c r="G77" i="21"/>
  <c r="H77" i="21"/>
  <c r="I77" i="21"/>
  <c r="J77" i="21"/>
  <c r="K77" i="21"/>
  <c r="L77" i="21"/>
  <c r="M77" i="21"/>
  <c r="N77" i="21"/>
  <c r="O77" i="21"/>
  <c r="P77" i="21"/>
  <c r="Q77" i="21"/>
  <c r="D78" i="21"/>
  <c r="E78" i="21"/>
  <c r="F78" i="21"/>
  <c r="G78" i="21"/>
  <c r="H78" i="21"/>
  <c r="I78" i="21"/>
  <c r="J78" i="21"/>
  <c r="K78" i="21"/>
  <c r="L78" i="21"/>
  <c r="M78" i="21"/>
  <c r="N78" i="21"/>
  <c r="O78" i="21"/>
  <c r="P78" i="21"/>
  <c r="Q78" i="21"/>
  <c r="D79" i="21"/>
  <c r="E79" i="21"/>
  <c r="F79" i="21"/>
  <c r="G79" i="21"/>
  <c r="H79" i="21"/>
  <c r="I79" i="21"/>
  <c r="J79" i="21"/>
  <c r="K79" i="21"/>
  <c r="L79" i="21"/>
  <c r="M79" i="21"/>
  <c r="N79" i="21"/>
  <c r="O79" i="21"/>
  <c r="P79" i="21"/>
  <c r="Q79" i="21"/>
  <c r="D80" i="21"/>
  <c r="E80" i="21"/>
  <c r="F80" i="21"/>
  <c r="G80" i="21"/>
  <c r="H80" i="21"/>
  <c r="I80" i="21"/>
  <c r="J80" i="21"/>
  <c r="K80" i="21"/>
  <c r="L80" i="21"/>
  <c r="M80" i="21"/>
  <c r="N80" i="21"/>
  <c r="O80" i="21"/>
  <c r="P80" i="21"/>
  <c r="Q80" i="21"/>
  <c r="D81" i="21"/>
  <c r="E81" i="21"/>
  <c r="F81" i="21"/>
  <c r="G81" i="21"/>
  <c r="H81" i="21"/>
  <c r="I81" i="21"/>
  <c r="J81" i="21"/>
  <c r="K81" i="21"/>
  <c r="L81" i="21"/>
  <c r="M81" i="21"/>
  <c r="N81" i="21"/>
  <c r="O81" i="21"/>
  <c r="P81" i="21"/>
  <c r="Q81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Q82" i="21"/>
  <c r="D83" i="21"/>
  <c r="E83" i="21"/>
  <c r="F83" i="21"/>
  <c r="G83" i="21"/>
  <c r="H83" i="21"/>
  <c r="I83" i="21"/>
  <c r="J83" i="21"/>
  <c r="K83" i="21"/>
  <c r="L83" i="21"/>
  <c r="M83" i="21"/>
  <c r="N83" i="21"/>
  <c r="O83" i="21"/>
  <c r="P83" i="21"/>
  <c r="Q83" i="21"/>
  <c r="D84" i="21"/>
  <c r="E84" i="21"/>
  <c r="F84" i="21"/>
  <c r="G84" i="21"/>
  <c r="H84" i="21"/>
  <c r="I84" i="21"/>
  <c r="J84" i="21"/>
  <c r="K84" i="21"/>
  <c r="L84" i="21"/>
  <c r="M84" i="21"/>
  <c r="N84" i="21"/>
  <c r="O84" i="21"/>
  <c r="P84" i="21"/>
  <c r="Q84" i="21"/>
  <c r="D85" i="2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D86" i="21"/>
  <c r="E86" i="21"/>
  <c r="F86" i="21"/>
  <c r="G86" i="21"/>
  <c r="H86" i="21"/>
  <c r="I86" i="21"/>
  <c r="J86" i="21"/>
  <c r="K86" i="21"/>
  <c r="L86" i="21"/>
  <c r="M86" i="21"/>
  <c r="M116" i="21" s="1"/>
  <c r="M118" i="21" s="1"/>
  <c r="N86" i="21"/>
  <c r="O86" i="21"/>
  <c r="P86" i="21"/>
  <c r="Q86" i="21"/>
  <c r="D87" i="21"/>
  <c r="E87" i="21"/>
  <c r="F87" i="21"/>
  <c r="G87" i="21"/>
  <c r="H87" i="21"/>
  <c r="I87" i="21"/>
  <c r="J87" i="21"/>
  <c r="K87" i="21"/>
  <c r="L87" i="21"/>
  <c r="M87" i="21"/>
  <c r="N87" i="21"/>
  <c r="O87" i="21"/>
  <c r="P87" i="21"/>
  <c r="Q87" i="21"/>
  <c r="D88" i="21"/>
  <c r="E88" i="21"/>
  <c r="F88" i="21"/>
  <c r="G88" i="21"/>
  <c r="H88" i="21"/>
  <c r="I88" i="21"/>
  <c r="J88" i="21"/>
  <c r="K88" i="21"/>
  <c r="L88" i="21"/>
  <c r="M88" i="21"/>
  <c r="N88" i="21"/>
  <c r="O88" i="21"/>
  <c r="P88" i="21"/>
  <c r="Q88" i="21"/>
  <c r="D89" i="21"/>
  <c r="E89" i="21"/>
  <c r="F89" i="21"/>
  <c r="G89" i="21"/>
  <c r="H89" i="21"/>
  <c r="I89" i="21"/>
  <c r="J89" i="21"/>
  <c r="K89" i="21"/>
  <c r="L89" i="21"/>
  <c r="M89" i="21"/>
  <c r="N89" i="21"/>
  <c r="O89" i="21"/>
  <c r="P89" i="21"/>
  <c r="Q89" i="21"/>
  <c r="D90" i="21"/>
  <c r="E90" i="21"/>
  <c r="F90" i="21"/>
  <c r="G90" i="21"/>
  <c r="H90" i="21"/>
  <c r="I90" i="21"/>
  <c r="J90" i="21"/>
  <c r="K90" i="21"/>
  <c r="L90" i="21"/>
  <c r="M90" i="21"/>
  <c r="N90" i="21"/>
  <c r="O90" i="21"/>
  <c r="P90" i="21"/>
  <c r="Q90" i="21"/>
  <c r="D91" i="21"/>
  <c r="E91" i="21"/>
  <c r="F91" i="21"/>
  <c r="G91" i="21"/>
  <c r="H91" i="21"/>
  <c r="I91" i="21"/>
  <c r="J91" i="21"/>
  <c r="K91" i="21"/>
  <c r="L91" i="21"/>
  <c r="M91" i="21"/>
  <c r="N91" i="21"/>
  <c r="O91" i="21"/>
  <c r="P91" i="21"/>
  <c r="Q91" i="21"/>
  <c r="D92" i="21"/>
  <c r="E92" i="21"/>
  <c r="F92" i="21"/>
  <c r="G92" i="21"/>
  <c r="H92" i="21"/>
  <c r="I92" i="21"/>
  <c r="J92" i="21"/>
  <c r="K92" i="21"/>
  <c r="L92" i="21"/>
  <c r="M92" i="21"/>
  <c r="N92" i="21"/>
  <c r="O92" i="21"/>
  <c r="P92" i="21"/>
  <c r="Q92" i="21"/>
  <c r="D93" i="21"/>
  <c r="E93" i="21"/>
  <c r="F93" i="21"/>
  <c r="G93" i="21"/>
  <c r="H93" i="21"/>
  <c r="I93" i="21"/>
  <c r="J93" i="21"/>
  <c r="K93" i="21"/>
  <c r="L93" i="21"/>
  <c r="M93" i="21"/>
  <c r="N93" i="21"/>
  <c r="O93" i="21"/>
  <c r="P93" i="21"/>
  <c r="Q93" i="21"/>
  <c r="D94" i="21"/>
  <c r="E94" i="21"/>
  <c r="F94" i="21"/>
  <c r="G94" i="21"/>
  <c r="H94" i="21"/>
  <c r="I94" i="21"/>
  <c r="J94" i="21"/>
  <c r="K94" i="21"/>
  <c r="L94" i="21"/>
  <c r="M94" i="21"/>
  <c r="N94" i="21"/>
  <c r="O94" i="21"/>
  <c r="P94" i="21"/>
  <c r="Q94" i="21"/>
  <c r="D95" i="21"/>
  <c r="E95" i="21"/>
  <c r="F95" i="21"/>
  <c r="G95" i="21"/>
  <c r="H95" i="21"/>
  <c r="I95" i="21"/>
  <c r="J95" i="21"/>
  <c r="K95" i="21"/>
  <c r="L95" i="21"/>
  <c r="M95" i="21"/>
  <c r="N95" i="21"/>
  <c r="O95" i="21"/>
  <c r="P95" i="21"/>
  <c r="Q95" i="21"/>
  <c r="D96" i="21"/>
  <c r="E96" i="21"/>
  <c r="F96" i="21"/>
  <c r="G96" i="21"/>
  <c r="H96" i="21"/>
  <c r="I96" i="21"/>
  <c r="J96" i="21"/>
  <c r="K96" i="21"/>
  <c r="L96" i="21"/>
  <c r="M96" i="21"/>
  <c r="N96" i="21"/>
  <c r="O96" i="21"/>
  <c r="P96" i="21"/>
  <c r="Q96" i="21"/>
  <c r="D97" i="21"/>
  <c r="E97" i="21"/>
  <c r="F97" i="21"/>
  <c r="G97" i="21"/>
  <c r="H97" i="21"/>
  <c r="I97" i="21"/>
  <c r="J97" i="21"/>
  <c r="K97" i="21"/>
  <c r="L97" i="21"/>
  <c r="M97" i="21"/>
  <c r="N97" i="21"/>
  <c r="O97" i="21"/>
  <c r="P97" i="21"/>
  <c r="Q97" i="21"/>
  <c r="D98" i="21"/>
  <c r="E98" i="21"/>
  <c r="F98" i="21"/>
  <c r="G98" i="21"/>
  <c r="H98" i="21"/>
  <c r="I98" i="21"/>
  <c r="J98" i="21"/>
  <c r="K98" i="21"/>
  <c r="L98" i="21"/>
  <c r="M98" i="21"/>
  <c r="N98" i="21"/>
  <c r="O98" i="21"/>
  <c r="P98" i="21"/>
  <c r="Q98" i="21"/>
  <c r="D99" i="21"/>
  <c r="E99" i="21"/>
  <c r="F99" i="21"/>
  <c r="G99" i="21"/>
  <c r="H99" i="21"/>
  <c r="I99" i="21"/>
  <c r="J99" i="21"/>
  <c r="K99" i="21"/>
  <c r="L99" i="21"/>
  <c r="M99" i="21"/>
  <c r="N99" i="21"/>
  <c r="O99" i="21"/>
  <c r="P99" i="21"/>
  <c r="Q99" i="21"/>
  <c r="D100" i="21"/>
  <c r="E100" i="21"/>
  <c r="F100" i="21"/>
  <c r="G100" i="21"/>
  <c r="H100" i="21"/>
  <c r="I100" i="21"/>
  <c r="J100" i="21"/>
  <c r="K100" i="21"/>
  <c r="L100" i="21"/>
  <c r="M100" i="21"/>
  <c r="N100" i="21"/>
  <c r="O100" i="21"/>
  <c r="P100" i="21"/>
  <c r="Q100" i="21"/>
  <c r="D101" i="21"/>
  <c r="E101" i="21"/>
  <c r="F101" i="21"/>
  <c r="G101" i="21"/>
  <c r="H101" i="21"/>
  <c r="I101" i="21"/>
  <c r="J101" i="21"/>
  <c r="K101" i="21"/>
  <c r="L101" i="21"/>
  <c r="M101" i="21"/>
  <c r="N101" i="21"/>
  <c r="O101" i="21"/>
  <c r="P101" i="21"/>
  <c r="Q101" i="21"/>
  <c r="D102" i="21"/>
  <c r="E102" i="21"/>
  <c r="F102" i="21"/>
  <c r="G102" i="21"/>
  <c r="H102" i="21"/>
  <c r="I102" i="21"/>
  <c r="J102" i="21"/>
  <c r="K102" i="21"/>
  <c r="L102" i="21"/>
  <c r="M102" i="21"/>
  <c r="N102" i="21"/>
  <c r="O102" i="21"/>
  <c r="P102" i="21"/>
  <c r="Q102" i="21"/>
  <c r="D103" i="21"/>
  <c r="E103" i="21"/>
  <c r="F103" i="21"/>
  <c r="G103" i="21"/>
  <c r="H103" i="21"/>
  <c r="I103" i="21"/>
  <c r="J103" i="21"/>
  <c r="K103" i="21"/>
  <c r="L103" i="21"/>
  <c r="M103" i="21"/>
  <c r="N103" i="21"/>
  <c r="O103" i="21"/>
  <c r="P103" i="21"/>
  <c r="Q103" i="21"/>
  <c r="D104" i="21"/>
  <c r="E104" i="21"/>
  <c r="F104" i="21"/>
  <c r="G104" i="21"/>
  <c r="H104" i="21"/>
  <c r="I104" i="21"/>
  <c r="J104" i="21"/>
  <c r="K104" i="21"/>
  <c r="L104" i="21"/>
  <c r="M104" i="21"/>
  <c r="N104" i="21"/>
  <c r="O104" i="21"/>
  <c r="P104" i="21"/>
  <c r="Q104" i="21"/>
  <c r="D105" i="21"/>
  <c r="E105" i="21"/>
  <c r="F105" i="21"/>
  <c r="G105" i="21"/>
  <c r="H105" i="21"/>
  <c r="I105" i="21"/>
  <c r="J105" i="21"/>
  <c r="K105" i="21"/>
  <c r="L105" i="21"/>
  <c r="M105" i="21"/>
  <c r="N105" i="21"/>
  <c r="O105" i="21"/>
  <c r="P105" i="21"/>
  <c r="Q105" i="21"/>
  <c r="D106" i="21"/>
  <c r="E106" i="21"/>
  <c r="F106" i="21"/>
  <c r="G106" i="21"/>
  <c r="H106" i="21"/>
  <c r="I106" i="21"/>
  <c r="J106" i="21"/>
  <c r="K106" i="21"/>
  <c r="L106" i="21"/>
  <c r="M106" i="21"/>
  <c r="N106" i="21"/>
  <c r="O106" i="21"/>
  <c r="P106" i="21"/>
  <c r="Q106" i="21"/>
  <c r="D107" i="21"/>
  <c r="E107" i="21"/>
  <c r="F107" i="21"/>
  <c r="G107" i="21"/>
  <c r="H107" i="21"/>
  <c r="I107" i="21"/>
  <c r="J107" i="21"/>
  <c r="K107" i="21"/>
  <c r="L107" i="21"/>
  <c r="M107" i="21"/>
  <c r="N107" i="21"/>
  <c r="O107" i="21"/>
  <c r="P107" i="21"/>
  <c r="Q107" i="21"/>
  <c r="D108" i="21"/>
  <c r="E108" i="21"/>
  <c r="F108" i="21"/>
  <c r="G108" i="21"/>
  <c r="H108" i="21"/>
  <c r="I108" i="21"/>
  <c r="J108" i="21"/>
  <c r="K108" i="21"/>
  <c r="L108" i="21"/>
  <c r="M108" i="21"/>
  <c r="N108" i="21"/>
  <c r="O108" i="21"/>
  <c r="P108" i="21"/>
  <c r="Q108" i="21"/>
  <c r="D109" i="21"/>
  <c r="E109" i="21"/>
  <c r="F109" i="21"/>
  <c r="G109" i="21"/>
  <c r="H109" i="21"/>
  <c r="I109" i="21"/>
  <c r="J109" i="21"/>
  <c r="K109" i="21"/>
  <c r="L109" i="21"/>
  <c r="M109" i="21"/>
  <c r="N109" i="21"/>
  <c r="O109" i="21"/>
  <c r="P109" i="21"/>
  <c r="Q109" i="21"/>
  <c r="D110" i="21"/>
  <c r="E110" i="21"/>
  <c r="F110" i="21"/>
  <c r="G110" i="21"/>
  <c r="H110" i="21"/>
  <c r="I110" i="21"/>
  <c r="J110" i="21"/>
  <c r="K110" i="21"/>
  <c r="L110" i="21"/>
  <c r="M110" i="21"/>
  <c r="N110" i="21"/>
  <c r="O110" i="21"/>
  <c r="P110" i="21"/>
  <c r="Q110" i="21"/>
  <c r="D111" i="21"/>
  <c r="E111" i="21"/>
  <c r="F111" i="21"/>
  <c r="G111" i="21"/>
  <c r="H111" i="21"/>
  <c r="I111" i="21"/>
  <c r="J111" i="21"/>
  <c r="K111" i="21"/>
  <c r="L111" i="21"/>
  <c r="M111" i="21"/>
  <c r="N111" i="21"/>
  <c r="O111" i="21"/>
  <c r="P111" i="21"/>
  <c r="Q111" i="21"/>
  <c r="D112" i="21"/>
  <c r="E112" i="21"/>
  <c r="F112" i="21"/>
  <c r="G112" i="21"/>
  <c r="H112" i="21"/>
  <c r="I112" i="21"/>
  <c r="J112" i="21"/>
  <c r="K112" i="21"/>
  <c r="L112" i="21"/>
  <c r="M112" i="21"/>
  <c r="N112" i="21"/>
  <c r="O112" i="21"/>
  <c r="P112" i="21"/>
  <c r="Q112" i="21"/>
  <c r="D113" i="21"/>
  <c r="E113" i="21"/>
  <c r="F113" i="21"/>
  <c r="G113" i="21"/>
  <c r="H113" i="21"/>
  <c r="I113" i="21"/>
  <c r="J113" i="21"/>
  <c r="K113" i="21"/>
  <c r="L113" i="21"/>
  <c r="M113" i="21"/>
  <c r="N113" i="21"/>
  <c r="O113" i="21"/>
  <c r="P113" i="21"/>
  <c r="Q113" i="21"/>
  <c r="D114" i="21"/>
  <c r="E114" i="21"/>
  <c r="F114" i="21"/>
  <c r="G114" i="21"/>
  <c r="H114" i="21"/>
  <c r="I114" i="21"/>
  <c r="J114" i="21"/>
  <c r="K114" i="21"/>
  <c r="L114" i="21"/>
  <c r="M114" i="21"/>
  <c r="N114" i="21"/>
  <c r="O114" i="21"/>
  <c r="P114" i="21"/>
  <c r="D117" i="21"/>
  <c r="E117" i="21"/>
  <c r="F117" i="21"/>
  <c r="G117" i="21"/>
  <c r="H117" i="21"/>
  <c r="I117" i="21"/>
  <c r="J117" i="21"/>
  <c r="K117" i="21"/>
  <c r="L117" i="21"/>
  <c r="M117" i="21"/>
  <c r="N117" i="21"/>
  <c r="Q117" i="21"/>
  <c r="H121" i="21"/>
  <c r="B127" i="21"/>
  <c r="H131" i="21"/>
  <c r="H132" i="21"/>
  <c r="H140" i="21"/>
  <c r="B144" i="21"/>
  <c r="B146" i="21"/>
  <c r="C146" i="21"/>
  <c r="G149" i="21"/>
  <c r="D246" i="20" s="1"/>
  <c r="H149" i="21"/>
  <c r="E246" i="20" s="1"/>
  <c r="G150" i="21"/>
  <c r="D247" i="20" s="1"/>
  <c r="G151" i="21"/>
  <c r="D248" i="20"/>
  <c r="G152" i="21"/>
  <c r="D249" i="20" s="1"/>
  <c r="G153" i="21"/>
  <c r="D250" i="20" s="1"/>
  <c r="H154" i="21"/>
  <c r="E251" i="20" s="1"/>
  <c r="G155" i="21"/>
  <c r="D252" i="20"/>
  <c r="G156" i="21"/>
  <c r="D253" i="20" s="1"/>
  <c r="H156" i="21"/>
  <c r="E253" i="20" s="1"/>
  <c r="G157" i="21"/>
  <c r="D254" i="20" s="1"/>
  <c r="H157" i="21"/>
  <c r="E254" i="20" s="1"/>
  <c r="I157" i="21"/>
  <c r="G158" i="21"/>
  <c r="D255" i="20"/>
  <c r="G160" i="21"/>
  <c r="H160" i="21"/>
  <c r="B162" i="21"/>
  <c r="H162" i="21"/>
  <c r="B163" i="21"/>
  <c r="H19" i="8"/>
  <c r="H20" i="8"/>
  <c r="F26" i="8"/>
  <c r="B29" i="8"/>
  <c r="N119" i="8"/>
  <c r="N121" i="8"/>
  <c r="N123" i="8"/>
  <c r="D130" i="8"/>
  <c r="B15" i="7"/>
  <c r="C17" i="11" s="1"/>
  <c r="H16" i="7"/>
  <c r="J16" i="7"/>
  <c r="B17" i="7"/>
  <c r="I17" i="7"/>
  <c r="B18" i="7"/>
  <c r="I18" i="7"/>
  <c r="B19" i="7"/>
  <c r="G19" i="7"/>
  <c r="I19" i="7"/>
  <c r="B20" i="7"/>
  <c r="I20" i="7"/>
  <c r="B21" i="7"/>
  <c r="I21" i="7"/>
  <c r="B22" i="7"/>
  <c r="B24" i="8" s="1"/>
  <c r="I22" i="7"/>
  <c r="B23" i="7"/>
  <c r="I23" i="7"/>
  <c r="I25" i="7"/>
  <c r="B26" i="7"/>
  <c r="D26" i="7"/>
  <c r="B27" i="7"/>
  <c r="B27" i="21" s="1"/>
  <c r="J27" i="7"/>
  <c r="C29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A116" i="7"/>
  <c r="G116" i="7"/>
  <c r="A118" i="7"/>
  <c r="B118" i="7"/>
  <c r="G118" i="7"/>
  <c r="A120" i="7"/>
  <c r="B120" i="7"/>
  <c r="G120" i="7"/>
  <c r="A122" i="7"/>
  <c r="B122" i="7"/>
  <c r="G122" i="7"/>
  <c r="A124" i="7"/>
  <c r="B124" i="7"/>
  <c r="G124" i="7"/>
  <c r="A126" i="7"/>
  <c r="B126" i="7"/>
  <c r="G126" i="7"/>
  <c r="A128" i="7"/>
  <c r="B128" i="7"/>
  <c r="G128" i="7"/>
  <c r="A19" i="20"/>
  <c r="C31" i="20"/>
  <c r="B33" i="20"/>
  <c r="C33" i="20"/>
  <c r="B45" i="20"/>
  <c r="B46" i="20"/>
  <c r="C46" i="20"/>
  <c r="D46" i="20"/>
  <c r="F46" i="20"/>
  <c r="G46" i="20"/>
  <c r="B47" i="20"/>
  <c r="C47" i="20"/>
  <c r="D47" i="20"/>
  <c r="F47" i="20"/>
  <c r="G47" i="20"/>
  <c r="B48" i="20"/>
  <c r="C48" i="20"/>
  <c r="D48" i="20"/>
  <c r="F48" i="20"/>
  <c r="G48" i="20"/>
  <c r="E107" i="20"/>
  <c r="E114" i="20"/>
  <c r="E115" i="20"/>
  <c r="E116" i="20"/>
  <c r="E117" i="20"/>
  <c r="E119" i="20"/>
  <c r="E121" i="20"/>
  <c r="E124" i="20"/>
  <c r="E125" i="20"/>
  <c r="E126" i="20"/>
  <c r="G126" i="20"/>
  <c r="F130" i="20"/>
  <c r="E127" i="20"/>
  <c r="D144" i="20"/>
  <c r="D149" i="20"/>
  <c r="D150" i="20"/>
  <c r="C152" i="20"/>
  <c r="E171" i="20"/>
  <c r="C169" i="20"/>
  <c r="D233" i="20"/>
  <c r="D169" i="20"/>
  <c r="E233" i="20"/>
  <c r="C171" i="20"/>
  <c r="C188" i="20"/>
  <c r="C189" i="20"/>
  <c r="D189" i="20"/>
  <c r="E234" i="20" s="1"/>
  <c r="C190" i="20"/>
  <c r="C191" i="20"/>
  <c r="C192" i="20"/>
  <c r="C194" i="20"/>
  <c r="D196" i="20"/>
  <c r="F246" i="20"/>
  <c r="F247" i="20"/>
  <c r="F248" i="20"/>
  <c r="F249" i="20"/>
  <c r="F250" i="20"/>
  <c r="F252" i="20"/>
  <c r="F255" i="20"/>
  <c r="D257" i="20"/>
  <c r="C267" i="20"/>
  <c r="A268" i="20"/>
  <c r="A267" i="20"/>
  <c r="C268" i="20"/>
  <c r="D1" i="16"/>
  <c r="C137" i="16" s="1"/>
  <c r="E151" i="16" s="1"/>
  <c r="B33" i="16"/>
  <c r="C33" i="16"/>
  <c r="B35" i="16"/>
  <c r="C35" i="16"/>
  <c r="B47" i="16"/>
  <c r="B48" i="16"/>
  <c r="C48" i="16"/>
  <c r="D48" i="16"/>
  <c r="F48" i="16"/>
  <c r="G48" i="16"/>
  <c r="B49" i="16"/>
  <c r="C49" i="16"/>
  <c r="D49" i="16"/>
  <c r="F49" i="16"/>
  <c r="G49" i="16"/>
  <c r="B50" i="16"/>
  <c r="C50" i="16"/>
  <c r="D50" i="16"/>
  <c r="F50" i="16"/>
  <c r="G50" i="16"/>
  <c r="E112" i="16"/>
  <c r="A26" i="16"/>
  <c r="E116" i="16"/>
  <c r="AV8" i="10"/>
  <c r="AV9" i="10"/>
  <c r="AV10" i="10"/>
  <c r="AW10" i="10"/>
  <c r="AX10" i="10"/>
  <c r="AS10" i="10" s="1"/>
  <c r="AY10" i="10"/>
  <c r="AS13" i="10"/>
  <c r="AH15" i="10"/>
  <c r="AK16" i="10"/>
  <c r="AO16" i="10"/>
  <c r="AU16" i="10"/>
  <c r="AX16" i="10"/>
  <c r="AY16" i="10"/>
  <c r="J17" i="7" s="1"/>
  <c r="AK17" i="10"/>
  <c r="AO17" i="10"/>
  <c r="AU17" i="10"/>
  <c r="AX17" i="10"/>
  <c r="AY17" i="10"/>
  <c r="AH18" i="10"/>
  <c r="AK18" i="10"/>
  <c r="AS18" i="10"/>
  <c r="AU18" i="10"/>
  <c r="AX18" i="10"/>
  <c r="AY18" i="10"/>
  <c r="AH19" i="10"/>
  <c r="AU19" i="10"/>
  <c r="AX19" i="10"/>
  <c r="AY19" i="10"/>
  <c r="J20" i="7" s="1"/>
  <c r="AH20" i="10"/>
  <c r="AK20" i="10"/>
  <c r="AU20" i="10"/>
  <c r="AX20" i="10"/>
  <c r="AY20" i="10"/>
  <c r="A21" i="10"/>
  <c r="AH21" i="10"/>
  <c r="AU21" i="10"/>
  <c r="H22" i="7" s="1"/>
  <c r="AX21" i="10"/>
  <c r="AY21" i="10"/>
  <c r="AK22" i="10"/>
  <c r="AU22" i="10"/>
  <c r="AX22" i="10"/>
  <c r="AY22" i="10"/>
  <c r="BC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U23" i="10"/>
  <c r="AS12" i="10" s="1"/>
  <c r="AX23" i="10"/>
  <c r="AY23" i="10"/>
  <c r="AS14" i="10" s="1"/>
  <c r="BC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BC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BA28" i="10"/>
  <c r="C29" i="10"/>
  <c r="D29" i="10"/>
  <c r="E29" i="10"/>
  <c r="F29" i="10"/>
  <c r="G29" i="10"/>
  <c r="H29" i="10"/>
  <c r="H117" i="10" s="1"/>
  <c r="I29" i="10"/>
  <c r="J29" i="10"/>
  <c r="J117" i="10" s="1"/>
  <c r="K29" i="10"/>
  <c r="K117" i="10" s="1"/>
  <c r="L29" i="10"/>
  <c r="M29" i="10"/>
  <c r="M117" i="10" s="1"/>
  <c r="N29" i="10"/>
  <c r="N117" i="10" s="1"/>
  <c r="N14" i="10" s="1"/>
  <c r="O29" i="10"/>
  <c r="P29" i="10"/>
  <c r="Q29" i="10"/>
  <c r="R29" i="10"/>
  <c r="R117" i="10" s="1"/>
  <c r="S29" i="10"/>
  <c r="T29" i="10"/>
  <c r="U29" i="10"/>
  <c r="U117" i="10" s="1"/>
  <c r="V29" i="10"/>
  <c r="W29" i="10"/>
  <c r="X29" i="10"/>
  <c r="Y29" i="10"/>
  <c r="Z29" i="10"/>
  <c r="AA29" i="10"/>
  <c r="AA117" i="10" s="1"/>
  <c r="AB29" i="10"/>
  <c r="AC29" i="10"/>
  <c r="AC117" i="10" s="1"/>
  <c r="AD29" i="10"/>
  <c r="AE29" i="10"/>
  <c r="AF29" i="10"/>
  <c r="AF117" i="10" s="1"/>
  <c r="AG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B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C31" i="21" s="1"/>
  <c r="AJ31" i="10"/>
  <c r="AK31" i="10"/>
  <c r="AL31" i="10"/>
  <c r="AM31" i="10"/>
  <c r="AN31" i="10"/>
  <c r="AO31" i="10"/>
  <c r="AP31" i="10"/>
  <c r="AQ31" i="10"/>
  <c r="AR31" i="10"/>
  <c r="AS31" i="10"/>
  <c r="AT31" i="10"/>
  <c r="AV31" i="10"/>
  <c r="I31" i="7" s="1"/>
  <c r="AW31" i="10"/>
  <c r="AX31" i="10"/>
  <c r="AY31" i="10"/>
  <c r="AZ31" i="10"/>
  <c r="BA31" i="10"/>
  <c r="J31" i="7"/>
  <c r="BB31" i="10"/>
  <c r="K31" i="7"/>
  <c r="BC31" i="10"/>
  <c r="L31" i="7"/>
  <c r="BG31" i="10"/>
  <c r="BH31" i="10"/>
  <c r="B32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B32" i="13" s="1"/>
  <c r="AJ32" i="10"/>
  <c r="AK32" i="10"/>
  <c r="AL32" i="10"/>
  <c r="AM32" i="10"/>
  <c r="AN32" i="10"/>
  <c r="AO32" i="10"/>
  <c r="AP32" i="10"/>
  <c r="AQ32" i="10"/>
  <c r="AR32" i="10"/>
  <c r="AS32" i="10"/>
  <c r="AT32" i="10"/>
  <c r="AV32" i="10"/>
  <c r="I32" i="7"/>
  <c r="AW32" i="10"/>
  <c r="AX32" i="10"/>
  <c r="AY32" i="10"/>
  <c r="AZ32" i="10"/>
  <c r="BA32" i="10"/>
  <c r="J32" i="7"/>
  <c r="BB32" i="10"/>
  <c r="K32" i="7"/>
  <c r="BC32" i="10"/>
  <c r="L32" i="7"/>
  <c r="BG32" i="10"/>
  <c r="BI32" i="10"/>
  <c r="B33" i="10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C33" i="13" s="1"/>
  <c r="AJ33" i="10"/>
  <c r="AK33" i="10"/>
  <c r="AL33" i="10"/>
  <c r="AM33" i="10"/>
  <c r="AN33" i="10"/>
  <c r="AO33" i="10"/>
  <c r="AP33" i="10"/>
  <c r="AQ33" i="10"/>
  <c r="AR33" i="10"/>
  <c r="AS33" i="10"/>
  <c r="AT33" i="10"/>
  <c r="AV33" i="10"/>
  <c r="I33" i="7" s="1"/>
  <c r="AW33" i="10"/>
  <c r="AX33" i="10"/>
  <c r="AY33" i="10"/>
  <c r="AZ33" i="10"/>
  <c r="BA33" i="10"/>
  <c r="J33" i="7" s="1"/>
  <c r="BB33" i="10"/>
  <c r="K33" i="7" s="1"/>
  <c r="BC33" i="10"/>
  <c r="L33" i="7" s="1"/>
  <c r="BG33" i="10"/>
  <c r="BI33" i="10"/>
  <c r="B34" i="10"/>
  <c r="C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V34" i="10"/>
  <c r="I34" i="7"/>
  <c r="AW34" i="10"/>
  <c r="AX34" i="10"/>
  <c r="AY34" i="10"/>
  <c r="AZ34" i="10"/>
  <c r="BA34" i="10"/>
  <c r="J34" i="7"/>
  <c r="BB34" i="10"/>
  <c r="K34" i="7"/>
  <c r="BC34" i="10"/>
  <c r="L34" i="7"/>
  <c r="BG34" i="10"/>
  <c r="B35" i="10"/>
  <c r="C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V35" i="10"/>
  <c r="I35" i="7"/>
  <c r="AW35" i="10"/>
  <c r="AX35" i="10"/>
  <c r="AY35" i="10"/>
  <c r="AZ35" i="10"/>
  <c r="BA35" i="10"/>
  <c r="J35" i="7" s="1"/>
  <c r="BB35" i="10"/>
  <c r="K35" i="7" s="1"/>
  <c r="BC35" i="10"/>
  <c r="L35" i="7" s="1"/>
  <c r="BG35" i="10"/>
  <c r="B36" i="10"/>
  <c r="C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V36" i="10"/>
  <c r="I36" i="7"/>
  <c r="AW36" i="10"/>
  <c r="AX36" i="10"/>
  <c r="AY36" i="10"/>
  <c r="AZ36" i="10"/>
  <c r="BA36" i="10"/>
  <c r="J36" i="7"/>
  <c r="BB36" i="10"/>
  <c r="K36" i="7"/>
  <c r="BC36" i="10"/>
  <c r="L36" i="7"/>
  <c r="BG36" i="10"/>
  <c r="BI36" i="10"/>
  <c r="B37" i="10"/>
  <c r="C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B37" i="13" s="1"/>
  <c r="AJ37" i="10"/>
  <c r="AK37" i="10"/>
  <c r="AL37" i="10"/>
  <c r="AM37" i="10"/>
  <c r="AN37" i="10"/>
  <c r="AO37" i="10"/>
  <c r="AP37" i="10"/>
  <c r="AQ37" i="10"/>
  <c r="AR37" i="10"/>
  <c r="AS37" i="10"/>
  <c r="AT37" i="10"/>
  <c r="AV37" i="10"/>
  <c r="I37" i="7" s="1"/>
  <c r="AW37" i="10"/>
  <c r="AX37" i="10"/>
  <c r="AY37" i="10"/>
  <c r="AZ37" i="10"/>
  <c r="BA37" i="10"/>
  <c r="J37" i="7" s="1"/>
  <c r="BB37" i="10"/>
  <c r="K37" i="7" s="1"/>
  <c r="BC37" i="10"/>
  <c r="L37" i="7" s="1"/>
  <c r="BG37" i="10"/>
  <c r="BH37" i="10"/>
  <c r="B38" i="10"/>
  <c r="C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B38" i="8" s="1"/>
  <c r="AJ38" i="10"/>
  <c r="AK38" i="10"/>
  <c r="AL38" i="10"/>
  <c r="AM38" i="10"/>
  <c r="AN38" i="10"/>
  <c r="AO38" i="10"/>
  <c r="AP38" i="10"/>
  <c r="AQ38" i="10"/>
  <c r="AR38" i="10"/>
  <c r="AS38" i="10"/>
  <c r="AT38" i="10"/>
  <c r="AV38" i="10"/>
  <c r="I38" i="7" s="1"/>
  <c r="AW38" i="10"/>
  <c r="AX38" i="10"/>
  <c r="AY38" i="10"/>
  <c r="AZ38" i="10"/>
  <c r="BA38" i="10"/>
  <c r="J38" i="7" s="1"/>
  <c r="BB38" i="10"/>
  <c r="K38" i="7" s="1"/>
  <c r="BC38" i="10"/>
  <c r="L38" i="7" s="1"/>
  <c r="BG38" i="10"/>
  <c r="BI38" i="10"/>
  <c r="B39" i="10"/>
  <c r="C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V39" i="10"/>
  <c r="I39" i="7"/>
  <c r="AW39" i="10"/>
  <c r="AX39" i="10"/>
  <c r="AY39" i="10"/>
  <c r="AZ39" i="10"/>
  <c r="BA39" i="10"/>
  <c r="J39" i="7" s="1"/>
  <c r="BB39" i="10"/>
  <c r="K39" i="7" s="1"/>
  <c r="BC39" i="10"/>
  <c r="L39" i="7" s="1"/>
  <c r="BG39" i="10"/>
  <c r="BI39" i="10"/>
  <c r="B40" i="10"/>
  <c r="C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V40" i="10"/>
  <c r="I40" i="7"/>
  <c r="AW40" i="10"/>
  <c r="AX40" i="10"/>
  <c r="AY40" i="10"/>
  <c r="AZ40" i="10"/>
  <c r="BA40" i="10"/>
  <c r="J40" i="7"/>
  <c r="BB40" i="10"/>
  <c r="K40" i="7"/>
  <c r="BC40" i="10"/>
  <c r="L40" i="7"/>
  <c r="BG40" i="10"/>
  <c r="B41" i="10"/>
  <c r="C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B41" i="13" s="1"/>
  <c r="AJ41" i="10"/>
  <c r="AK41" i="10"/>
  <c r="AL41" i="10"/>
  <c r="AM41" i="10"/>
  <c r="AN41" i="10"/>
  <c r="AO41" i="10"/>
  <c r="AP41" i="10"/>
  <c r="AQ41" i="10"/>
  <c r="AR41" i="10"/>
  <c r="AS41" i="10"/>
  <c r="AT41" i="10"/>
  <c r="AV41" i="10"/>
  <c r="I41" i="7"/>
  <c r="AW41" i="10"/>
  <c r="AX41" i="10"/>
  <c r="AY41" i="10"/>
  <c r="AZ41" i="10"/>
  <c r="BA41" i="10"/>
  <c r="J41" i="7"/>
  <c r="BB41" i="10"/>
  <c r="K41" i="7"/>
  <c r="BC41" i="10"/>
  <c r="L41" i="7"/>
  <c r="BG41" i="10"/>
  <c r="BH41" i="10"/>
  <c r="B42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V42" i="10"/>
  <c r="I42" i="7"/>
  <c r="AW42" i="10"/>
  <c r="AX42" i="10"/>
  <c r="AY42" i="10"/>
  <c r="AZ42" i="10"/>
  <c r="BA42" i="10"/>
  <c r="J42" i="7"/>
  <c r="BB42" i="10"/>
  <c r="K42" i="7"/>
  <c r="BC42" i="10"/>
  <c r="L42" i="7"/>
  <c r="BG42" i="10"/>
  <c r="BH42" i="10"/>
  <c r="B43" i="10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C43" i="21" s="1"/>
  <c r="AJ43" i="10"/>
  <c r="AK43" i="10"/>
  <c r="AL43" i="10"/>
  <c r="AM43" i="10"/>
  <c r="AN43" i="10"/>
  <c r="AO43" i="10"/>
  <c r="AP43" i="10"/>
  <c r="AQ43" i="10"/>
  <c r="AR43" i="10"/>
  <c r="AS43" i="10"/>
  <c r="AT43" i="10"/>
  <c r="AV43" i="10"/>
  <c r="I43" i="7"/>
  <c r="AW43" i="10"/>
  <c r="AX43" i="10"/>
  <c r="AY43" i="10"/>
  <c r="AZ43" i="10"/>
  <c r="BA43" i="10"/>
  <c r="J43" i="7"/>
  <c r="BB43" i="10"/>
  <c r="K43" i="7"/>
  <c r="BC43" i="10"/>
  <c r="L43" i="7"/>
  <c r="BG43" i="10"/>
  <c r="BH43" i="10"/>
  <c r="B44" i="10"/>
  <c r="C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V44" i="10"/>
  <c r="I44" i="7"/>
  <c r="AW44" i="10"/>
  <c r="AX44" i="10"/>
  <c r="AY44" i="10"/>
  <c r="AZ44" i="10"/>
  <c r="BA44" i="10"/>
  <c r="J44" i="7"/>
  <c r="BB44" i="10"/>
  <c r="K44" i="7"/>
  <c r="BC44" i="10"/>
  <c r="L44" i="7"/>
  <c r="BG44" i="10"/>
  <c r="B45" i="10"/>
  <c r="C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V45" i="10"/>
  <c r="I45" i="7"/>
  <c r="AW45" i="10"/>
  <c r="AX45" i="10"/>
  <c r="AY45" i="10"/>
  <c r="AZ45" i="10"/>
  <c r="BA45" i="10"/>
  <c r="J45" i="7"/>
  <c r="BB45" i="10"/>
  <c r="K45" i="7"/>
  <c r="BC45" i="10"/>
  <c r="L45" i="7"/>
  <c r="BG45" i="10"/>
  <c r="BH45" i="10"/>
  <c r="B46" i="10"/>
  <c r="C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V46" i="10"/>
  <c r="I46" i="7" s="1"/>
  <c r="AW46" i="10"/>
  <c r="AX46" i="10"/>
  <c r="AY46" i="10"/>
  <c r="AZ46" i="10"/>
  <c r="BA46" i="10"/>
  <c r="J46" i="7" s="1"/>
  <c r="BB46" i="10"/>
  <c r="K46" i="7" s="1"/>
  <c r="BC46" i="10"/>
  <c r="L46" i="7" s="1"/>
  <c r="BG46" i="10"/>
  <c r="BH46" i="10" s="1"/>
  <c r="B47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V47" i="10"/>
  <c r="I47" i="7"/>
  <c r="AW47" i="10"/>
  <c r="AX47" i="10"/>
  <c r="AY47" i="10"/>
  <c r="AZ47" i="10"/>
  <c r="BA47" i="10"/>
  <c r="J47" i="7" s="1"/>
  <c r="BB47" i="10"/>
  <c r="K47" i="7"/>
  <c r="BC47" i="10"/>
  <c r="L47" i="7"/>
  <c r="BG47" i="10"/>
  <c r="B48" i="10"/>
  <c r="C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V48" i="10"/>
  <c r="I48" i="7"/>
  <c r="AW48" i="10"/>
  <c r="AX48" i="10"/>
  <c r="AY48" i="10"/>
  <c r="AZ48" i="10"/>
  <c r="BA48" i="10"/>
  <c r="J48" i="7" s="1"/>
  <c r="BB48" i="10"/>
  <c r="K48" i="7"/>
  <c r="BC48" i="10"/>
  <c r="L48" i="7"/>
  <c r="BG48" i="10"/>
  <c r="BH48" i="10" s="1"/>
  <c r="B49" i="10"/>
  <c r="C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V49" i="10"/>
  <c r="I49" i="7" s="1"/>
  <c r="AW49" i="10"/>
  <c r="AX49" i="10"/>
  <c r="AY49" i="10"/>
  <c r="AZ49" i="10"/>
  <c r="BA49" i="10"/>
  <c r="J49" i="7"/>
  <c r="BB49" i="10"/>
  <c r="K49" i="7" s="1"/>
  <c r="BC49" i="10"/>
  <c r="L49" i="7" s="1"/>
  <c r="BG49" i="10"/>
  <c r="B50" i="10"/>
  <c r="C50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V50" i="10"/>
  <c r="I50" i="7" s="1"/>
  <c r="AW50" i="10"/>
  <c r="AX50" i="10"/>
  <c r="AY50" i="10"/>
  <c r="AZ50" i="10"/>
  <c r="BA50" i="10"/>
  <c r="J50" i="7"/>
  <c r="BB50" i="10"/>
  <c r="K50" i="7" s="1"/>
  <c r="BC50" i="10"/>
  <c r="L50" i="7"/>
  <c r="BG50" i="10"/>
  <c r="B51" i="10"/>
  <c r="C51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B51" i="13" s="1"/>
  <c r="AJ51" i="10"/>
  <c r="AK51" i="10"/>
  <c r="AL51" i="10"/>
  <c r="AM51" i="10"/>
  <c r="AN51" i="10"/>
  <c r="AO51" i="10"/>
  <c r="AP51" i="10"/>
  <c r="AQ51" i="10"/>
  <c r="AR51" i="10"/>
  <c r="AS51" i="10"/>
  <c r="AT51" i="10"/>
  <c r="AV51" i="10"/>
  <c r="I51" i="7" s="1"/>
  <c r="AW51" i="10"/>
  <c r="AX51" i="10"/>
  <c r="AY51" i="10"/>
  <c r="AZ51" i="10"/>
  <c r="A51" i="13"/>
  <c r="BA51" i="10"/>
  <c r="J51" i="7" s="1"/>
  <c r="BB51" i="10"/>
  <c r="K51" i="7"/>
  <c r="BC51" i="10"/>
  <c r="L51" i="7"/>
  <c r="BG51" i="10"/>
  <c r="BH51" i="10" s="1"/>
  <c r="B52" i="10"/>
  <c r="C52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B52" i="8" s="1"/>
  <c r="AJ52" i="10"/>
  <c r="AK52" i="10"/>
  <c r="AL52" i="10"/>
  <c r="AM52" i="10"/>
  <c r="AN52" i="10"/>
  <c r="AO52" i="10"/>
  <c r="AP52" i="10"/>
  <c r="AQ52" i="10"/>
  <c r="AR52" i="10"/>
  <c r="AS52" i="10"/>
  <c r="AT52" i="10"/>
  <c r="AV52" i="10"/>
  <c r="I52" i="7"/>
  <c r="AW52" i="10"/>
  <c r="AX52" i="10"/>
  <c r="AY52" i="10"/>
  <c r="AZ52" i="10"/>
  <c r="BA52" i="10"/>
  <c r="J52" i="7"/>
  <c r="BB52" i="10"/>
  <c r="K52" i="7"/>
  <c r="BC52" i="10"/>
  <c r="L52" i="7"/>
  <c r="BG52" i="10"/>
  <c r="B53" i="10"/>
  <c r="C53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V53" i="10"/>
  <c r="I53" i="7"/>
  <c r="AW53" i="10"/>
  <c r="AX53" i="10"/>
  <c r="AY53" i="10"/>
  <c r="AZ53" i="10"/>
  <c r="BA53" i="10"/>
  <c r="J53" i="7" s="1"/>
  <c r="BB53" i="10"/>
  <c r="K53" i="7"/>
  <c r="BC53" i="10"/>
  <c r="L53" i="7"/>
  <c r="BG53" i="10"/>
  <c r="BI53" i="10" s="1"/>
  <c r="B54" i="10"/>
  <c r="C54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B54" i="21" s="1"/>
  <c r="AJ54" i="10"/>
  <c r="AK54" i="10"/>
  <c r="AL54" i="10"/>
  <c r="AM54" i="10"/>
  <c r="AN54" i="10"/>
  <c r="AO54" i="10"/>
  <c r="AP54" i="10"/>
  <c r="AQ54" i="10"/>
  <c r="AR54" i="10"/>
  <c r="AS54" i="10"/>
  <c r="AT54" i="10"/>
  <c r="AV54" i="10"/>
  <c r="I54" i="7"/>
  <c r="AW54" i="10"/>
  <c r="AX54" i="10"/>
  <c r="AY54" i="10"/>
  <c r="AZ54" i="10"/>
  <c r="BA54" i="10"/>
  <c r="J54" i="7"/>
  <c r="BB54" i="10"/>
  <c r="K54" i="7"/>
  <c r="BC54" i="10"/>
  <c r="L54" i="7"/>
  <c r="BG54" i="10"/>
  <c r="BI54" i="10" s="1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V55" i="10"/>
  <c r="I55" i="7"/>
  <c r="AW55" i="10"/>
  <c r="AX55" i="10"/>
  <c r="AY55" i="10"/>
  <c r="AZ55" i="10"/>
  <c r="A55" i="13"/>
  <c r="BA55" i="10"/>
  <c r="J55" i="7"/>
  <c r="BB55" i="10"/>
  <c r="K55" i="7" s="1"/>
  <c r="BC55" i="10"/>
  <c r="L55" i="7" s="1"/>
  <c r="BG55" i="10"/>
  <c r="BH55" i="10"/>
  <c r="B56" i="10"/>
  <c r="C56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V56" i="10"/>
  <c r="I56" i="7"/>
  <c r="AW56" i="10"/>
  <c r="AX56" i="10"/>
  <c r="AY56" i="10"/>
  <c r="AZ56" i="10"/>
  <c r="BA56" i="10"/>
  <c r="J56" i="7" s="1"/>
  <c r="BB56" i="10"/>
  <c r="K56" i="7"/>
  <c r="BC56" i="10"/>
  <c r="L56" i="7"/>
  <c r="BG56" i="10"/>
  <c r="B57" i="10"/>
  <c r="C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C57" i="13" s="1"/>
  <c r="AJ57" i="10"/>
  <c r="AK57" i="10"/>
  <c r="AL57" i="10"/>
  <c r="AM57" i="10"/>
  <c r="AN57" i="10"/>
  <c r="AO57" i="10"/>
  <c r="AP57" i="10"/>
  <c r="AQ57" i="10"/>
  <c r="AR57" i="10"/>
  <c r="AS57" i="10"/>
  <c r="AT57" i="10"/>
  <c r="AV57" i="10"/>
  <c r="I57" i="7"/>
  <c r="AW57" i="10"/>
  <c r="AX57" i="10"/>
  <c r="AY57" i="10"/>
  <c r="AZ57" i="10"/>
  <c r="BA57" i="10"/>
  <c r="J57" i="7" s="1"/>
  <c r="BB57" i="10"/>
  <c r="K57" i="7"/>
  <c r="BC57" i="10"/>
  <c r="L57" i="7"/>
  <c r="BG57" i="10"/>
  <c r="BH57" i="10"/>
  <c r="B58" i="10"/>
  <c r="C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B58" i="21" s="1"/>
  <c r="AJ58" i="10"/>
  <c r="AK58" i="10"/>
  <c r="AL58" i="10"/>
  <c r="AM58" i="10"/>
  <c r="AN58" i="10"/>
  <c r="AO58" i="10"/>
  <c r="AP58" i="10"/>
  <c r="AQ58" i="10"/>
  <c r="AR58" i="10"/>
  <c r="AS58" i="10"/>
  <c r="AT58" i="10"/>
  <c r="AV58" i="10"/>
  <c r="I58" i="7" s="1"/>
  <c r="AW58" i="10"/>
  <c r="AX58" i="10"/>
  <c r="AY58" i="10"/>
  <c r="AZ58" i="10"/>
  <c r="BA58" i="10"/>
  <c r="J58" i="7"/>
  <c r="BB58" i="10"/>
  <c r="K58" i="7" s="1"/>
  <c r="BC58" i="10"/>
  <c r="L58" i="7"/>
  <c r="BG58" i="10"/>
  <c r="B59" i="10"/>
  <c r="C59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AN59" i="10"/>
  <c r="AO59" i="10"/>
  <c r="AP59" i="10"/>
  <c r="AQ59" i="10"/>
  <c r="AR59" i="10"/>
  <c r="AS59" i="10"/>
  <c r="AT59" i="10"/>
  <c r="AV59" i="10"/>
  <c r="I59" i="7" s="1"/>
  <c r="AW59" i="10"/>
  <c r="AX59" i="10"/>
  <c r="AY59" i="10"/>
  <c r="AZ59" i="10"/>
  <c r="BA59" i="10"/>
  <c r="J59" i="7"/>
  <c r="BB59" i="10"/>
  <c r="K59" i="7"/>
  <c r="BC59" i="10"/>
  <c r="L59" i="7" s="1"/>
  <c r="BG59" i="10"/>
  <c r="BH59" i="10"/>
  <c r="B60" i="10"/>
  <c r="C60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C60" i="13" s="1"/>
  <c r="AJ60" i="10"/>
  <c r="AK60" i="10"/>
  <c r="AL60" i="10"/>
  <c r="AM60" i="10"/>
  <c r="AN60" i="10"/>
  <c r="AO60" i="10"/>
  <c r="AP60" i="10"/>
  <c r="AQ60" i="10"/>
  <c r="AR60" i="10"/>
  <c r="AS60" i="10"/>
  <c r="AT60" i="10"/>
  <c r="AV60" i="10"/>
  <c r="I60" i="7" s="1"/>
  <c r="AW60" i="10"/>
  <c r="AX60" i="10"/>
  <c r="AY60" i="10"/>
  <c r="AZ60" i="10"/>
  <c r="BA60" i="10"/>
  <c r="J60" i="7"/>
  <c r="BB60" i="10"/>
  <c r="K60" i="7"/>
  <c r="BC60" i="10"/>
  <c r="L60" i="7"/>
  <c r="BG60" i="10"/>
  <c r="B61" i="10"/>
  <c r="C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BJ61" i="10" s="1"/>
  <c r="AI61" i="10"/>
  <c r="AJ61" i="10"/>
  <c r="AK61" i="10"/>
  <c r="AL61" i="10"/>
  <c r="AM61" i="10"/>
  <c r="AN61" i="10"/>
  <c r="AO61" i="10"/>
  <c r="AP61" i="10"/>
  <c r="AQ61" i="10"/>
  <c r="AR61" i="10"/>
  <c r="AS61" i="10"/>
  <c r="AT61" i="10"/>
  <c r="AV61" i="10"/>
  <c r="I61" i="7" s="1"/>
  <c r="AW61" i="10"/>
  <c r="AX61" i="10"/>
  <c r="AY61" i="10"/>
  <c r="AZ61" i="10"/>
  <c r="BA61" i="10"/>
  <c r="J61" i="7"/>
  <c r="BB61" i="10"/>
  <c r="K61" i="7" s="1"/>
  <c r="BC61" i="10"/>
  <c r="L61" i="7"/>
  <c r="BG61" i="10"/>
  <c r="BH61" i="10"/>
  <c r="B62" i="10"/>
  <c r="C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V62" i="10"/>
  <c r="I62" i="7"/>
  <c r="AW62" i="10"/>
  <c r="AX62" i="10"/>
  <c r="AY62" i="10"/>
  <c r="AZ62" i="10"/>
  <c r="BA62" i="10"/>
  <c r="J62" i="7" s="1"/>
  <c r="BB62" i="10"/>
  <c r="K62" i="7"/>
  <c r="BC62" i="10"/>
  <c r="L62" i="7"/>
  <c r="BG62" i="10"/>
  <c r="BI62" i="10" s="1"/>
  <c r="B63" i="10"/>
  <c r="C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B63" i="8" s="1"/>
  <c r="G63" i="8" s="1"/>
  <c r="AJ63" i="10"/>
  <c r="AK63" i="10"/>
  <c r="AL63" i="10"/>
  <c r="AM63" i="10"/>
  <c r="AN63" i="10"/>
  <c r="AO63" i="10"/>
  <c r="AP63" i="10"/>
  <c r="AQ63" i="10"/>
  <c r="AR63" i="10"/>
  <c r="AS63" i="10"/>
  <c r="AT63" i="10"/>
  <c r="AV63" i="10"/>
  <c r="I63" i="7" s="1"/>
  <c r="AW63" i="10"/>
  <c r="AX63" i="10"/>
  <c r="AY63" i="10"/>
  <c r="AZ63" i="10"/>
  <c r="A63" i="13"/>
  <c r="BA63" i="10"/>
  <c r="J63" i="7" s="1"/>
  <c r="BB63" i="10"/>
  <c r="K63" i="7"/>
  <c r="BC63" i="10"/>
  <c r="L63" i="7"/>
  <c r="BG63" i="10"/>
  <c r="BH63" i="10" s="1"/>
  <c r="B64" i="10"/>
  <c r="C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AC64" i="10"/>
  <c r="AD64" i="10"/>
  <c r="AE64" i="10"/>
  <c r="AF64" i="10"/>
  <c r="AG64" i="10"/>
  <c r="AH64" i="10"/>
  <c r="AI64" i="10"/>
  <c r="AJ64" i="10"/>
  <c r="AK64" i="10"/>
  <c r="AL64" i="10"/>
  <c r="AM64" i="10"/>
  <c r="AN64" i="10"/>
  <c r="AO64" i="10"/>
  <c r="AP64" i="10"/>
  <c r="AQ64" i="10"/>
  <c r="AR64" i="10"/>
  <c r="AS64" i="10"/>
  <c r="AT64" i="10"/>
  <c r="AV64" i="10"/>
  <c r="I64" i="7"/>
  <c r="AW64" i="10"/>
  <c r="AX64" i="10"/>
  <c r="AY64" i="10"/>
  <c r="AZ64" i="10"/>
  <c r="BA64" i="10"/>
  <c r="J64" i="7"/>
  <c r="BB64" i="10"/>
  <c r="K64" i="7"/>
  <c r="BC64" i="10"/>
  <c r="L64" i="7"/>
  <c r="BG64" i="10"/>
  <c r="B65" i="10"/>
  <c r="C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AC65" i="10"/>
  <c r="AD65" i="10"/>
  <c r="AE65" i="10"/>
  <c r="AF65" i="10"/>
  <c r="AG65" i="10"/>
  <c r="AH65" i="10"/>
  <c r="AI65" i="10"/>
  <c r="B65" i="21" s="1"/>
  <c r="AJ65" i="10"/>
  <c r="AK65" i="10"/>
  <c r="AL65" i="10"/>
  <c r="AM65" i="10"/>
  <c r="AN65" i="10"/>
  <c r="AO65" i="10"/>
  <c r="AP65" i="10"/>
  <c r="AQ65" i="10"/>
  <c r="AR65" i="10"/>
  <c r="AS65" i="10"/>
  <c r="AT65" i="10"/>
  <c r="AV65" i="10"/>
  <c r="I65" i="7" s="1"/>
  <c r="AW65" i="10"/>
  <c r="AX65" i="10"/>
  <c r="AY65" i="10"/>
  <c r="AZ65" i="10"/>
  <c r="BA65" i="10"/>
  <c r="J65" i="7"/>
  <c r="BB65" i="10"/>
  <c r="K65" i="7" s="1"/>
  <c r="BC65" i="10"/>
  <c r="L65" i="7"/>
  <c r="BG65" i="10"/>
  <c r="B66" i="10"/>
  <c r="C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V66" i="10"/>
  <c r="I66" i="7" s="1"/>
  <c r="AW66" i="10"/>
  <c r="AX66" i="10"/>
  <c r="AY66" i="10"/>
  <c r="AZ66" i="10"/>
  <c r="BA66" i="10"/>
  <c r="J66" i="7" s="1"/>
  <c r="BB66" i="10"/>
  <c r="K66" i="7" s="1"/>
  <c r="BC66" i="10"/>
  <c r="L66" i="7"/>
  <c r="BG66" i="10"/>
  <c r="B67" i="10"/>
  <c r="C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AC67" i="10"/>
  <c r="AD67" i="10"/>
  <c r="AE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AV67" i="10"/>
  <c r="I67" i="7"/>
  <c r="AW67" i="10"/>
  <c r="AX67" i="10"/>
  <c r="AY67" i="10"/>
  <c r="AZ67" i="10"/>
  <c r="A67" i="13"/>
  <c r="BA67" i="10"/>
  <c r="J67" i="7"/>
  <c r="BB67" i="10"/>
  <c r="K67" i="7"/>
  <c r="BC67" i="10"/>
  <c r="L67" i="7"/>
  <c r="BG67" i="10"/>
  <c r="BH67" i="10" s="1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V68" i="10"/>
  <c r="I68" i="7"/>
  <c r="AW68" i="10"/>
  <c r="AX68" i="10"/>
  <c r="AY68" i="10"/>
  <c r="AZ68" i="10"/>
  <c r="BA68" i="10"/>
  <c r="J68" i="7"/>
  <c r="BB68" i="10"/>
  <c r="K68" i="7"/>
  <c r="BC68" i="10"/>
  <c r="L68" i="7" s="1"/>
  <c r="BG68" i="10"/>
  <c r="BI68" i="10" s="1"/>
  <c r="B69" i="10"/>
  <c r="C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AC69" i="10"/>
  <c r="AD69" i="10"/>
  <c r="AE69" i="10"/>
  <c r="AF69" i="10"/>
  <c r="AG69" i="10"/>
  <c r="AH69" i="10"/>
  <c r="AI69" i="10"/>
  <c r="AJ69" i="10"/>
  <c r="AK69" i="10"/>
  <c r="AL69" i="10"/>
  <c r="AM69" i="10"/>
  <c r="AN69" i="10"/>
  <c r="AO69" i="10"/>
  <c r="AP69" i="10"/>
  <c r="AQ69" i="10"/>
  <c r="AR69" i="10"/>
  <c r="AS69" i="10"/>
  <c r="AT69" i="10"/>
  <c r="AV69" i="10"/>
  <c r="I69" i="7"/>
  <c r="AW69" i="10"/>
  <c r="AX69" i="10"/>
  <c r="AY69" i="10"/>
  <c r="AZ69" i="10"/>
  <c r="BA69" i="10"/>
  <c r="J69" i="7" s="1"/>
  <c r="BB69" i="10"/>
  <c r="K69" i="7"/>
  <c r="BC69" i="10"/>
  <c r="L69" i="7"/>
  <c r="BG69" i="10"/>
  <c r="BH69" i="10" s="1"/>
  <c r="B70" i="10"/>
  <c r="C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AC70" i="10"/>
  <c r="AD70" i="10"/>
  <c r="AE70" i="10"/>
  <c r="AF70" i="10"/>
  <c r="AG70" i="10"/>
  <c r="AH70" i="10"/>
  <c r="AI70" i="10"/>
  <c r="AJ70" i="10"/>
  <c r="AK70" i="10"/>
  <c r="AL70" i="10"/>
  <c r="AM70" i="10"/>
  <c r="AN70" i="10"/>
  <c r="AO70" i="10"/>
  <c r="AP70" i="10"/>
  <c r="AQ70" i="10"/>
  <c r="AR70" i="10"/>
  <c r="AS70" i="10"/>
  <c r="AT70" i="10"/>
  <c r="AV70" i="10"/>
  <c r="I70" i="7" s="1"/>
  <c r="AW70" i="10"/>
  <c r="AX70" i="10"/>
  <c r="AY70" i="10"/>
  <c r="AZ70" i="10"/>
  <c r="A70" i="13"/>
  <c r="BA70" i="10"/>
  <c r="J70" i="7" s="1"/>
  <c r="BB70" i="10"/>
  <c r="K70" i="7"/>
  <c r="BC70" i="10"/>
  <c r="L70" i="7"/>
  <c r="BG70" i="10"/>
  <c r="BI70" i="10" s="1"/>
  <c r="B71" i="10"/>
  <c r="C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AC71" i="10"/>
  <c r="AD71" i="10"/>
  <c r="AE71" i="10"/>
  <c r="AF71" i="10"/>
  <c r="AG71" i="10"/>
  <c r="AH71" i="10"/>
  <c r="AI71" i="10"/>
  <c r="AJ71" i="10"/>
  <c r="AK71" i="10"/>
  <c r="AL71" i="10"/>
  <c r="AM71" i="10"/>
  <c r="AN71" i="10"/>
  <c r="AO71" i="10"/>
  <c r="AP71" i="10"/>
  <c r="AQ71" i="10"/>
  <c r="AR71" i="10"/>
  <c r="AS71" i="10"/>
  <c r="AT71" i="10"/>
  <c r="AV71" i="10"/>
  <c r="I71" i="7"/>
  <c r="AW71" i="10"/>
  <c r="AX71" i="10"/>
  <c r="AY71" i="10"/>
  <c r="AZ71" i="10"/>
  <c r="A71" i="13"/>
  <c r="BA71" i="10"/>
  <c r="J71" i="7"/>
  <c r="BB71" i="10"/>
  <c r="K71" i="7"/>
  <c r="BC71" i="10"/>
  <c r="L71" i="7" s="1"/>
  <c r="BG71" i="10"/>
  <c r="BH71" i="10"/>
  <c r="B72" i="10"/>
  <c r="C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AC72" i="10"/>
  <c r="AD72" i="10"/>
  <c r="AE72" i="10"/>
  <c r="AF72" i="10"/>
  <c r="AG72" i="10"/>
  <c r="AH72" i="10"/>
  <c r="AI72" i="10"/>
  <c r="AJ72" i="10"/>
  <c r="AK72" i="10"/>
  <c r="AL72" i="10"/>
  <c r="AM72" i="10"/>
  <c r="AN72" i="10"/>
  <c r="AO72" i="10"/>
  <c r="AP72" i="10"/>
  <c r="AQ72" i="10"/>
  <c r="AR72" i="10"/>
  <c r="AS72" i="10"/>
  <c r="AT72" i="10"/>
  <c r="AV72" i="10"/>
  <c r="I72" i="7"/>
  <c r="AW72" i="10"/>
  <c r="AX72" i="10"/>
  <c r="AY72" i="10"/>
  <c r="AZ72" i="10"/>
  <c r="BA72" i="10"/>
  <c r="J72" i="7"/>
  <c r="BB72" i="10"/>
  <c r="K72" i="7"/>
  <c r="BC72" i="10"/>
  <c r="L72" i="7"/>
  <c r="BG72" i="10"/>
  <c r="BH72" i="10" s="1"/>
  <c r="B73" i="10"/>
  <c r="C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AC73" i="10"/>
  <c r="AD73" i="10"/>
  <c r="AE73" i="10"/>
  <c r="AF73" i="10"/>
  <c r="AG73" i="10"/>
  <c r="AH73" i="10"/>
  <c r="AI73" i="10"/>
  <c r="B73" i="13" s="1"/>
  <c r="AJ73" i="10"/>
  <c r="AK73" i="10"/>
  <c r="AL73" i="10"/>
  <c r="AM73" i="10"/>
  <c r="AN73" i="10"/>
  <c r="AO73" i="10"/>
  <c r="AP73" i="10"/>
  <c r="AQ73" i="10"/>
  <c r="AR73" i="10"/>
  <c r="AS73" i="10"/>
  <c r="AT73" i="10"/>
  <c r="AV73" i="10"/>
  <c r="I73" i="7"/>
  <c r="AW73" i="10"/>
  <c r="AX73" i="10"/>
  <c r="AY73" i="10"/>
  <c r="AZ73" i="10"/>
  <c r="BA73" i="10"/>
  <c r="J73" i="7"/>
  <c r="BB73" i="10"/>
  <c r="K73" i="7"/>
  <c r="BC73" i="10"/>
  <c r="L73" i="7" s="1"/>
  <c r="BG73" i="10"/>
  <c r="B74" i="10"/>
  <c r="C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AC74" i="10"/>
  <c r="AD74" i="10"/>
  <c r="AE74" i="10"/>
  <c r="AF74" i="10"/>
  <c r="AG74" i="10"/>
  <c r="AH74" i="10"/>
  <c r="AI74" i="10"/>
  <c r="AJ74" i="10"/>
  <c r="AK74" i="10"/>
  <c r="AL74" i="10"/>
  <c r="AM74" i="10"/>
  <c r="AN74" i="10"/>
  <c r="AO74" i="10"/>
  <c r="AP74" i="10"/>
  <c r="AQ74" i="10"/>
  <c r="AR74" i="10"/>
  <c r="AS74" i="10"/>
  <c r="AT74" i="10"/>
  <c r="AV74" i="10"/>
  <c r="I74" i="7"/>
  <c r="AW74" i="10"/>
  <c r="AX74" i="10"/>
  <c r="AY74" i="10"/>
  <c r="AZ74" i="10"/>
  <c r="BA74" i="10"/>
  <c r="J74" i="7"/>
  <c r="BB74" i="10"/>
  <c r="K74" i="7"/>
  <c r="BC74" i="10"/>
  <c r="L74" i="7" s="1"/>
  <c r="BG74" i="10"/>
  <c r="B75" i="10"/>
  <c r="C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AC75" i="10"/>
  <c r="AD75" i="10"/>
  <c r="AE75" i="10"/>
  <c r="AF75" i="10"/>
  <c r="AG75" i="10"/>
  <c r="AH75" i="10"/>
  <c r="AI75" i="10"/>
  <c r="B75" i="13" s="1"/>
  <c r="AJ75" i="10"/>
  <c r="AK75" i="10"/>
  <c r="AL75" i="10"/>
  <c r="AM75" i="10"/>
  <c r="AN75" i="10"/>
  <c r="AO75" i="10"/>
  <c r="AP75" i="10"/>
  <c r="AQ75" i="10"/>
  <c r="AR75" i="10"/>
  <c r="AS75" i="10"/>
  <c r="AT75" i="10"/>
  <c r="AV75" i="10"/>
  <c r="I75" i="7" s="1"/>
  <c r="AW75" i="10"/>
  <c r="AX75" i="10"/>
  <c r="AY75" i="10"/>
  <c r="AZ75" i="10"/>
  <c r="BA75" i="10"/>
  <c r="J75" i="7"/>
  <c r="BB75" i="10"/>
  <c r="K75" i="7"/>
  <c r="BC75" i="10"/>
  <c r="L75" i="7"/>
  <c r="BG75" i="10"/>
  <c r="B76" i="10"/>
  <c r="C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AC76" i="10"/>
  <c r="AD76" i="10"/>
  <c r="AE76" i="10"/>
  <c r="AF76" i="10"/>
  <c r="AG76" i="10"/>
  <c r="AH76" i="10"/>
  <c r="AI76" i="10"/>
  <c r="AJ76" i="10"/>
  <c r="AK76" i="10"/>
  <c r="AL76" i="10"/>
  <c r="AM76" i="10"/>
  <c r="AN76" i="10"/>
  <c r="AO76" i="10"/>
  <c r="AP76" i="10"/>
  <c r="AQ76" i="10"/>
  <c r="AR76" i="10"/>
  <c r="AS76" i="10"/>
  <c r="AT76" i="10"/>
  <c r="AV76" i="10"/>
  <c r="I76" i="7" s="1"/>
  <c r="AW76" i="10"/>
  <c r="AX76" i="10"/>
  <c r="AY76" i="10"/>
  <c r="AZ76" i="10"/>
  <c r="A76" i="13" s="1"/>
  <c r="BA76" i="10"/>
  <c r="J76" i="7" s="1"/>
  <c r="BB76" i="10"/>
  <c r="K76" i="7"/>
  <c r="BC76" i="10"/>
  <c r="L76" i="7"/>
  <c r="BG76" i="10"/>
  <c r="B77" i="10"/>
  <c r="C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AJ77" i="10"/>
  <c r="AK77" i="10"/>
  <c r="AL77" i="10"/>
  <c r="AM77" i="10"/>
  <c r="AN77" i="10"/>
  <c r="AO77" i="10"/>
  <c r="AP77" i="10"/>
  <c r="AQ77" i="10"/>
  <c r="AR77" i="10"/>
  <c r="AS77" i="10"/>
  <c r="AT77" i="10"/>
  <c r="AV77" i="10"/>
  <c r="I77" i="7"/>
  <c r="AW77" i="10"/>
  <c r="AX77" i="10"/>
  <c r="AY77" i="10"/>
  <c r="AZ77" i="10"/>
  <c r="BA77" i="10"/>
  <c r="J77" i="7"/>
  <c r="BB77" i="10"/>
  <c r="K77" i="7"/>
  <c r="BC77" i="10"/>
  <c r="L77" i="7" s="1"/>
  <c r="BG77" i="10"/>
  <c r="BH77" i="10"/>
  <c r="B78" i="10"/>
  <c r="C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B78" i="13" s="1"/>
  <c r="AJ78" i="10"/>
  <c r="AK78" i="10"/>
  <c r="AL78" i="10"/>
  <c r="AM78" i="10"/>
  <c r="AN78" i="10"/>
  <c r="AO78" i="10"/>
  <c r="AP78" i="10"/>
  <c r="AQ78" i="10"/>
  <c r="AR78" i="10"/>
  <c r="AS78" i="10"/>
  <c r="AT78" i="10"/>
  <c r="AV78" i="10"/>
  <c r="I78" i="7"/>
  <c r="AW78" i="10"/>
  <c r="AX78" i="10"/>
  <c r="AY78" i="10"/>
  <c r="AZ78" i="10"/>
  <c r="BA78" i="10"/>
  <c r="J78" i="7"/>
  <c r="BB78" i="10"/>
  <c r="K78" i="7"/>
  <c r="BC78" i="10"/>
  <c r="L78" i="7"/>
  <c r="BG78" i="10"/>
  <c r="BI78" i="10" s="1"/>
  <c r="B79" i="10"/>
  <c r="C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B79" i="21" s="1"/>
  <c r="AJ79" i="10"/>
  <c r="AK79" i="10"/>
  <c r="AL79" i="10"/>
  <c r="AM79" i="10"/>
  <c r="AN79" i="10"/>
  <c r="AO79" i="10"/>
  <c r="AP79" i="10"/>
  <c r="AQ79" i="10"/>
  <c r="AR79" i="10"/>
  <c r="AS79" i="10"/>
  <c r="AT79" i="10"/>
  <c r="AV79" i="10"/>
  <c r="I79" i="7"/>
  <c r="AW79" i="10"/>
  <c r="AX79" i="10"/>
  <c r="AY79" i="10"/>
  <c r="AZ79" i="10"/>
  <c r="BA79" i="10"/>
  <c r="J79" i="7"/>
  <c r="BB79" i="10"/>
  <c r="K79" i="7" s="1"/>
  <c r="BC79" i="10"/>
  <c r="L79" i="7" s="1"/>
  <c r="BG79" i="10"/>
  <c r="BH79" i="10"/>
  <c r="B80" i="10"/>
  <c r="C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V80" i="10"/>
  <c r="I80" i="7"/>
  <c r="AW80" i="10"/>
  <c r="AX80" i="10"/>
  <c r="AY80" i="10"/>
  <c r="AZ80" i="10"/>
  <c r="BA80" i="10"/>
  <c r="J80" i="7" s="1"/>
  <c r="BB80" i="10"/>
  <c r="K80" i="7"/>
  <c r="BC80" i="10"/>
  <c r="L80" i="7"/>
  <c r="BG80" i="10"/>
  <c r="BI80" i="10"/>
  <c r="B81" i="10"/>
  <c r="C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B81" i="13" s="1"/>
  <c r="AJ81" i="10"/>
  <c r="AK81" i="10"/>
  <c r="AL81" i="10"/>
  <c r="AM81" i="10"/>
  <c r="AN81" i="10"/>
  <c r="AO81" i="10"/>
  <c r="AP81" i="10"/>
  <c r="AQ81" i="10"/>
  <c r="AR81" i="10"/>
  <c r="AS81" i="10"/>
  <c r="AT81" i="10"/>
  <c r="AV81" i="10"/>
  <c r="I81" i="7"/>
  <c r="AW81" i="10"/>
  <c r="AX81" i="10"/>
  <c r="AY81" i="10"/>
  <c r="AZ81" i="10"/>
  <c r="BA81" i="10"/>
  <c r="J81" i="7" s="1"/>
  <c r="BB81" i="10"/>
  <c r="K81" i="7"/>
  <c r="BC81" i="10"/>
  <c r="L81" i="7"/>
  <c r="BG81" i="10"/>
  <c r="BH81" i="10" s="1"/>
  <c r="B82" i="10"/>
  <c r="C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AC82" i="10"/>
  <c r="AD82" i="10"/>
  <c r="AE82" i="10"/>
  <c r="AF82" i="10"/>
  <c r="AG82" i="10"/>
  <c r="AH82" i="10"/>
  <c r="AI82" i="10"/>
  <c r="C82" i="21"/>
  <c r="AJ82" i="10"/>
  <c r="AK82" i="10"/>
  <c r="AL82" i="10"/>
  <c r="AM82" i="10"/>
  <c r="AN82" i="10"/>
  <c r="AO82" i="10"/>
  <c r="AP82" i="10"/>
  <c r="AQ82" i="10"/>
  <c r="AR82" i="10"/>
  <c r="AS82" i="10"/>
  <c r="AT82" i="10"/>
  <c r="AV82" i="10"/>
  <c r="I82" i="7"/>
  <c r="AW82" i="10"/>
  <c r="AX82" i="10"/>
  <c r="AY82" i="10"/>
  <c r="AZ82" i="10"/>
  <c r="BA82" i="10"/>
  <c r="J82" i="7"/>
  <c r="BB82" i="10"/>
  <c r="K82" i="7"/>
  <c r="BC82" i="10"/>
  <c r="L82" i="7" s="1"/>
  <c r="BG82" i="10"/>
  <c r="BI82" i="10"/>
  <c r="B83" i="10"/>
  <c r="C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B83" i="8" s="1"/>
  <c r="AJ83" i="10"/>
  <c r="AK83" i="10"/>
  <c r="AL83" i="10"/>
  <c r="AM83" i="10"/>
  <c r="AN83" i="10"/>
  <c r="AO83" i="10"/>
  <c r="AP83" i="10"/>
  <c r="AQ83" i="10"/>
  <c r="AR83" i="10"/>
  <c r="AS83" i="10"/>
  <c r="AT83" i="10"/>
  <c r="AV83" i="10"/>
  <c r="I83" i="7"/>
  <c r="AW83" i="10"/>
  <c r="AX83" i="10"/>
  <c r="AY83" i="10"/>
  <c r="AZ83" i="10"/>
  <c r="A83" i="13"/>
  <c r="BA83" i="10"/>
  <c r="J83" i="7"/>
  <c r="BB83" i="10"/>
  <c r="K83" i="7"/>
  <c r="BC83" i="10"/>
  <c r="L83" i="7" s="1"/>
  <c r="BG83" i="10"/>
  <c r="BH83" i="10"/>
  <c r="B84" i="10"/>
  <c r="C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BJ84" i="10" s="1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V84" i="10"/>
  <c r="I84" i="7" s="1"/>
  <c r="AW84" i="10"/>
  <c r="AX84" i="10"/>
  <c r="AY84" i="10"/>
  <c r="AZ84" i="10"/>
  <c r="BA84" i="10"/>
  <c r="J84" i="7"/>
  <c r="BB84" i="10"/>
  <c r="K84" i="7" s="1"/>
  <c r="BC84" i="10"/>
  <c r="L84" i="7" s="1"/>
  <c r="BG84" i="10"/>
  <c r="B85" i="10"/>
  <c r="C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AM85" i="10"/>
  <c r="AN85" i="10"/>
  <c r="AO85" i="10"/>
  <c r="AP85" i="10"/>
  <c r="AQ85" i="10"/>
  <c r="AR85" i="10"/>
  <c r="AS85" i="10"/>
  <c r="AT85" i="10"/>
  <c r="AV85" i="10"/>
  <c r="I85" i="7"/>
  <c r="AW85" i="10"/>
  <c r="AX85" i="10"/>
  <c r="AY85" i="10"/>
  <c r="AZ85" i="10"/>
  <c r="BA85" i="10"/>
  <c r="J85" i="7" s="1"/>
  <c r="BB85" i="10"/>
  <c r="K85" i="7"/>
  <c r="BC85" i="10"/>
  <c r="L85" i="7"/>
  <c r="BG85" i="10"/>
  <c r="B86" i="10"/>
  <c r="C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AM86" i="10"/>
  <c r="AN86" i="10"/>
  <c r="AO86" i="10"/>
  <c r="AP86" i="10"/>
  <c r="AQ86" i="10"/>
  <c r="AR86" i="10"/>
  <c r="AS86" i="10"/>
  <c r="AT86" i="10"/>
  <c r="AV86" i="10"/>
  <c r="I86" i="7" s="1"/>
  <c r="AW86" i="10"/>
  <c r="AX86" i="10"/>
  <c r="AY86" i="10"/>
  <c r="AZ86" i="10"/>
  <c r="BA86" i="10"/>
  <c r="J86" i="7"/>
  <c r="BB86" i="10"/>
  <c r="K86" i="7" s="1"/>
  <c r="BC86" i="10"/>
  <c r="L86" i="7" s="1"/>
  <c r="BG86" i="10"/>
  <c r="B87" i="10"/>
  <c r="C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AM87" i="10"/>
  <c r="AN87" i="10"/>
  <c r="AO87" i="10"/>
  <c r="AP87" i="10"/>
  <c r="AQ87" i="10"/>
  <c r="AR87" i="10"/>
  <c r="AS87" i="10"/>
  <c r="AT87" i="10"/>
  <c r="AV87" i="10"/>
  <c r="I87" i="7" s="1"/>
  <c r="AW87" i="10"/>
  <c r="AX87" i="10"/>
  <c r="AY87" i="10"/>
  <c r="AZ87" i="10"/>
  <c r="A87" i="13" s="1"/>
  <c r="BA87" i="10"/>
  <c r="J87" i="7" s="1"/>
  <c r="BB87" i="10"/>
  <c r="K87" i="7"/>
  <c r="BC87" i="10"/>
  <c r="L87" i="7"/>
  <c r="BG87" i="10"/>
  <c r="BH87" i="10"/>
  <c r="B88" i="10"/>
  <c r="C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B88" i="21" s="1"/>
  <c r="AJ88" i="10"/>
  <c r="AK88" i="10"/>
  <c r="AL88" i="10"/>
  <c r="AM88" i="10"/>
  <c r="AN88" i="10"/>
  <c r="AO88" i="10"/>
  <c r="AP88" i="10"/>
  <c r="AQ88" i="10"/>
  <c r="AR88" i="10"/>
  <c r="AS88" i="10"/>
  <c r="AT88" i="10"/>
  <c r="AV88" i="10"/>
  <c r="I88" i="7" s="1"/>
  <c r="AW88" i="10"/>
  <c r="AX88" i="10"/>
  <c r="AY88" i="10"/>
  <c r="AZ88" i="10"/>
  <c r="BA88" i="10"/>
  <c r="J88" i="7"/>
  <c r="BB88" i="10"/>
  <c r="K88" i="7" s="1"/>
  <c r="BC88" i="10"/>
  <c r="L88" i="7"/>
  <c r="BG88" i="10"/>
  <c r="B89" i="10"/>
  <c r="C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AM89" i="10"/>
  <c r="AN89" i="10"/>
  <c r="AO89" i="10"/>
  <c r="AP89" i="10"/>
  <c r="AQ89" i="10"/>
  <c r="AR89" i="10"/>
  <c r="AS89" i="10"/>
  <c r="AT89" i="10"/>
  <c r="AV89" i="10"/>
  <c r="I89" i="7" s="1"/>
  <c r="AW89" i="10"/>
  <c r="AX89" i="10"/>
  <c r="AY89" i="10"/>
  <c r="AZ89" i="10"/>
  <c r="BA89" i="10"/>
  <c r="J89" i="7" s="1"/>
  <c r="BB89" i="10"/>
  <c r="K89" i="7" s="1"/>
  <c r="BC89" i="10"/>
  <c r="L89" i="7" s="1"/>
  <c r="BG89" i="10"/>
  <c r="B90" i="10"/>
  <c r="C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AM90" i="10"/>
  <c r="AN90" i="10"/>
  <c r="AO90" i="10"/>
  <c r="AP90" i="10"/>
  <c r="AQ90" i="10"/>
  <c r="AR90" i="10"/>
  <c r="AS90" i="10"/>
  <c r="AT90" i="10"/>
  <c r="AV90" i="10"/>
  <c r="I90" i="7"/>
  <c r="AW90" i="10"/>
  <c r="AX90" i="10"/>
  <c r="AY90" i="10"/>
  <c r="AZ90" i="10"/>
  <c r="BA90" i="10"/>
  <c r="J90" i="7" s="1"/>
  <c r="BB90" i="10"/>
  <c r="K90" i="7"/>
  <c r="BC90" i="10"/>
  <c r="L90" i="7"/>
  <c r="BG90" i="10"/>
  <c r="B91" i="10"/>
  <c r="C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AM91" i="10"/>
  <c r="AN91" i="10"/>
  <c r="AO91" i="10"/>
  <c r="AP91" i="10"/>
  <c r="AQ91" i="10"/>
  <c r="AR91" i="10"/>
  <c r="AS91" i="10"/>
  <c r="AT91" i="10"/>
  <c r="AV91" i="10"/>
  <c r="I91" i="7" s="1"/>
  <c r="AW91" i="10"/>
  <c r="AX91" i="10"/>
  <c r="AY91" i="10"/>
  <c r="AZ91" i="10"/>
  <c r="BA91" i="10"/>
  <c r="J91" i="7"/>
  <c r="BB91" i="10"/>
  <c r="K91" i="7"/>
  <c r="BC91" i="10"/>
  <c r="L91" i="7" s="1"/>
  <c r="BG91" i="10"/>
  <c r="BH91" i="10" s="1"/>
  <c r="B92" i="10"/>
  <c r="C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AM92" i="10"/>
  <c r="AN92" i="10"/>
  <c r="AO92" i="10"/>
  <c r="AP92" i="10"/>
  <c r="AQ92" i="10"/>
  <c r="AR92" i="10"/>
  <c r="AS92" i="10"/>
  <c r="AT92" i="10"/>
  <c r="AV92" i="10"/>
  <c r="I92" i="7"/>
  <c r="AW92" i="10"/>
  <c r="AX92" i="10"/>
  <c r="AY92" i="10"/>
  <c r="AZ92" i="10"/>
  <c r="BA92" i="10"/>
  <c r="J92" i="7"/>
  <c r="BB92" i="10"/>
  <c r="K92" i="7"/>
  <c r="BC92" i="10"/>
  <c r="L92" i="7" s="1"/>
  <c r="BG92" i="10"/>
  <c r="B93" i="10"/>
  <c r="C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C93" i="13" s="1"/>
  <c r="AJ93" i="10"/>
  <c r="AK93" i="10"/>
  <c r="AL93" i="10"/>
  <c r="AM93" i="10"/>
  <c r="AN93" i="10"/>
  <c r="AO93" i="10"/>
  <c r="AP93" i="10"/>
  <c r="AQ93" i="10"/>
  <c r="AR93" i="10"/>
  <c r="AS93" i="10"/>
  <c r="AT93" i="10"/>
  <c r="AV93" i="10"/>
  <c r="I93" i="7"/>
  <c r="AW93" i="10"/>
  <c r="AX93" i="10"/>
  <c r="AY93" i="10"/>
  <c r="AZ93" i="10"/>
  <c r="BA93" i="10"/>
  <c r="J93" i="7" s="1"/>
  <c r="BB93" i="10"/>
  <c r="K93" i="7"/>
  <c r="BC93" i="10"/>
  <c r="L93" i="7"/>
  <c r="BG93" i="10"/>
  <c r="BH93" i="10"/>
  <c r="B94" i="10"/>
  <c r="C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AM94" i="10"/>
  <c r="AN94" i="10"/>
  <c r="AO94" i="10"/>
  <c r="AP94" i="10"/>
  <c r="AQ94" i="10"/>
  <c r="AR94" i="10"/>
  <c r="AS94" i="10"/>
  <c r="AT94" i="10"/>
  <c r="AV94" i="10"/>
  <c r="I94" i="7" s="1"/>
  <c r="AW94" i="10"/>
  <c r="AX94" i="10"/>
  <c r="AY94" i="10"/>
  <c r="AZ94" i="10"/>
  <c r="BA94" i="10"/>
  <c r="J94" i="7"/>
  <c r="BB94" i="10"/>
  <c r="K94" i="7" s="1"/>
  <c r="BC94" i="10"/>
  <c r="L94" i="7"/>
  <c r="BG94" i="10"/>
  <c r="BI94" i="10"/>
  <c r="B95" i="10"/>
  <c r="C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C95" i="21" s="1"/>
  <c r="AJ95" i="10"/>
  <c r="AK95" i="10"/>
  <c r="AL95" i="10"/>
  <c r="AM95" i="10"/>
  <c r="AN95" i="10"/>
  <c r="AO95" i="10"/>
  <c r="AP95" i="10"/>
  <c r="AQ95" i="10"/>
  <c r="AR95" i="10"/>
  <c r="AS95" i="10"/>
  <c r="AT95" i="10"/>
  <c r="AV95" i="10"/>
  <c r="I95" i="7"/>
  <c r="AW95" i="10"/>
  <c r="AX95" i="10"/>
  <c r="AY95" i="10"/>
  <c r="AZ95" i="10"/>
  <c r="A95" i="13"/>
  <c r="BA95" i="10"/>
  <c r="J95" i="7"/>
  <c r="BB95" i="10"/>
  <c r="K95" i="7" s="1"/>
  <c r="BC95" i="10"/>
  <c r="L95" i="7"/>
  <c r="BG95" i="10"/>
  <c r="BH95" i="10"/>
  <c r="B96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AV96" i="10"/>
  <c r="I96" i="7" s="1"/>
  <c r="AW96" i="10"/>
  <c r="AX96" i="10"/>
  <c r="AY96" i="10"/>
  <c r="AZ96" i="10"/>
  <c r="BA96" i="10"/>
  <c r="J96" i="7" s="1"/>
  <c r="BB96" i="10"/>
  <c r="K96" i="7" s="1"/>
  <c r="BC96" i="10"/>
  <c r="L96" i="7"/>
  <c r="BG96" i="10"/>
  <c r="B97" i="10"/>
  <c r="C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AM97" i="10"/>
  <c r="AN97" i="10"/>
  <c r="AO97" i="10"/>
  <c r="AP97" i="10"/>
  <c r="AQ97" i="10"/>
  <c r="AR97" i="10"/>
  <c r="AS97" i="10"/>
  <c r="AT97" i="10"/>
  <c r="AV97" i="10"/>
  <c r="I97" i="7"/>
  <c r="AW97" i="10"/>
  <c r="AX97" i="10"/>
  <c r="AY97" i="10"/>
  <c r="AZ97" i="10"/>
  <c r="BA97" i="10"/>
  <c r="J97" i="7"/>
  <c r="BB97" i="10"/>
  <c r="K97" i="7"/>
  <c r="BC97" i="10"/>
  <c r="L97" i="7" s="1"/>
  <c r="BG97" i="10"/>
  <c r="BH97" i="10" s="1"/>
  <c r="B98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V98" i="10"/>
  <c r="I98" i="7"/>
  <c r="AW98" i="10"/>
  <c r="AX98" i="10"/>
  <c r="AY98" i="10"/>
  <c r="AZ98" i="10"/>
  <c r="BA98" i="10"/>
  <c r="J98" i="7" s="1"/>
  <c r="BB98" i="10"/>
  <c r="K98" i="7"/>
  <c r="BC98" i="10"/>
  <c r="L98" i="7"/>
  <c r="BG98" i="10"/>
  <c r="B99" i="10"/>
  <c r="C99" i="10"/>
  <c r="D99" i="10"/>
  <c r="E99" i="10"/>
  <c r="F99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AM99" i="10"/>
  <c r="AN99" i="10"/>
  <c r="AO99" i="10"/>
  <c r="AP99" i="10"/>
  <c r="AQ99" i="10"/>
  <c r="AR99" i="10"/>
  <c r="AS99" i="10"/>
  <c r="AT99" i="10"/>
  <c r="AV99" i="10"/>
  <c r="I99" i="7"/>
  <c r="AW99" i="10"/>
  <c r="AX99" i="10"/>
  <c r="AY99" i="10"/>
  <c r="AZ99" i="10"/>
  <c r="BA99" i="10"/>
  <c r="J99" i="7"/>
  <c r="BB99" i="10"/>
  <c r="K99" i="7"/>
  <c r="BC99" i="10"/>
  <c r="L99" i="7"/>
  <c r="BG99" i="10"/>
  <c r="B100" i="10"/>
  <c r="C100" i="10"/>
  <c r="D100" i="10"/>
  <c r="E100" i="10"/>
  <c r="F100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V100" i="10"/>
  <c r="I100" i="7"/>
  <c r="AW100" i="10"/>
  <c r="AX100" i="10"/>
  <c r="AY100" i="10"/>
  <c r="AZ100" i="10"/>
  <c r="BA100" i="10"/>
  <c r="J100" i="7" s="1"/>
  <c r="BB100" i="10"/>
  <c r="K100" i="7"/>
  <c r="BC100" i="10"/>
  <c r="L100" i="7"/>
  <c r="BG100" i="10"/>
  <c r="B101" i="10"/>
  <c r="C101" i="10"/>
  <c r="D101" i="10"/>
  <c r="E101" i="10"/>
  <c r="F10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AM101" i="10"/>
  <c r="AN101" i="10"/>
  <c r="AO101" i="10"/>
  <c r="AP101" i="10"/>
  <c r="AQ101" i="10"/>
  <c r="AR101" i="10"/>
  <c r="AS101" i="10"/>
  <c r="AT101" i="10"/>
  <c r="AV101" i="10"/>
  <c r="I101" i="7"/>
  <c r="AW101" i="10"/>
  <c r="AX101" i="10"/>
  <c r="AY101" i="10"/>
  <c r="AZ101" i="10"/>
  <c r="BA101" i="10"/>
  <c r="J101" i="7"/>
  <c r="BB101" i="10"/>
  <c r="K101" i="7"/>
  <c r="BC101" i="10"/>
  <c r="L101" i="7" s="1"/>
  <c r="BG101" i="10"/>
  <c r="BH101" i="10"/>
  <c r="B102" i="10"/>
  <c r="C102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B102" i="13" s="1"/>
  <c r="AJ102" i="10"/>
  <c r="AK102" i="10"/>
  <c r="AL102" i="10"/>
  <c r="AM102" i="10"/>
  <c r="AN102" i="10"/>
  <c r="AO102" i="10"/>
  <c r="AP102" i="10"/>
  <c r="AQ102" i="10"/>
  <c r="AR102" i="10"/>
  <c r="AS102" i="10"/>
  <c r="AT102" i="10"/>
  <c r="AV102" i="10"/>
  <c r="I102" i="7"/>
  <c r="AW102" i="10"/>
  <c r="AX102" i="10"/>
  <c r="AY102" i="10"/>
  <c r="AZ102" i="10"/>
  <c r="BA102" i="10"/>
  <c r="J102" i="7"/>
  <c r="BB102" i="10"/>
  <c r="K102" i="7"/>
  <c r="BC102" i="10"/>
  <c r="L102" i="7"/>
  <c r="BG102" i="10"/>
  <c r="BI102" i="10" s="1"/>
  <c r="B103" i="10"/>
  <c r="C103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AM103" i="10"/>
  <c r="AN103" i="10"/>
  <c r="AO103" i="10"/>
  <c r="AP103" i="10"/>
  <c r="AQ103" i="10"/>
  <c r="AR103" i="10"/>
  <c r="AS103" i="10"/>
  <c r="AT103" i="10"/>
  <c r="AV103" i="10"/>
  <c r="I103" i="7"/>
  <c r="AW103" i="10"/>
  <c r="AX103" i="10"/>
  <c r="AY103" i="10"/>
  <c r="AZ103" i="10"/>
  <c r="A103" i="13" s="1"/>
  <c r="BA103" i="10"/>
  <c r="J103" i="7"/>
  <c r="BB103" i="10"/>
  <c r="K103" i="7"/>
  <c r="BC103" i="10"/>
  <c r="L103" i="7"/>
  <c r="BG103" i="10"/>
  <c r="BH103" i="10" s="1"/>
  <c r="B104" i="10"/>
  <c r="C104" i="10"/>
  <c r="D104" i="10"/>
  <c r="E104" i="10"/>
  <c r="F104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C104" i="13" s="1"/>
  <c r="AJ104" i="10"/>
  <c r="AK104" i="10"/>
  <c r="AL104" i="10"/>
  <c r="AM104" i="10"/>
  <c r="AN104" i="10"/>
  <c r="AO104" i="10"/>
  <c r="AP104" i="10"/>
  <c r="AQ104" i="10"/>
  <c r="AR104" i="10"/>
  <c r="AS104" i="10"/>
  <c r="AT104" i="10"/>
  <c r="AV104" i="10"/>
  <c r="I104" i="7"/>
  <c r="AW104" i="10"/>
  <c r="AX104" i="10"/>
  <c r="AY104" i="10"/>
  <c r="AZ104" i="10"/>
  <c r="BA104" i="10"/>
  <c r="J104" i="7" s="1"/>
  <c r="BB104" i="10"/>
  <c r="K104" i="7"/>
  <c r="BC104" i="10"/>
  <c r="L104" i="7"/>
  <c r="BG104" i="10"/>
  <c r="BI104" i="10"/>
  <c r="B105" i="10"/>
  <c r="C105" i="10"/>
  <c r="D105" i="10"/>
  <c r="E105" i="10"/>
  <c r="F105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AM105" i="10"/>
  <c r="AN105" i="10"/>
  <c r="AO105" i="10"/>
  <c r="AP105" i="10"/>
  <c r="AQ105" i="10"/>
  <c r="AR105" i="10"/>
  <c r="AS105" i="10"/>
  <c r="AT105" i="10"/>
  <c r="AV105" i="10"/>
  <c r="I105" i="7" s="1"/>
  <c r="AW105" i="10"/>
  <c r="AX105" i="10"/>
  <c r="AY105" i="10"/>
  <c r="AZ105" i="10"/>
  <c r="BA105" i="10"/>
  <c r="J105" i="7"/>
  <c r="BB105" i="10"/>
  <c r="K105" i="7" s="1"/>
  <c r="BC105" i="10"/>
  <c r="L105" i="7"/>
  <c r="BG105" i="10"/>
  <c r="B106" i="10"/>
  <c r="C106" i="10"/>
  <c r="D106" i="10"/>
  <c r="E106" i="10"/>
  <c r="F106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AM106" i="10"/>
  <c r="AN106" i="10"/>
  <c r="AO106" i="10"/>
  <c r="AP106" i="10"/>
  <c r="AQ106" i="10"/>
  <c r="AR106" i="10"/>
  <c r="AS106" i="10"/>
  <c r="AT106" i="10"/>
  <c r="AV106" i="10"/>
  <c r="I106" i="7"/>
  <c r="AW106" i="10"/>
  <c r="AX106" i="10"/>
  <c r="AY106" i="10"/>
  <c r="AZ106" i="10"/>
  <c r="BA106" i="10"/>
  <c r="J106" i="7"/>
  <c r="BB106" i="10"/>
  <c r="K106" i="7"/>
  <c r="BC106" i="10"/>
  <c r="L106" i="7"/>
  <c r="BG106" i="10"/>
  <c r="BI106" i="10" s="1"/>
  <c r="B107" i="10"/>
  <c r="C107" i="10"/>
  <c r="D107" i="10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B107" i="8" s="1"/>
  <c r="AJ107" i="10"/>
  <c r="AK107" i="10"/>
  <c r="AL107" i="10"/>
  <c r="AM107" i="10"/>
  <c r="AN107" i="10"/>
  <c r="AO107" i="10"/>
  <c r="AP107" i="10"/>
  <c r="AQ107" i="10"/>
  <c r="AR107" i="10"/>
  <c r="AS107" i="10"/>
  <c r="AT107" i="10"/>
  <c r="AV107" i="10"/>
  <c r="I107" i="7" s="1"/>
  <c r="AW107" i="10"/>
  <c r="AX107" i="10"/>
  <c r="AY107" i="10"/>
  <c r="AZ107" i="10"/>
  <c r="BA107" i="10"/>
  <c r="J107" i="7"/>
  <c r="BB107" i="10"/>
  <c r="K107" i="7" s="1"/>
  <c r="BC107" i="10"/>
  <c r="L107" i="7" s="1"/>
  <c r="BG107" i="10"/>
  <c r="BH107" i="10" s="1"/>
  <c r="A107" i="10" s="1"/>
  <c r="B108" i="10"/>
  <c r="C108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AM108" i="10"/>
  <c r="AN108" i="10"/>
  <c r="AO108" i="10"/>
  <c r="AP108" i="10"/>
  <c r="AQ108" i="10"/>
  <c r="AR108" i="10"/>
  <c r="AS108" i="10"/>
  <c r="AT108" i="10"/>
  <c r="AV108" i="10"/>
  <c r="I108" i="7" s="1"/>
  <c r="AW108" i="10"/>
  <c r="AX108" i="10"/>
  <c r="AY108" i="10"/>
  <c r="AZ108" i="10"/>
  <c r="BA108" i="10"/>
  <c r="J108" i="7"/>
  <c r="BB108" i="10"/>
  <c r="K108" i="7" s="1"/>
  <c r="BC108" i="10"/>
  <c r="L108" i="7"/>
  <c r="BG108" i="10"/>
  <c r="BI108" i="10"/>
  <c r="B109" i="10"/>
  <c r="C109" i="1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B109" i="8" s="1"/>
  <c r="AJ109" i="10"/>
  <c r="AK109" i="10"/>
  <c r="AL109" i="10"/>
  <c r="AM109" i="10"/>
  <c r="AN109" i="10"/>
  <c r="AO109" i="10"/>
  <c r="AP109" i="10"/>
  <c r="AQ109" i="10"/>
  <c r="AR109" i="10"/>
  <c r="AS109" i="10"/>
  <c r="AT109" i="10"/>
  <c r="AV109" i="10"/>
  <c r="I109" i="7" s="1"/>
  <c r="AW109" i="10"/>
  <c r="AX109" i="10"/>
  <c r="AY109" i="10"/>
  <c r="AZ109" i="10"/>
  <c r="A109" i="13"/>
  <c r="BA109" i="10"/>
  <c r="J109" i="7" s="1"/>
  <c r="BB109" i="10"/>
  <c r="K109" i="7"/>
  <c r="BC109" i="10"/>
  <c r="L109" i="7"/>
  <c r="BG109" i="10"/>
  <c r="BH109" i="10" s="1"/>
  <c r="B110" i="10"/>
  <c r="C110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AM110" i="10"/>
  <c r="AN110" i="10"/>
  <c r="AO110" i="10"/>
  <c r="AP110" i="10"/>
  <c r="AQ110" i="10"/>
  <c r="AR110" i="10"/>
  <c r="AS110" i="10"/>
  <c r="AT110" i="10"/>
  <c r="AV110" i="10"/>
  <c r="I110" i="7" s="1"/>
  <c r="AW110" i="10"/>
  <c r="AX110" i="10"/>
  <c r="AY110" i="10"/>
  <c r="AZ110" i="10"/>
  <c r="BA110" i="10"/>
  <c r="J110" i="7" s="1"/>
  <c r="BB110" i="10"/>
  <c r="K110" i="7" s="1"/>
  <c r="BC110" i="10"/>
  <c r="L110" i="7" s="1"/>
  <c r="BG110" i="10"/>
  <c r="BI110" i="10"/>
  <c r="B111" i="10"/>
  <c r="C111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C111" i="13" s="1"/>
  <c r="AJ111" i="10"/>
  <c r="AK111" i="10"/>
  <c r="AL111" i="10"/>
  <c r="AM111" i="10"/>
  <c r="AN111" i="10"/>
  <c r="AO111" i="10"/>
  <c r="AP111" i="10"/>
  <c r="AQ111" i="10"/>
  <c r="AR111" i="10"/>
  <c r="AS111" i="10"/>
  <c r="AT111" i="10"/>
  <c r="AV111" i="10"/>
  <c r="I111" i="7"/>
  <c r="AW111" i="10"/>
  <c r="AX111" i="10"/>
  <c r="AY111" i="10"/>
  <c r="AZ111" i="10"/>
  <c r="BA111" i="10"/>
  <c r="J111" i="7"/>
  <c r="BB111" i="10"/>
  <c r="K111" i="7"/>
  <c r="BC111" i="10"/>
  <c r="L111" i="7"/>
  <c r="BG111" i="10"/>
  <c r="B112" i="10"/>
  <c r="C112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V112" i="10"/>
  <c r="I112" i="7" s="1"/>
  <c r="AW112" i="10"/>
  <c r="AX112" i="10"/>
  <c r="AY112" i="10"/>
  <c r="AZ112" i="10"/>
  <c r="A112" i="13" s="1"/>
  <c r="BA112" i="10"/>
  <c r="J112" i="7" s="1"/>
  <c r="BB112" i="10"/>
  <c r="K112" i="7" s="1"/>
  <c r="BC112" i="10"/>
  <c r="L112" i="7"/>
  <c r="BG112" i="10"/>
  <c r="BH112" i="10"/>
  <c r="B113" i="10"/>
  <c r="C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AC113" i="10"/>
  <c r="AD113" i="10"/>
  <c r="AE113" i="10"/>
  <c r="AF113" i="10"/>
  <c r="AG113" i="10"/>
  <c r="AH113" i="10"/>
  <c r="AI113" i="10"/>
  <c r="AJ113" i="10"/>
  <c r="AK113" i="10"/>
  <c r="AL113" i="10"/>
  <c r="AM113" i="10"/>
  <c r="AN113" i="10"/>
  <c r="AO113" i="10"/>
  <c r="AP113" i="10"/>
  <c r="AQ113" i="10"/>
  <c r="AR113" i="10"/>
  <c r="AS113" i="10"/>
  <c r="AT113" i="10"/>
  <c r="AV113" i="10"/>
  <c r="I113" i="7"/>
  <c r="AW113" i="10"/>
  <c r="AX113" i="10"/>
  <c r="AY113" i="10"/>
  <c r="AZ113" i="10"/>
  <c r="BA113" i="10"/>
  <c r="J113" i="7" s="1"/>
  <c r="BB113" i="10"/>
  <c r="K113" i="7"/>
  <c r="BC113" i="10"/>
  <c r="L113" i="7"/>
  <c r="BG113" i="10"/>
  <c r="BH113" i="10"/>
  <c r="B114" i="10"/>
  <c r="C114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D114" i="7"/>
  <c r="AK114" i="10"/>
  <c r="AL114" i="10"/>
  <c r="AM114" i="10"/>
  <c r="AN114" i="10"/>
  <c r="H114" i="7"/>
  <c r="AO114" i="10"/>
  <c r="AP114" i="10"/>
  <c r="AQ114" i="10"/>
  <c r="AR114" i="10"/>
  <c r="AS114" i="10"/>
  <c r="AT114" i="10"/>
  <c r="AV114" i="10"/>
  <c r="I114" i="7"/>
  <c r="AW114" i="10"/>
  <c r="AX114" i="10"/>
  <c r="AY114" i="10"/>
  <c r="AZ114" i="10"/>
  <c r="BA114" i="10"/>
  <c r="J114" i="7" s="1"/>
  <c r="BB114" i="10"/>
  <c r="K114" i="7"/>
  <c r="BC114" i="10"/>
  <c r="L114" i="7"/>
  <c r="BG114" i="10"/>
  <c r="BI114" i="10"/>
  <c r="C115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AC115" i="10"/>
  <c r="AD115" i="10"/>
  <c r="AE115" i="10"/>
  <c r="AF115" i="10"/>
  <c r="AG115" i="10"/>
  <c r="AH115" i="10"/>
  <c r="AI115" i="10"/>
  <c r="AJ115" i="10"/>
  <c r="AK115" i="10"/>
  <c r="AL115" i="10"/>
  <c r="AM115" i="10"/>
  <c r="AN115" i="10"/>
  <c r="AO115" i="10"/>
  <c r="AP115" i="10"/>
  <c r="AQ115" i="10"/>
  <c r="AR115" i="10"/>
  <c r="AS115" i="10"/>
  <c r="AT115" i="10"/>
  <c r="AV115" i="10"/>
  <c r="AW115" i="10"/>
  <c r="AX115" i="10"/>
  <c r="AY115" i="10"/>
  <c r="AZ115" i="10"/>
  <c r="BA115" i="10"/>
  <c r="BB115" i="10"/>
  <c r="BC115" i="10"/>
  <c r="D116" i="10"/>
  <c r="E116" i="10"/>
  <c r="F116" i="10"/>
  <c r="F129" i="10"/>
  <c r="G116" i="10"/>
  <c r="H116" i="10"/>
  <c r="I116" i="10"/>
  <c r="J116" i="10"/>
  <c r="K116" i="10"/>
  <c r="L116" i="10"/>
  <c r="M116" i="10"/>
  <c r="N116" i="10"/>
  <c r="N129" i="10" s="1"/>
  <c r="O116" i="10"/>
  <c r="P116" i="10"/>
  <c r="Q116" i="10"/>
  <c r="R116" i="10"/>
  <c r="R129" i="10"/>
  <c r="S116" i="10"/>
  <c r="T116" i="10"/>
  <c r="T117" i="10" s="1"/>
  <c r="U116" i="10"/>
  <c r="V116" i="10"/>
  <c r="V129" i="10" s="1"/>
  <c r="W116" i="10"/>
  <c r="B116" i="7"/>
  <c r="X116" i="10"/>
  <c r="Y116" i="10"/>
  <c r="Z116" i="10"/>
  <c r="AA116" i="10"/>
  <c r="AB116" i="10"/>
  <c r="AB117" i="10"/>
  <c r="AC116" i="10"/>
  <c r="AD116" i="10"/>
  <c r="AD129" i="10" s="1"/>
  <c r="AE116" i="10"/>
  <c r="AF116" i="10"/>
  <c r="AF129" i="10" s="1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V116" i="10"/>
  <c r="AW116" i="10"/>
  <c r="AW129" i="10"/>
  <c r="AX116" i="10"/>
  <c r="AY116" i="10"/>
  <c r="AZ116" i="10"/>
  <c r="BA116" i="10"/>
  <c r="J116" i="7"/>
  <c r="BB116" i="10"/>
  <c r="BC116" i="10"/>
  <c r="L116" i="7"/>
  <c r="C118" i="10"/>
  <c r="AH118" i="10"/>
  <c r="AH129" i="10" s="1"/>
  <c r="AI118" i="10"/>
  <c r="B118" i="8" s="1"/>
  <c r="AJ118" i="10"/>
  <c r="AK118" i="10"/>
  <c r="AK129" i="10"/>
  <c r="AL118" i="10"/>
  <c r="AL129" i="10"/>
  <c r="AM118" i="10"/>
  <c r="AM129" i="10" s="1"/>
  <c r="AN118" i="10"/>
  <c r="AO118" i="10"/>
  <c r="AO129" i="10" s="1"/>
  <c r="AP118" i="10"/>
  <c r="AP129" i="10" s="1"/>
  <c r="AQ118" i="10"/>
  <c r="AQ129" i="10"/>
  <c r="AR118" i="10"/>
  <c r="AR129" i="10" s="1"/>
  <c r="AS118" i="10"/>
  <c r="AS129" i="10"/>
  <c r="AT118" i="10"/>
  <c r="AT129" i="10" s="1"/>
  <c r="AV118" i="10"/>
  <c r="I118" i="7"/>
  <c r="AW118" i="10"/>
  <c r="AX118" i="10"/>
  <c r="AX129" i="10" s="1"/>
  <c r="AY118" i="10"/>
  <c r="AY129" i="10" s="1"/>
  <c r="AZ118" i="10"/>
  <c r="BA118" i="10"/>
  <c r="J118" i="7" s="1"/>
  <c r="BB118" i="10"/>
  <c r="K118" i="7"/>
  <c r="BC118" i="10"/>
  <c r="L118" i="7"/>
  <c r="C119" i="10"/>
  <c r="AJ119" i="10"/>
  <c r="AK119" i="10"/>
  <c r="AL119" i="10"/>
  <c r="AM119" i="10"/>
  <c r="AN119" i="10"/>
  <c r="AO119" i="10"/>
  <c r="AP119" i="10"/>
  <c r="AQ119" i="10"/>
  <c r="AR119" i="10"/>
  <c r="AS119" i="10"/>
  <c r="AT119" i="10"/>
  <c r="AV119" i="10"/>
  <c r="AW119" i="10"/>
  <c r="AX119" i="10"/>
  <c r="AY119" i="10"/>
  <c r="AZ119" i="10"/>
  <c r="BA119" i="10"/>
  <c r="BB119" i="10"/>
  <c r="BC119" i="10"/>
  <c r="C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V120" i="10"/>
  <c r="I120" i="7"/>
  <c r="AW120" i="10"/>
  <c r="AX120" i="10"/>
  <c r="AY120" i="10"/>
  <c r="AZ120" i="10"/>
  <c r="BA120" i="10"/>
  <c r="J120" i="7"/>
  <c r="BB120" i="10"/>
  <c r="K120" i="7" s="1"/>
  <c r="BC120" i="10"/>
  <c r="L120" i="7"/>
  <c r="C121" i="10"/>
  <c r="AJ121" i="10"/>
  <c r="AK121" i="10"/>
  <c r="AL121" i="10"/>
  <c r="AM121" i="10"/>
  <c r="AN121" i="10"/>
  <c r="AO121" i="10"/>
  <c r="AP121" i="10"/>
  <c r="AQ121" i="10"/>
  <c r="AR121" i="10"/>
  <c r="AS121" i="10"/>
  <c r="AT121" i="10"/>
  <c r="AV121" i="10"/>
  <c r="AW121" i="10"/>
  <c r="AX121" i="10"/>
  <c r="AY121" i="10"/>
  <c r="AZ121" i="10"/>
  <c r="BA121" i="10"/>
  <c r="BB121" i="10"/>
  <c r="BC121" i="10"/>
  <c r="C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V122" i="10"/>
  <c r="I122" i="7" s="1"/>
  <c r="AW122" i="10"/>
  <c r="AX122" i="10"/>
  <c r="AY122" i="10"/>
  <c r="AZ122" i="10"/>
  <c r="BA122" i="10"/>
  <c r="J122" i="7"/>
  <c r="BB122" i="10"/>
  <c r="K122" i="7"/>
  <c r="BC122" i="10"/>
  <c r="L122" i="7" s="1"/>
  <c r="C123" i="10"/>
  <c r="AJ123" i="10"/>
  <c r="AK123" i="10"/>
  <c r="AL123" i="10"/>
  <c r="AM123" i="10"/>
  <c r="AN123" i="10"/>
  <c r="AO123" i="10"/>
  <c r="AP123" i="10"/>
  <c r="AQ123" i="10"/>
  <c r="AR123" i="10"/>
  <c r="AS123" i="10"/>
  <c r="AT123" i="10"/>
  <c r="AV123" i="10"/>
  <c r="AW123" i="10"/>
  <c r="AX123" i="10"/>
  <c r="AY123" i="10"/>
  <c r="AZ123" i="10"/>
  <c r="BA123" i="10"/>
  <c r="BB123" i="10"/>
  <c r="BC123" i="10"/>
  <c r="C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V124" i="10"/>
  <c r="I124" i="7" s="1"/>
  <c r="AW124" i="10"/>
  <c r="AX124" i="10"/>
  <c r="AY124" i="10"/>
  <c r="AZ124" i="10"/>
  <c r="BA124" i="10"/>
  <c r="J124" i="7"/>
  <c r="BB124" i="10"/>
  <c r="K124" i="7" s="1"/>
  <c r="BC124" i="10"/>
  <c r="L124" i="7"/>
  <c r="C126" i="10"/>
  <c r="AH126" i="10"/>
  <c r="AI126" i="10"/>
  <c r="AJ126" i="10"/>
  <c r="AK126" i="10"/>
  <c r="AL126" i="10"/>
  <c r="AM126" i="10"/>
  <c r="AN126" i="10"/>
  <c r="AO126" i="10"/>
  <c r="AP126" i="10"/>
  <c r="AQ126" i="10"/>
  <c r="AR126" i="10"/>
  <c r="AS126" i="10"/>
  <c r="AT126" i="10"/>
  <c r="AV126" i="10"/>
  <c r="I126" i="7" s="1"/>
  <c r="AW126" i="10"/>
  <c r="AX126" i="10"/>
  <c r="AY126" i="10"/>
  <c r="AZ126" i="10"/>
  <c r="BA126" i="10"/>
  <c r="J126" i="7" s="1"/>
  <c r="BB126" i="10"/>
  <c r="K126" i="7" s="1"/>
  <c r="BC126" i="10"/>
  <c r="L126" i="7"/>
  <c r="C128" i="10"/>
  <c r="AH128" i="10"/>
  <c r="AI128" i="10"/>
  <c r="B128" i="8" s="1"/>
  <c r="AJ128" i="10"/>
  <c r="AK128" i="10"/>
  <c r="AL128" i="10"/>
  <c r="AM128" i="10"/>
  <c r="AN128" i="10"/>
  <c r="AO128" i="10"/>
  <c r="AP128" i="10"/>
  <c r="AQ128" i="10"/>
  <c r="AR128" i="10"/>
  <c r="AS128" i="10"/>
  <c r="AT128" i="10"/>
  <c r="AV128" i="10"/>
  <c r="I128" i="7"/>
  <c r="AW128" i="10"/>
  <c r="AX128" i="10"/>
  <c r="AY128" i="10"/>
  <c r="AZ128" i="10"/>
  <c r="BA128" i="10"/>
  <c r="J128" i="7" s="1"/>
  <c r="BB128" i="10"/>
  <c r="K128" i="7"/>
  <c r="BC128" i="10"/>
  <c r="L128" i="7"/>
  <c r="I116" i="13"/>
  <c r="N116" i="21"/>
  <c r="N118" i="21" s="1"/>
  <c r="H116" i="21"/>
  <c r="F255" i="17"/>
  <c r="F129" i="20"/>
  <c r="F128" i="20"/>
  <c r="BA129" i="10"/>
  <c r="AJ129" i="10"/>
  <c r="AB129" i="10"/>
  <c r="B124" i="8"/>
  <c r="BH106" i="10"/>
  <c r="A106" i="10"/>
  <c r="BH102" i="10"/>
  <c r="A102" i="10"/>
  <c r="BH94" i="10"/>
  <c r="A94" i="10"/>
  <c r="BH82" i="10"/>
  <c r="A82" i="10" s="1"/>
  <c r="BH78" i="10"/>
  <c r="A78" i="10" s="1"/>
  <c r="BH70" i="10"/>
  <c r="BH66" i="10"/>
  <c r="BH54" i="10"/>
  <c r="A54" i="10" s="1"/>
  <c r="BH38" i="10"/>
  <c r="A38" i="10" s="1"/>
  <c r="H23" i="7"/>
  <c r="J21" i="7"/>
  <c r="A108" i="13"/>
  <c r="C108" i="13"/>
  <c r="B108" i="13"/>
  <c r="C108" i="21"/>
  <c r="B108" i="21"/>
  <c r="B108" i="8"/>
  <c r="G108" i="8" s="1"/>
  <c r="A104" i="13"/>
  <c r="C104" i="21"/>
  <c r="A100" i="13"/>
  <c r="C100" i="13"/>
  <c r="B100" i="21"/>
  <c r="A96" i="13"/>
  <c r="A92" i="13"/>
  <c r="C92" i="13"/>
  <c r="B92" i="13"/>
  <c r="B92" i="21"/>
  <c r="C92" i="21"/>
  <c r="B92" i="8"/>
  <c r="C88" i="13"/>
  <c r="A84" i="13"/>
  <c r="A80" i="13"/>
  <c r="BI77" i="10"/>
  <c r="A77" i="10" s="1"/>
  <c r="C76" i="13"/>
  <c r="B76" i="13"/>
  <c r="B76" i="21"/>
  <c r="C76" i="21"/>
  <c r="B76" i="8"/>
  <c r="A72" i="13"/>
  <c r="B72" i="8"/>
  <c r="C72" i="8" s="1"/>
  <c r="B68" i="8"/>
  <c r="A64" i="13"/>
  <c r="C64" i="13"/>
  <c r="B64" i="13"/>
  <c r="B64" i="21"/>
  <c r="C64" i="21"/>
  <c r="B64" i="8"/>
  <c r="C64" i="8" s="1"/>
  <c r="C56" i="13"/>
  <c r="B56" i="13"/>
  <c r="C56" i="21"/>
  <c r="B56" i="21"/>
  <c r="B56" i="8"/>
  <c r="C52" i="21"/>
  <c r="C48" i="13"/>
  <c r="B48" i="13"/>
  <c r="B48" i="21"/>
  <c r="C48" i="21"/>
  <c r="B48" i="8"/>
  <c r="C44" i="13"/>
  <c r="B44" i="13"/>
  <c r="B44" i="21"/>
  <c r="C44" i="21"/>
  <c r="B44" i="8"/>
  <c r="D44" i="8" s="1"/>
  <c r="A40" i="13"/>
  <c r="C40" i="13"/>
  <c r="B40" i="13"/>
  <c r="C40" i="21"/>
  <c r="B40" i="21"/>
  <c r="B40" i="8"/>
  <c r="A36" i="13"/>
  <c r="B36" i="13"/>
  <c r="C36" i="21"/>
  <c r="J19" i="7"/>
  <c r="H18" i="7"/>
  <c r="B126" i="8"/>
  <c r="D126" i="8" s="1"/>
  <c r="C99" i="13"/>
  <c r="A91" i="13"/>
  <c r="A79" i="13"/>
  <c r="C75" i="21"/>
  <c r="B63" i="13"/>
  <c r="A59" i="13"/>
  <c r="A35" i="13"/>
  <c r="A31" i="13"/>
  <c r="AN129" i="10"/>
  <c r="X129" i="10"/>
  <c r="H129" i="10"/>
  <c r="J25" i="7"/>
  <c r="BI111" i="10"/>
  <c r="BI107" i="10"/>
  <c r="BI103" i="10"/>
  <c r="A103" i="10"/>
  <c r="BI99" i="10"/>
  <c r="BI95" i="10"/>
  <c r="BI91" i="10"/>
  <c r="BI87" i="10"/>
  <c r="A87" i="10" s="1"/>
  <c r="BI83" i="10"/>
  <c r="A83" i="10" s="1"/>
  <c r="BI71" i="10"/>
  <c r="A71" i="10" s="1"/>
  <c r="BI51" i="10"/>
  <c r="A51" i="10"/>
  <c r="BI43" i="10"/>
  <c r="A43" i="10" s="1"/>
  <c r="B34" i="8"/>
  <c r="H25" i="7"/>
  <c r="J23" i="7"/>
  <c r="A113" i="13"/>
  <c r="A97" i="13"/>
  <c r="B97" i="13"/>
  <c r="C97" i="13"/>
  <c r="C97" i="21"/>
  <c r="B97" i="8"/>
  <c r="H97" i="8" s="1"/>
  <c r="B97" i="21"/>
  <c r="A89" i="13"/>
  <c r="B89" i="21"/>
  <c r="A85" i="13"/>
  <c r="A81" i="13"/>
  <c r="A77" i="13"/>
  <c r="B77" i="13"/>
  <c r="C77" i="13"/>
  <c r="C77" i="21"/>
  <c r="B77" i="21"/>
  <c r="B77" i="8"/>
  <c r="J77" i="8"/>
  <c r="A73" i="13"/>
  <c r="B73" i="21"/>
  <c r="A69" i="13"/>
  <c r="B69" i="13"/>
  <c r="BI66" i="10"/>
  <c r="A66" i="10"/>
  <c r="A65" i="13"/>
  <c r="C65" i="21"/>
  <c r="A61" i="13"/>
  <c r="C61" i="13"/>
  <c r="A57" i="13"/>
  <c r="C57" i="21"/>
  <c r="A53" i="13"/>
  <c r="C49" i="13"/>
  <c r="B49" i="13"/>
  <c r="C49" i="21"/>
  <c r="B49" i="21"/>
  <c r="B49" i="8"/>
  <c r="J49" i="8" s="1"/>
  <c r="A45" i="13"/>
  <c r="C45" i="13"/>
  <c r="B45" i="8"/>
  <c r="L45" i="8" s="1"/>
  <c r="A41" i="13"/>
  <c r="C41" i="13"/>
  <c r="C37" i="13"/>
  <c r="B37" i="8"/>
  <c r="C37" i="8" s="1"/>
  <c r="B33" i="13"/>
  <c r="H20" i="7"/>
  <c r="J18" i="7"/>
  <c r="E189" i="20"/>
  <c r="F214" i="20"/>
  <c r="B177" i="20"/>
  <c r="F237" i="20"/>
  <c r="C266" i="20"/>
  <c r="D234" i="20"/>
  <c r="B26" i="13"/>
  <c r="B26" i="12"/>
  <c r="B26" i="11"/>
  <c r="B26" i="21"/>
  <c r="B26" i="8"/>
  <c r="B19" i="13"/>
  <c r="B19" i="11"/>
  <c r="B19" i="12"/>
  <c r="B19" i="21"/>
  <c r="B19" i="8"/>
  <c r="B21" i="13"/>
  <c r="B21" i="11"/>
  <c r="B21" i="21"/>
  <c r="B21" i="12"/>
  <c r="B21" i="8"/>
  <c r="B23" i="13"/>
  <c r="B23" i="11"/>
  <c r="B23" i="12"/>
  <c r="B23" i="21"/>
  <c r="B23" i="8"/>
  <c r="C17" i="12"/>
  <c r="C17" i="21"/>
  <c r="C97" i="12"/>
  <c r="D97" i="12"/>
  <c r="Q97" i="12"/>
  <c r="B97" i="12"/>
  <c r="C61" i="12"/>
  <c r="D61" i="12"/>
  <c r="Q61" i="12"/>
  <c r="B61" i="12"/>
  <c r="C73" i="12"/>
  <c r="D73" i="12"/>
  <c r="Q73" i="12"/>
  <c r="B73" i="12"/>
  <c r="C41" i="12"/>
  <c r="D41" i="12"/>
  <c r="Q41" i="12"/>
  <c r="B41" i="12"/>
  <c r="B107" i="11"/>
  <c r="J107" i="11"/>
  <c r="K107" i="11"/>
  <c r="C107" i="11"/>
  <c r="L107" i="11"/>
  <c r="O107" i="11"/>
  <c r="G107" i="11"/>
  <c r="P107" i="11"/>
  <c r="H107" i="11"/>
  <c r="Q107" i="11"/>
  <c r="I107" i="11"/>
  <c r="C105" i="12"/>
  <c r="D105" i="12"/>
  <c r="Q105" i="12"/>
  <c r="B105" i="12"/>
  <c r="C85" i="12"/>
  <c r="D85" i="12"/>
  <c r="Q85" i="12"/>
  <c r="B85" i="12"/>
  <c r="C53" i="12"/>
  <c r="D53" i="12"/>
  <c r="Q53" i="12"/>
  <c r="B53" i="12"/>
  <c r="C33" i="12"/>
  <c r="D33" i="12"/>
  <c r="Q33" i="12"/>
  <c r="B33" i="12"/>
  <c r="H108" i="11"/>
  <c r="P108" i="11"/>
  <c r="J108" i="11"/>
  <c r="B108" i="11"/>
  <c r="K108" i="11"/>
  <c r="E108" i="11"/>
  <c r="O108" i="11"/>
  <c r="G108" i="11"/>
  <c r="Q108" i="11"/>
  <c r="I108" i="11"/>
  <c r="E105" i="12"/>
  <c r="C93" i="12"/>
  <c r="D93" i="12"/>
  <c r="Q93" i="12"/>
  <c r="B93" i="12"/>
  <c r="E85" i="12"/>
  <c r="C65" i="12"/>
  <c r="D65" i="12"/>
  <c r="Q65" i="12"/>
  <c r="B65" i="12"/>
  <c r="E53" i="12"/>
  <c r="E33" i="12"/>
  <c r="I109" i="11"/>
  <c r="Q109" i="11"/>
  <c r="B109" i="11"/>
  <c r="J109" i="11"/>
  <c r="E109" i="11"/>
  <c r="M109" i="11"/>
  <c r="G109" i="11"/>
  <c r="O109" i="11"/>
  <c r="H109" i="11"/>
  <c r="P109" i="11"/>
  <c r="C108" i="11"/>
  <c r="Q106" i="12"/>
  <c r="B106" i="12"/>
  <c r="E106" i="12"/>
  <c r="C77" i="12"/>
  <c r="D77" i="12"/>
  <c r="Q77" i="12"/>
  <c r="B77" i="12"/>
  <c r="C45" i="12"/>
  <c r="D45" i="12"/>
  <c r="Q45" i="12"/>
  <c r="B45" i="12"/>
  <c r="B114" i="12"/>
  <c r="E114" i="12"/>
  <c r="D113" i="12"/>
  <c r="B113" i="12"/>
  <c r="B110" i="12"/>
  <c r="E110" i="12"/>
  <c r="D109" i="12"/>
  <c r="B109" i="12"/>
  <c r="C101" i="12"/>
  <c r="D101" i="12"/>
  <c r="Q101" i="12"/>
  <c r="B101" i="12"/>
  <c r="C57" i="12"/>
  <c r="D57" i="12"/>
  <c r="Q57" i="12"/>
  <c r="B57" i="12"/>
  <c r="D114" i="12"/>
  <c r="E113" i="12"/>
  <c r="D110" i="12"/>
  <c r="E109" i="12"/>
  <c r="C106" i="12"/>
  <c r="E101" i="12"/>
  <c r="C89" i="12"/>
  <c r="D89" i="12"/>
  <c r="Q89" i="12"/>
  <c r="B89" i="12"/>
  <c r="C69" i="12"/>
  <c r="D69" i="12"/>
  <c r="Q69" i="12"/>
  <c r="B69" i="12"/>
  <c r="E57" i="12"/>
  <c r="C37" i="12"/>
  <c r="D37" i="12"/>
  <c r="Q37" i="12"/>
  <c r="B37" i="12"/>
  <c r="M107" i="11"/>
  <c r="C114" i="12"/>
  <c r="C113" i="12"/>
  <c r="C110" i="12"/>
  <c r="C109" i="12"/>
  <c r="C81" i="12"/>
  <c r="D81" i="12"/>
  <c r="Q81" i="12"/>
  <c r="B81" i="12"/>
  <c r="C49" i="12"/>
  <c r="D49" i="12"/>
  <c r="Q49" i="12"/>
  <c r="B49" i="12"/>
  <c r="D112" i="12"/>
  <c r="D108" i="12"/>
  <c r="D104" i="12"/>
  <c r="D100" i="12"/>
  <c r="D96" i="12"/>
  <c r="D92" i="12"/>
  <c r="D88" i="12"/>
  <c r="D84" i="12"/>
  <c r="D80" i="12"/>
  <c r="D76" i="12"/>
  <c r="D68" i="12"/>
  <c r="D64" i="12"/>
  <c r="D60" i="12"/>
  <c r="D56" i="12"/>
  <c r="D52" i="12"/>
  <c r="D48" i="12"/>
  <c r="D44" i="12"/>
  <c r="D40" i="12"/>
  <c r="D36" i="12"/>
  <c r="D32" i="12"/>
  <c r="H112" i="11"/>
  <c r="P112" i="11"/>
  <c r="L105" i="11"/>
  <c r="C105" i="11"/>
  <c r="L103" i="11"/>
  <c r="C103" i="11"/>
  <c r="I93" i="11"/>
  <c r="I91" i="11"/>
  <c r="L89" i="11"/>
  <c r="C89" i="11"/>
  <c r="L87" i="11"/>
  <c r="C87" i="11"/>
  <c r="L85" i="11"/>
  <c r="C83" i="11"/>
  <c r="K83" i="11"/>
  <c r="G83" i="11"/>
  <c r="O83" i="11"/>
  <c r="B83" i="11"/>
  <c r="J83" i="11"/>
  <c r="L81" i="11"/>
  <c r="C79" i="11"/>
  <c r="K79" i="11"/>
  <c r="G79" i="11"/>
  <c r="O79" i="11"/>
  <c r="B79" i="11"/>
  <c r="J79" i="11"/>
  <c r="L77" i="11"/>
  <c r="C75" i="11"/>
  <c r="K75" i="11"/>
  <c r="G75" i="11"/>
  <c r="O75" i="11"/>
  <c r="B75" i="11"/>
  <c r="J75" i="11"/>
  <c r="L73" i="11"/>
  <c r="P71" i="11"/>
  <c r="L67" i="11"/>
  <c r="P61" i="11"/>
  <c r="L57" i="11"/>
  <c r="P55" i="11"/>
  <c r="L51" i="11"/>
  <c r="N44" i="11"/>
  <c r="J41" i="11"/>
  <c r="M39" i="11"/>
  <c r="O38" i="11"/>
  <c r="E36" i="11"/>
  <c r="M36" i="11"/>
  <c r="I36" i="11"/>
  <c r="Q36" i="11"/>
  <c r="G36" i="11"/>
  <c r="K36" i="11"/>
  <c r="B36" i="11"/>
  <c r="L36" i="11"/>
  <c r="P36" i="11"/>
  <c r="B111" i="11"/>
  <c r="J111" i="11"/>
  <c r="B101" i="11"/>
  <c r="J101" i="11"/>
  <c r="B99" i="11"/>
  <c r="J99" i="11"/>
  <c r="Q93" i="11"/>
  <c r="H93" i="11"/>
  <c r="Q91" i="11"/>
  <c r="H91" i="11"/>
  <c r="I85" i="11"/>
  <c r="I81" i="11"/>
  <c r="I77" i="11"/>
  <c r="I73" i="11"/>
  <c r="M71" i="11"/>
  <c r="I67" i="11"/>
  <c r="G65" i="11"/>
  <c r="O65" i="11"/>
  <c r="B65" i="11"/>
  <c r="J65" i="11"/>
  <c r="C65" i="11"/>
  <c r="K65" i="11"/>
  <c r="N65" i="11"/>
  <c r="M61" i="11"/>
  <c r="C59" i="11"/>
  <c r="K59" i="11"/>
  <c r="N59" i="11"/>
  <c r="G59" i="11"/>
  <c r="O59" i="11"/>
  <c r="B59" i="11"/>
  <c r="J59" i="11"/>
  <c r="I57" i="11"/>
  <c r="M55" i="11"/>
  <c r="I51" i="11"/>
  <c r="G49" i="11"/>
  <c r="O49" i="11"/>
  <c r="B49" i="11"/>
  <c r="J49" i="11"/>
  <c r="C49" i="11"/>
  <c r="K49" i="11"/>
  <c r="N49" i="11"/>
  <c r="J44" i="11"/>
  <c r="I41" i="11"/>
  <c r="I39" i="11"/>
  <c r="K38" i="11"/>
  <c r="P33" i="11"/>
  <c r="L111" i="11"/>
  <c r="C111" i="11"/>
  <c r="I105" i="11"/>
  <c r="I103" i="11"/>
  <c r="L101" i="11"/>
  <c r="C101" i="11"/>
  <c r="L99" i="11"/>
  <c r="C99" i="11"/>
  <c r="P93" i="11"/>
  <c r="G93" i="11"/>
  <c r="P91" i="11"/>
  <c r="G91" i="11"/>
  <c r="I89" i="11"/>
  <c r="I87" i="11"/>
  <c r="L71" i="11"/>
  <c r="P65" i="11"/>
  <c r="L61" i="11"/>
  <c r="P59" i="11"/>
  <c r="L55" i="11"/>
  <c r="P49" i="11"/>
  <c r="N33" i="11"/>
  <c r="Q112" i="12"/>
  <c r="Q108" i="12"/>
  <c r="Q104" i="12"/>
  <c r="E102" i="12"/>
  <c r="Q100" i="12"/>
  <c r="E98" i="12"/>
  <c r="Q96" i="12"/>
  <c r="E94" i="12"/>
  <c r="Q92" i="12"/>
  <c r="E90" i="12"/>
  <c r="Q88" i="12"/>
  <c r="E86" i="12"/>
  <c r="Q84" i="12"/>
  <c r="E82" i="12"/>
  <c r="Q80" i="12"/>
  <c r="E78" i="12"/>
  <c r="Q76" i="12"/>
  <c r="E74" i="12"/>
  <c r="E70" i="12"/>
  <c r="Q68" i="12"/>
  <c r="E66" i="12"/>
  <c r="Q64" i="12"/>
  <c r="E62" i="12"/>
  <c r="Q60" i="12"/>
  <c r="E58" i="12"/>
  <c r="Q56" i="12"/>
  <c r="E54" i="12"/>
  <c r="Q52" i="12"/>
  <c r="E50" i="12"/>
  <c r="Q48" i="12"/>
  <c r="E46" i="12"/>
  <c r="Q44" i="12"/>
  <c r="E42" i="12"/>
  <c r="Q40" i="12"/>
  <c r="E38" i="12"/>
  <c r="Q36" i="12"/>
  <c r="E34" i="12"/>
  <c r="Q32" i="12"/>
  <c r="Q113" i="11"/>
  <c r="J112" i="11"/>
  <c r="K111" i="11"/>
  <c r="Q105" i="11"/>
  <c r="H105" i="11"/>
  <c r="Q103" i="11"/>
  <c r="H103" i="11"/>
  <c r="K101" i="11"/>
  <c r="K99" i="11"/>
  <c r="B97" i="11"/>
  <c r="J97" i="11"/>
  <c r="B95" i="11"/>
  <c r="J95" i="11"/>
  <c r="Q89" i="11"/>
  <c r="H89" i="11"/>
  <c r="Q87" i="11"/>
  <c r="H87" i="11"/>
  <c r="L83" i="11"/>
  <c r="L79" i="11"/>
  <c r="L75" i="11"/>
  <c r="I71" i="11"/>
  <c r="G69" i="11"/>
  <c r="O69" i="11"/>
  <c r="B69" i="11"/>
  <c r="J69" i="11"/>
  <c r="C69" i="11"/>
  <c r="K69" i="11"/>
  <c r="N69" i="11"/>
  <c r="M65" i="11"/>
  <c r="C63" i="11"/>
  <c r="K63" i="11"/>
  <c r="N63" i="11"/>
  <c r="G63" i="11"/>
  <c r="O63" i="11"/>
  <c r="B63" i="11"/>
  <c r="J63" i="11"/>
  <c r="I61" i="11"/>
  <c r="M59" i="11"/>
  <c r="I55" i="11"/>
  <c r="G53" i="11"/>
  <c r="O53" i="11"/>
  <c r="B53" i="11"/>
  <c r="J53" i="11"/>
  <c r="C53" i="11"/>
  <c r="K53" i="11"/>
  <c r="N53" i="11"/>
  <c r="M49" i="11"/>
  <c r="C47" i="11"/>
  <c r="K47" i="11"/>
  <c r="N47" i="11"/>
  <c r="G47" i="11"/>
  <c r="O47" i="11"/>
  <c r="B47" i="11"/>
  <c r="J47" i="11"/>
  <c r="O36" i="11"/>
  <c r="J33" i="11"/>
  <c r="E44" i="11"/>
  <c r="M44" i="11"/>
  <c r="I44" i="11"/>
  <c r="Q44" i="11"/>
  <c r="B44" i="11"/>
  <c r="L44" i="11"/>
  <c r="P44" i="11"/>
  <c r="G44" i="11"/>
  <c r="K44" i="11"/>
  <c r="C41" i="11"/>
  <c r="K41" i="11"/>
  <c r="G41" i="11"/>
  <c r="O41" i="11"/>
  <c r="B41" i="11"/>
  <c r="M41" i="11"/>
  <c r="Q41" i="11"/>
  <c r="H41" i="11"/>
  <c r="L41" i="11"/>
  <c r="G39" i="11"/>
  <c r="O39" i="11"/>
  <c r="C39" i="11"/>
  <c r="K39" i="11"/>
  <c r="Q39" i="11"/>
  <c r="J39" i="11"/>
  <c r="L39" i="11"/>
  <c r="E39" i="11"/>
  <c r="P39" i="11"/>
  <c r="I38" i="11"/>
  <c r="Q38" i="11"/>
  <c r="E38" i="11"/>
  <c r="M38" i="11"/>
  <c r="C38" i="11"/>
  <c r="N38" i="11"/>
  <c r="G38" i="11"/>
  <c r="H38" i="11"/>
  <c r="B38" i="11"/>
  <c r="L38" i="11"/>
  <c r="B93" i="11"/>
  <c r="J93" i="11"/>
  <c r="B91" i="11"/>
  <c r="J91" i="11"/>
  <c r="G85" i="11"/>
  <c r="O85" i="11"/>
  <c r="B85" i="11"/>
  <c r="J85" i="11"/>
  <c r="C85" i="11"/>
  <c r="K85" i="11"/>
  <c r="G81" i="11"/>
  <c r="O81" i="11"/>
  <c r="B81" i="11"/>
  <c r="J81" i="11"/>
  <c r="C81" i="11"/>
  <c r="K81" i="11"/>
  <c r="G77" i="11"/>
  <c r="O77" i="11"/>
  <c r="B77" i="11"/>
  <c r="J77" i="11"/>
  <c r="C77" i="11"/>
  <c r="K77" i="11"/>
  <c r="G73" i="11"/>
  <c r="O73" i="11"/>
  <c r="B73" i="11"/>
  <c r="J73" i="11"/>
  <c r="C73" i="11"/>
  <c r="K73" i="11"/>
  <c r="C67" i="11"/>
  <c r="K67" i="11"/>
  <c r="N67" i="11"/>
  <c r="G67" i="11"/>
  <c r="O67" i="11"/>
  <c r="B67" i="11"/>
  <c r="J67" i="11"/>
  <c r="G57" i="11"/>
  <c r="O57" i="11"/>
  <c r="B57" i="11"/>
  <c r="J57" i="11"/>
  <c r="C57" i="11"/>
  <c r="K57" i="11"/>
  <c r="N57" i="11"/>
  <c r="C51" i="11"/>
  <c r="K51" i="11"/>
  <c r="N51" i="11"/>
  <c r="G51" i="11"/>
  <c r="O51" i="11"/>
  <c r="B51" i="11"/>
  <c r="J51" i="11"/>
  <c r="C44" i="11"/>
  <c r="B39" i="11"/>
  <c r="B102" i="12"/>
  <c r="B98" i="12"/>
  <c r="B94" i="12"/>
  <c r="B90" i="12"/>
  <c r="B86" i="12"/>
  <c r="P111" i="11"/>
  <c r="G111" i="11"/>
  <c r="P101" i="11"/>
  <c r="G101" i="11"/>
  <c r="P99" i="11"/>
  <c r="G99" i="11"/>
  <c r="L93" i="11"/>
  <c r="C93" i="11"/>
  <c r="L91" i="11"/>
  <c r="C91" i="11"/>
  <c r="P67" i="11"/>
  <c r="H65" i="11"/>
  <c r="H59" i="11"/>
  <c r="P57" i="11"/>
  <c r="P51" i="11"/>
  <c r="H49" i="11"/>
  <c r="P41" i="11"/>
  <c r="Q102" i="12"/>
  <c r="Q98" i="12"/>
  <c r="Q94" i="12"/>
  <c r="Q90" i="12"/>
  <c r="O111" i="11"/>
  <c r="B105" i="11"/>
  <c r="J105" i="11"/>
  <c r="B103" i="11"/>
  <c r="J103" i="11"/>
  <c r="O101" i="11"/>
  <c r="O99" i="11"/>
  <c r="K93" i="11"/>
  <c r="K91" i="11"/>
  <c r="B89" i="11"/>
  <c r="J89" i="11"/>
  <c r="B87" i="11"/>
  <c r="J87" i="11"/>
  <c r="M85" i="11"/>
  <c r="M81" i="11"/>
  <c r="M77" i="11"/>
  <c r="M73" i="11"/>
  <c r="C71" i="11"/>
  <c r="K71" i="11"/>
  <c r="N71" i="11"/>
  <c r="G71" i="11"/>
  <c r="O71" i="11"/>
  <c r="B71" i="11"/>
  <c r="J71" i="11"/>
  <c r="M67" i="11"/>
  <c r="G61" i="11"/>
  <c r="O61" i="11"/>
  <c r="B61" i="11"/>
  <c r="J61" i="11"/>
  <c r="C61" i="11"/>
  <c r="K61" i="11"/>
  <c r="N61" i="11"/>
  <c r="M57" i="11"/>
  <c r="C55" i="11"/>
  <c r="K55" i="11"/>
  <c r="N55" i="11"/>
  <c r="G55" i="11"/>
  <c r="O55" i="11"/>
  <c r="B55" i="11"/>
  <c r="J55" i="11"/>
  <c r="M51" i="11"/>
  <c r="O44" i="11"/>
  <c r="N41" i="11"/>
  <c r="N39" i="11"/>
  <c r="P38" i="11"/>
  <c r="C33" i="11"/>
  <c r="K33" i="11"/>
  <c r="G33" i="11"/>
  <c r="O33" i="11"/>
  <c r="H33" i="11"/>
  <c r="L33" i="11"/>
  <c r="B33" i="11"/>
  <c r="M33" i="11"/>
  <c r="Q33" i="11"/>
  <c r="G31" i="11"/>
  <c r="O31" i="11"/>
  <c r="C31" i="11"/>
  <c r="K31" i="11"/>
  <c r="L31" i="11"/>
  <c r="B31" i="11"/>
  <c r="M31" i="11"/>
  <c r="E31" i="11"/>
  <c r="P31" i="11"/>
  <c r="Q31" i="11"/>
  <c r="J31" i="11"/>
  <c r="P104" i="11"/>
  <c r="P100" i="11"/>
  <c r="P96" i="11"/>
  <c r="P92" i="11"/>
  <c r="P88" i="11"/>
  <c r="P84" i="11"/>
  <c r="P80" i="11"/>
  <c r="P76" i="11"/>
  <c r="P72" i="11"/>
  <c r="P68" i="11"/>
  <c r="P64" i="11"/>
  <c r="P60" i="11"/>
  <c r="P56" i="11"/>
  <c r="P52" i="11"/>
  <c r="P48" i="11"/>
  <c r="C45" i="11"/>
  <c r="K45" i="11"/>
  <c r="I42" i="11"/>
  <c r="Q42" i="11"/>
  <c r="E42" i="11"/>
  <c r="M42" i="11"/>
  <c r="M35" i="11"/>
  <c r="B35" i="11"/>
  <c r="N32" i="11"/>
  <c r="C32" i="11"/>
  <c r="O118" i="13"/>
  <c r="E112" i="17"/>
  <c r="E144" i="17"/>
  <c r="G43" i="11"/>
  <c r="O43" i="11"/>
  <c r="C43" i="11"/>
  <c r="K43" i="11"/>
  <c r="E40" i="11"/>
  <c r="M40" i="11"/>
  <c r="I40" i="11"/>
  <c r="Q40" i="11"/>
  <c r="I35" i="11"/>
  <c r="E111" i="17"/>
  <c r="E143" i="17"/>
  <c r="M43" i="11"/>
  <c r="B43" i="11"/>
  <c r="N40" i="11"/>
  <c r="C40" i="11"/>
  <c r="C37" i="11"/>
  <c r="K37" i="11"/>
  <c r="G37" i="11"/>
  <c r="O37" i="11"/>
  <c r="I34" i="11"/>
  <c r="Q34" i="11"/>
  <c r="E34" i="11"/>
  <c r="M34" i="11"/>
  <c r="K116" i="13"/>
  <c r="K118" i="13" s="1"/>
  <c r="I43" i="11"/>
  <c r="J40" i="11"/>
  <c r="G35" i="11"/>
  <c r="O35" i="11"/>
  <c r="C35" i="11"/>
  <c r="K35" i="11"/>
  <c r="E32" i="11"/>
  <c r="M32" i="11"/>
  <c r="I32" i="11"/>
  <c r="Q32" i="11"/>
  <c r="D252" i="17"/>
  <c r="F233" i="17"/>
  <c r="F253" i="17"/>
  <c r="K72" i="8"/>
  <c r="I92" i="8"/>
  <c r="N49" i="8"/>
  <c r="M64" i="8"/>
  <c r="E56" i="8"/>
  <c r="M56" i="8"/>
  <c r="H56" i="8"/>
  <c r="I56" i="8"/>
  <c r="K56" i="8"/>
  <c r="C56" i="8"/>
  <c r="L56" i="8"/>
  <c r="F56" i="8"/>
  <c r="J56" i="8"/>
  <c r="G56" i="8"/>
  <c r="N56" i="8"/>
  <c r="E76" i="8"/>
  <c r="H76" i="8"/>
  <c r="D76" i="8"/>
  <c r="J76" i="8"/>
  <c r="M44" i="8"/>
  <c r="I129" i="10"/>
  <c r="BC129" i="10"/>
  <c r="BI59" i="10"/>
  <c r="A59" i="10" s="1"/>
  <c r="BI63" i="10"/>
  <c r="BI42" i="10"/>
  <c r="A42" i="10" s="1"/>
  <c r="BJ42" i="10" s="1"/>
  <c r="BI55" i="10"/>
  <c r="A55" i="10" s="1"/>
  <c r="C203" i="16"/>
  <c r="C172" i="16"/>
  <c r="D134" i="16"/>
  <c r="B112" i="12"/>
  <c r="B111" i="12"/>
  <c r="B100" i="12"/>
  <c r="D99" i="12"/>
  <c r="Q95" i="12"/>
  <c r="Q70" i="12"/>
  <c r="D70" i="12"/>
  <c r="O113" i="11"/>
  <c r="G113" i="11"/>
  <c r="P113" i="11"/>
  <c r="H113" i="11"/>
  <c r="B113" i="11"/>
  <c r="J113" i="11"/>
  <c r="C113" i="11"/>
  <c r="K113" i="11"/>
  <c r="I113" i="11"/>
  <c r="M113" i="11"/>
  <c r="E113" i="11"/>
  <c r="G121" i="16"/>
  <c r="E122" i="16" s="1"/>
  <c r="E108" i="12"/>
  <c r="B99" i="12"/>
  <c r="C70" i="12"/>
  <c r="Q99" i="12"/>
  <c r="Q86" i="12"/>
  <c r="C86" i="12"/>
  <c r="D86" i="12"/>
  <c r="E84" i="12"/>
  <c r="Q82" i="12"/>
  <c r="D82" i="12"/>
  <c r="Q66" i="12"/>
  <c r="D66" i="12"/>
  <c r="E149" i="16"/>
  <c r="E120" i="16"/>
  <c r="C168" i="16" s="1"/>
  <c r="C167" i="16" s="1"/>
  <c r="C169" i="16" s="1"/>
  <c r="E107" i="16"/>
  <c r="C84" i="12"/>
  <c r="C82" i="12"/>
  <c r="C66" i="12"/>
  <c r="B54" i="12"/>
  <c r="Q54" i="12"/>
  <c r="C54" i="12"/>
  <c r="C31" i="12"/>
  <c r="Q31" i="12"/>
  <c r="D31" i="12"/>
  <c r="E31" i="12"/>
  <c r="G114" i="11"/>
  <c r="O114" i="11"/>
  <c r="H114" i="11"/>
  <c r="P114" i="11"/>
  <c r="I114" i="11"/>
  <c r="Q114" i="11"/>
  <c r="B114" i="11"/>
  <c r="J114" i="11"/>
  <c r="C114" i="11"/>
  <c r="K114" i="11"/>
  <c r="E114" i="11"/>
  <c r="M114" i="11"/>
  <c r="D149" i="16"/>
  <c r="D178" i="16" s="1"/>
  <c r="H113" i="16"/>
  <c r="E104" i="12"/>
  <c r="E103" i="12"/>
  <c r="C102" i="12"/>
  <c r="E95" i="12"/>
  <c r="B84" i="12"/>
  <c r="E80" i="12"/>
  <c r="Q78" i="12"/>
  <c r="D78" i="12"/>
  <c r="Q62" i="12"/>
  <c r="D62" i="12"/>
  <c r="D54" i="12"/>
  <c r="B31" i="12"/>
  <c r="C111" i="12"/>
  <c r="C99" i="12"/>
  <c r="D95" i="12"/>
  <c r="Q91" i="12"/>
  <c r="D91" i="12"/>
  <c r="E91" i="12"/>
  <c r="C91" i="12"/>
  <c r="Q87" i="12"/>
  <c r="B87" i="12"/>
  <c r="E87" i="12"/>
  <c r="C88" i="12"/>
  <c r="E76" i="12"/>
  <c r="Q74" i="12"/>
  <c r="D74" i="12"/>
  <c r="Q58" i="12"/>
  <c r="D58" i="12"/>
  <c r="B36" i="12"/>
  <c r="C36" i="12"/>
  <c r="E36" i="12"/>
  <c r="C192" i="16"/>
  <c r="F164" i="16"/>
  <c r="E114" i="16"/>
  <c r="E115" i="16" s="1"/>
  <c r="E112" i="12"/>
  <c r="D111" i="12"/>
  <c r="Q103" i="12"/>
  <c r="E88" i="12"/>
  <c r="C76" i="12"/>
  <c r="C74" i="12"/>
  <c r="B70" i="12"/>
  <c r="C58" i="12"/>
  <c r="B96" i="11"/>
  <c r="J96" i="11"/>
  <c r="Q94" i="11"/>
  <c r="Q83" i="11"/>
  <c r="Q80" i="11"/>
  <c r="E65" i="11"/>
  <c r="L65" i="11"/>
  <c r="N62" i="11"/>
  <c r="I62" i="11"/>
  <c r="Q62" i="11"/>
  <c r="H55" i="11"/>
  <c r="B50" i="11"/>
  <c r="J50" i="11"/>
  <c r="E50" i="11"/>
  <c r="M50" i="11"/>
  <c r="E47" i="11"/>
  <c r="I47" i="11"/>
  <c r="P43" i="11"/>
  <c r="E43" i="11"/>
  <c r="Q37" i="11"/>
  <c r="B37" i="11"/>
  <c r="J32" i="11"/>
  <c r="B32" i="11"/>
  <c r="O32" i="11"/>
  <c r="Q55" i="12"/>
  <c r="M112" i="11"/>
  <c r="C112" i="11"/>
  <c r="M110" i="11"/>
  <c r="E110" i="11"/>
  <c r="L109" i="11"/>
  <c r="P106" i="11"/>
  <c r="H106" i="11"/>
  <c r="I104" i="11"/>
  <c r="P103" i="11"/>
  <c r="I102" i="11"/>
  <c r="Q100" i="11"/>
  <c r="Q98" i="11"/>
  <c r="H98" i="11"/>
  <c r="L96" i="11"/>
  <c r="C96" i="11"/>
  <c r="I95" i="11"/>
  <c r="P94" i="11"/>
  <c r="J92" i="11"/>
  <c r="G88" i="11"/>
  <c r="Q88" i="11"/>
  <c r="C88" i="11"/>
  <c r="K88" i="11"/>
  <c r="C86" i="11"/>
  <c r="K86" i="11"/>
  <c r="I84" i="11"/>
  <c r="P83" i="11"/>
  <c r="P82" i="11"/>
  <c r="G82" i="11"/>
  <c r="O80" i="11"/>
  <c r="M79" i="11"/>
  <c r="P77" i="11"/>
  <c r="I69" i="11"/>
  <c r="K68" i="11"/>
  <c r="I63" i="11"/>
  <c r="L62" i="11"/>
  <c r="C62" i="11"/>
  <c r="G56" i="11"/>
  <c r="Q51" i="11"/>
  <c r="N50" i="11"/>
  <c r="C50" i="11"/>
  <c r="G42" i="11"/>
  <c r="K42" i="11"/>
  <c r="P40" i="11"/>
  <c r="N37" i="11"/>
  <c r="G94" i="11"/>
  <c r="O94" i="11"/>
  <c r="B94" i="11"/>
  <c r="J94" i="11"/>
  <c r="E80" i="11"/>
  <c r="I80" i="11"/>
  <c r="E73" i="11"/>
  <c r="P73" i="11"/>
  <c r="G34" i="11"/>
  <c r="B34" i="11"/>
  <c r="L34" i="11"/>
  <c r="C92" i="12"/>
  <c r="C51" i="12"/>
  <c r="C47" i="12"/>
  <c r="C43" i="12"/>
  <c r="C39" i="12"/>
  <c r="B34" i="12"/>
  <c r="K112" i="11"/>
  <c r="K110" i="11"/>
  <c r="C110" i="11"/>
  <c r="C109" i="11"/>
  <c r="Q104" i="11"/>
  <c r="O102" i="11"/>
  <c r="I101" i="11"/>
  <c r="H100" i="11"/>
  <c r="O98" i="11"/>
  <c r="C97" i="11"/>
  <c r="L97" i="11"/>
  <c r="I96" i="11"/>
  <c r="Q95" i="11"/>
  <c r="M94" i="11"/>
  <c r="C94" i="11"/>
  <c r="Q92" i="11"/>
  <c r="I90" i="11"/>
  <c r="Q90" i="11"/>
  <c r="K89" i="11"/>
  <c r="L88" i="11"/>
  <c r="J86" i="11"/>
  <c r="Q84" i="11"/>
  <c r="M83" i="11"/>
  <c r="M80" i="11"/>
  <c r="C80" i="11"/>
  <c r="H79" i="11"/>
  <c r="C70" i="11"/>
  <c r="K70" i="11"/>
  <c r="N70" i="11"/>
  <c r="C64" i="11"/>
  <c r="K64" i="11"/>
  <c r="E64" i="11"/>
  <c r="N64" i="11"/>
  <c r="J62" i="11"/>
  <c r="Q56" i="11"/>
  <c r="E53" i="11"/>
  <c r="I53" i="11"/>
  <c r="H51" i="11"/>
  <c r="K50" i="11"/>
  <c r="Q49" i="11"/>
  <c r="P47" i="11"/>
  <c r="N43" i="11"/>
  <c r="O42" i="11"/>
  <c r="B42" i="11"/>
  <c r="L40" i="11"/>
  <c r="J37" i="11"/>
  <c r="P34" i="11"/>
  <c r="C34" i="11"/>
  <c r="L32" i="11"/>
  <c r="C55" i="12"/>
  <c r="I112" i="11"/>
  <c r="J110" i="11"/>
  <c r="B110" i="11"/>
  <c r="M106" i="11"/>
  <c r="E106" i="11"/>
  <c r="O104" i="11"/>
  <c r="K103" i="11"/>
  <c r="H101" i="11"/>
  <c r="G96" i="11"/>
  <c r="P95" i="11"/>
  <c r="L94" i="11"/>
  <c r="O92" i="11"/>
  <c r="O84" i="11"/>
  <c r="I83" i="11"/>
  <c r="I82" i="11"/>
  <c r="Q82" i="11"/>
  <c r="L80" i="11"/>
  <c r="B80" i="11"/>
  <c r="H77" i="11"/>
  <c r="H69" i="11"/>
  <c r="M69" i="11"/>
  <c r="H67" i="11"/>
  <c r="Q67" i="11"/>
  <c r="H63" i="11"/>
  <c r="M63" i="11"/>
  <c r="H62" i="11"/>
  <c r="Q61" i="11"/>
  <c r="E59" i="11"/>
  <c r="L59" i="11"/>
  <c r="B56" i="11"/>
  <c r="J56" i="11"/>
  <c r="H56" i="11"/>
  <c r="M56" i="11"/>
  <c r="I50" i="11"/>
  <c r="L49" i="11"/>
  <c r="M47" i="11"/>
  <c r="L43" i="11"/>
  <c r="N42" i="11"/>
  <c r="H37" i="11"/>
  <c r="O34" i="11"/>
  <c r="K32" i="11"/>
  <c r="N31" i="11"/>
  <c r="G112" i="11"/>
  <c r="Q110" i="11"/>
  <c r="I110" i="11"/>
  <c r="H104" i="11"/>
  <c r="M104" i="11"/>
  <c r="G103" i="11"/>
  <c r="H102" i="11"/>
  <c r="P102" i="11"/>
  <c r="C98" i="11"/>
  <c r="K98" i="11"/>
  <c r="Q96" i="11"/>
  <c r="G95" i="11"/>
  <c r="K95" i="11"/>
  <c r="K94" i="11"/>
  <c r="E92" i="11"/>
  <c r="I92" i="11"/>
  <c r="C84" i="11"/>
  <c r="K84" i="11"/>
  <c r="E84" i="11"/>
  <c r="K80" i="11"/>
  <c r="E75" i="11"/>
  <c r="I75" i="11"/>
  <c r="Q65" i="11"/>
  <c r="G62" i="11"/>
  <c r="H50" i="11"/>
  <c r="L47" i="11"/>
  <c r="J43" i="11"/>
  <c r="N34" i="11"/>
  <c r="G32" i="11"/>
  <c r="P110" i="11"/>
  <c r="H110" i="11"/>
  <c r="K106" i="11"/>
  <c r="L104" i="11"/>
  <c r="C104" i="11"/>
  <c r="L102" i="11"/>
  <c r="C102" i="11"/>
  <c r="E101" i="11"/>
  <c r="K100" i="11"/>
  <c r="B100" i="11"/>
  <c r="L98" i="11"/>
  <c r="B98" i="11"/>
  <c r="O96" i="11"/>
  <c r="E96" i="11"/>
  <c r="C95" i="11"/>
  <c r="I94" i="11"/>
  <c r="M92" i="11"/>
  <c r="C92" i="11"/>
  <c r="G86" i="11"/>
  <c r="M84" i="11"/>
  <c r="B84" i="11"/>
  <c r="E83" i="11"/>
  <c r="K82" i="11"/>
  <c r="B82" i="11"/>
  <c r="J80" i="11"/>
  <c r="Q79" i="11"/>
  <c r="Q73" i="11"/>
  <c r="Q69" i="11"/>
  <c r="H68" i="11"/>
  <c r="M68" i="11"/>
  <c r="G68" i="11"/>
  <c r="Q68" i="11"/>
  <c r="I65" i="11"/>
  <c r="Q63" i="11"/>
  <c r="P62" i="11"/>
  <c r="C52" i="11"/>
  <c r="K52" i="11"/>
  <c r="E52" i="11"/>
  <c r="N52" i="11"/>
  <c r="Q50" i="11"/>
  <c r="G50" i="11"/>
  <c r="H47" i="11"/>
  <c r="J42" i="11"/>
  <c r="H40" i="11"/>
  <c r="K40" i="11"/>
  <c r="K34" i="11"/>
  <c r="O110" i="11"/>
  <c r="H94" i="11"/>
  <c r="G80" i="11"/>
  <c r="Q55" i="11"/>
  <c r="L37" i="11"/>
  <c r="I37" i="11"/>
  <c r="P37" i="11"/>
  <c r="H34" i="11"/>
  <c r="O74" i="11"/>
  <c r="O66" i="11"/>
  <c r="O58" i="11"/>
  <c r="O46" i="11"/>
  <c r="P45" i="11"/>
  <c r="A49" i="25"/>
  <c r="BI90" i="10"/>
  <c r="W129" i="10"/>
  <c r="BI67" i="10"/>
  <c r="A67" i="10"/>
  <c r="BI46" i="10"/>
  <c r="A46" i="10"/>
  <c r="C98" i="12"/>
  <c r="E75" i="12"/>
  <c r="E71" i="12"/>
  <c r="C68" i="12"/>
  <c r="D67" i="12"/>
  <c r="B64" i="12"/>
  <c r="B60" i="12"/>
  <c r="B47" i="12"/>
  <c r="C46" i="12"/>
  <c r="Q39" i="12"/>
  <c r="Q35" i="12"/>
  <c r="Q34" i="12"/>
  <c r="O64" i="11"/>
  <c r="B58" i="11"/>
  <c r="J58" i="11"/>
  <c r="C58" i="11"/>
  <c r="K58" i="11"/>
  <c r="G58" i="11"/>
  <c r="M58" i="11"/>
  <c r="P58" i="11"/>
  <c r="I58" i="11"/>
  <c r="C108" i="12"/>
  <c r="D103" i="12"/>
  <c r="C95" i="12"/>
  <c r="D94" i="12"/>
  <c r="D71" i="12"/>
  <c r="B52" i="12"/>
  <c r="L112" i="11"/>
  <c r="K102" i="11"/>
  <c r="Q99" i="11"/>
  <c r="M93" i="11"/>
  <c r="E93" i="11"/>
  <c r="P89" i="11"/>
  <c r="B86" i="11"/>
  <c r="Q86" i="11"/>
  <c r="I86" i="11"/>
  <c r="M86" i="11"/>
  <c r="L82" i="11"/>
  <c r="B72" i="11"/>
  <c r="I72" i="11"/>
  <c r="O72" i="11"/>
  <c r="L72" i="11"/>
  <c r="E72" i="11"/>
  <c r="G72" i="11"/>
  <c r="J64" i="11"/>
  <c r="E63" i="11"/>
  <c r="L63" i="11"/>
  <c r="B48" i="11"/>
  <c r="J48" i="11"/>
  <c r="C48" i="11"/>
  <c r="K48" i="11"/>
  <c r="H48" i="11"/>
  <c r="M48" i="11"/>
  <c r="O48" i="11"/>
  <c r="G48" i="11"/>
  <c r="Q48" i="11"/>
  <c r="I48" i="11"/>
  <c r="Q83" i="12"/>
  <c r="Q67" i="12"/>
  <c r="Q63" i="12"/>
  <c r="Q59" i="12"/>
  <c r="Q46" i="12"/>
  <c r="C42" i="12"/>
  <c r="B42" i="12"/>
  <c r="J106" i="11"/>
  <c r="C106" i="11"/>
  <c r="Q106" i="11"/>
  <c r="J102" i="11"/>
  <c r="M101" i="11"/>
  <c r="M91" i="11"/>
  <c r="C66" i="11"/>
  <c r="K66" i="11"/>
  <c r="E66" i="11"/>
  <c r="N66" i="11"/>
  <c r="H66" i="11"/>
  <c r="Q66" i="11"/>
  <c r="B66" i="11"/>
  <c r="J66" i="11"/>
  <c r="Q58" i="11"/>
  <c r="Q57" i="11"/>
  <c r="F212" i="20"/>
  <c r="Q75" i="12"/>
  <c r="E55" i="12"/>
  <c r="C52" i="12"/>
  <c r="C44" i="12"/>
  <c r="D42" i="12"/>
  <c r="D39" i="12"/>
  <c r="Q38" i="12"/>
  <c r="C35" i="12"/>
  <c r="C34" i="12"/>
  <c r="M108" i="11"/>
  <c r="B106" i="11"/>
  <c r="G102" i="11"/>
  <c r="P97" i="11"/>
  <c r="I97" i="11"/>
  <c r="E97" i="11"/>
  <c r="O97" i="11"/>
  <c r="O86" i="11"/>
  <c r="P69" i="11"/>
  <c r="N58" i="11"/>
  <c r="E112" i="11"/>
  <c r="O112" i="11"/>
  <c r="L95" i="11"/>
  <c r="Q71" i="11"/>
  <c r="D90" i="12"/>
  <c r="C67" i="12"/>
  <c r="C56" i="12"/>
  <c r="D55" i="12"/>
  <c r="B46" i="12"/>
  <c r="E40" i="12"/>
  <c r="B39" i="12"/>
  <c r="E35" i="12"/>
  <c r="E32" i="12"/>
  <c r="B112" i="11"/>
  <c r="E102" i="11"/>
  <c r="O89" i="11"/>
  <c r="E89" i="11"/>
  <c r="G89" i="11"/>
  <c r="C82" i="11"/>
  <c r="J82" i="11"/>
  <c r="M82" i="11"/>
  <c r="B64" i="11"/>
  <c r="M64" i="11"/>
  <c r="I64" i="11"/>
  <c r="L64" i="11"/>
  <c r="C90" i="12"/>
  <c r="D83" i="12"/>
  <c r="C83" i="12"/>
  <c r="E68" i="12"/>
  <c r="B67" i="12"/>
  <c r="C63" i="12"/>
  <c r="D63" i="12"/>
  <c r="D59" i="12"/>
  <c r="C59" i="12"/>
  <c r="D47" i="12"/>
  <c r="B40" i="12"/>
  <c r="B35" i="12"/>
  <c r="C32" i="12"/>
  <c r="H92" i="11"/>
  <c r="G92" i="11"/>
  <c r="L92" i="11"/>
  <c r="E79" i="11"/>
  <c r="I79" i="11"/>
  <c r="E71" i="11"/>
  <c r="C75" i="12"/>
  <c r="D75" i="12"/>
  <c r="Q71" i="12"/>
  <c r="B71" i="12"/>
  <c r="M95" i="11"/>
  <c r="O95" i="11"/>
  <c r="E95" i="11"/>
  <c r="O90" i="11"/>
  <c r="P70" i="11"/>
  <c r="E68" i="11"/>
  <c r="N56" i="11"/>
  <c r="N54" i="11"/>
  <c r="M52" i="11"/>
  <c r="B52" i="11"/>
  <c r="M46" i="11"/>
  <c r="G46" i="11"/>
  <c r="H35" i="11"/>
  <c r="F251" i="17"/>
  <c r="K56" i="11"/>
  <c r="K46" i="11"/>
  <c r="C46" i="11"/>
  <c r="N36" i="11"/>
  <c r="P35" i="11"/>
  <c r="F235" i="17"/>
  <c r="C240" i="17" s="1"/>
  <c r="B242" i="17" s="1"/>
  <c r="C243" i="17" s="1"/>
  <c r="E120" i="17"/>
  <c r="K90" i="11"/>
  <c r="B90" i="11"/>
  <c r="J78" i="11"/>
  <c r="B78" i="11"/>
  <c r="Q76" i="11"/>
  <c r="Q75" i="11"/>
  <c r="Q74" i="11"/>
  <c r="J70" i="11"/>
  <c r="N68" i="11"/>
  <c r="J54" i="11"/>
  <c r="I46" i="11"/>
  <c r="H36" i="11"/>
  <c r="L35" i="11"/>
  <c r="P46" i="11"/>
  <c r="F256" i="17"/>
  <c r="P90" i="11"/>
  <c r="O78" i="11"/>
  <c r="Q70" i="11"/>
  <c r="O56" i="11"/>
  <c r="N46" i="11"/>
  <c r="L117" i="10"/>
  <c r="L14" i="10" s="1"/>
  <c r="L129" i="10"/>
  <c r="B72" i="12"/>
  <c r="C72" i="12"/>
  <c r="E72" i="12"/>
  <c r="D117" i="10"/>
  <c r="D129" i="10"/>
  <c r="AA129" i="10"/>
  <c r="D72" i="12"/>
  <c r="P117" i="10"/>
  <c r="P14" i="10" s="1"/>
  <c r="P129" i="10"/>
  <c r="G129" i="10"/>
  <c r="Q72" i="12"/>
  <c r="M130" i="10"/>
  <c r="M129" i="10"/>
  <c r="BH62" i="10"/>
  <c r="A62" i="10" s="1"/>
  <c r="B96" i="12"/>
  <c r="C96" i="12"/>
  <c r="E96" i="12"/>
  <c r="E92" i="12"/>
  <c r="B92" i="12"/>
  <c r="C62" i="12"/>
  <c r="B62" i="12"/>
  <c r="C104" i="12"/>
  <c r="B104" i="12"/>
  <c r="C60" i="12"/>
  <c r="E60" i="12"/>
  <c r="B56" i="12"/>
  <c r="E56" i="12"/>
  <c r="D128" i="16"/>
  <c r="E117" i="16" s="1"/>
  <c r="Q111" i="12"/>
  <c r="D79" i="12"/>
  <c r="E43" i="12"/>
  <c r="Q111" i="11"/>
  <c r="L106" i="11"/>
  <c r="Q102" i="11"/>
  <c r="J100" i="11"/>
  <c r="J90" i="11"/>
  <c r="J88" i="11"/>
  <c r="Q78" i="11"/>
  <c r="K76" i="11"/>
  <c r="C76" i="11"/>
  <c r="I74" i="11"/>
  <c r="M72" i="11"/>
  <c r="H70" i="11"/>
  <c r="I68" i="11"/>
  <c r="I60" i="11"/>
  <c r="C60" i="11"/>
  <c r="L58" i="11"/>
  <c r="O54" i="11"/>
  <c r="E54" i="11"/>
  <c r="L53" i="11"/>
  <c r="I52" i="11"/>
  <c r="Q46" i="11"/>
  <c r="L42" i="11"/>
  <c r="C166" i="16"/>
  <c r="I126" i="16"/>
  <c r="C107" i="12"/>
  <c r="Q79" i="12"/>
  <c r="M105" i="11"/>
  <c r="K104" i="11"/>
  <c r="O103" i="11"/>
  <c r="I99" i="11"/>
  <c r="H90" i="11"/>
  <c r="I88" i="11"/>
  <c r="H81" i="11"/>
  <c r="P78" i="11"/>
  <c r="E77" i="11"/>
  <c r="J76" i="11"/>
  <c r="K72" i="11"/>
  <c r="E69" i="11"/>
  <c r="B68" i="11"/>
  <c r="P66" i="11"/>
  <c r="G60" i="11"/>
  <c r="B60" i="11"/>
  <c r="H58" i="11"/>
  <c r="M54" i="11"/>
  <c r="B54" i="11"/>
  <c r="E48" i="11"/>
  <c r="L46" i="11"/>
  <c r="Q45" i="11"/>
  <c r="E45" i="11"/>
  <c r="H42" i="11"/>
  <c r="M37" i="11"/>
  <c r="B51" i="12"/>
  <c r="G105" i="11"/>
  <c r="G104" i="11"/>
  <c r="I100" i="11"/>
  <c r="E90" i="11"/>
  <c r="E88" i="11"/>
  <c r="H82" i="11"/>
  <c r="G74" i="11"/>
  <c r="G70" i="11"/>
  <c r="C68" i="11"/>
  <c r="N60" i="11"/>
  <c r="K54" i="11"/>
  <c r="C54" i="11"/>
  <c r="G52" i="11"/>
  <c r="H46" i="11"/>
  <c r="N45" i="11"/>
  <c r="H45" i="11"/>
  <c r="O40" i="11"/>
  <c r="C79" i="12"/>
  <c r="O100" i="11"/>
  <c r="G100" i="11"/>
  <c r="G90" i="11"/>
  <c r="H88" i="11"/>
  <c r="M74" i="11"/>
  <c r="H74" i="11"/>
  <c r="H72" i="11"/>
  <c r="O68" i="11"/>
  <c r="I54" i="11"/>
  <c r="J52" i="11"/>
  <c r="L68" i="11"/>
  <c r="H54" i="11"/>
  <c r="M100" i="11"/>
  <c r="C100" i="11"/>
  <c r="M90" i="11"/>
  <c r="C90" i="11"/>
  <c r="K74" i="11"/>
  <c r="C74" i="11"/>
  <c r="Q72" i="11"/>
  <c r="Q54" i="11"/>
  <c r="G54" i="11"/>
  <c r="O52" i="11"/>
  <c r="N48" i="11"/>
  <c r="J74" i="11"/>
  <c r="G117" i="10"/>
  <c r="G14" i="10" s="1"/>
  <c r="C43" i="13"/>
  <c r="B63" i="21"/>
  <c r="B75" i="8"/>
  <c r="A75" i="13"/>
  <c r="C91" i="13"/>
  <c r="BI69" i="10"/>
  <c r="A69" i="10"/>
  <c r="BJ69" i="10" s="1"/>
  <c r="BI93" i="10"/>
  <c r="C39" i="13"/>
  <c r="B43" i="13"/>
  <c r="C63" i="13"/>
  <c r="B91" i="13"/>
  <c r="B51" i="8"/>
  <c r="K51" i="8" s="1"/>
  <c r="B75" i="21"/>
  <c r="BI109" i="10"/>
  <c r="C51" i="21"/>
  <c r="B91" i="8"/>
  <c r="BI97" i="10"/>
  <c r="A97" i="10"/>
  <c r="BI113" i="10"/>
  <c r="A113" i="10" s="1"/>
  <c r="B43" i="8"/>
  <c r="B51" i="21"/>
  <c r="C63" i="21"/>
  <c r="C75" i="13"/>
  <c r="C83" i="21"/>
  <c r="B91" i="21"/>
  <c r="BI37" i="10"/>
  <c r="A37" i="10" s="1"/>
  <c r="BI57" i="10"/>
  <c r="A57" i="10"/>
  <c r="BI81" i="10"/>
  <c r="B43" i="21"/>
  <c r="C51" i="13"/>
  <c r="C91" i="21"/>
  <c r="B99" i="8"/>
  <c r="D99" i="8" s="1"/>
  <c r="BI41" i="10"/>
  <c r="BI101" i="10"/>
  <c r="BI45" i="10"/>
  <c r="A45" i="10" s="1"/>
  <c r="BI61" i="10"/>
  <c r="A61" i="10"/>
  <c r="D77" i="8"/>
  <c r="T129" i="10"/>
  <c r="I117" i="10"/>
  <c r="E97" i="8"/>
  <c r="N97" i="8"/>
  <c r="B120" i="8"/>
  <c r="J120" i="8" s="1"/>
  <c r="B114" i="13"/>
  <c r="B114" i="8"/>
  <c r="C114" i="7"/>
  <c r="B114" i="7" s="1"/>
  <c r="C114" i="13"/>
  <c r="B110" i="8"/>
  <c r="B110" i="13"/>
  <c r="C110" i="13"/>
  <c r="B110" i="21"/>
  <c r="C110" i="21"/>
  <c r="B102" i="8"/>
  <c r="BI96" i="10"/>
  <c r="BH96" i="10"/>
  <c r="B66" i="13"/>
  <c r="B66" i="8"/>
  <c r="B27" i="11"/>
  <c r="B27" i="12"/>
  <c r="H108" i="8"/>
  <c r="L108" i="8"/>
  <c r="N108" i="8"/>
  <c r="C108" i="8"/>
  <c r="A90" i="13"/>
  <c r="A86" i="13"/>
  <c r="B82" i="8"/>
  <c r="C82" i="13"/>
  <c r="B82" i="13"/>
  <c r="B82" i="21"/>
  <c r="A74" i="13"/>
  <c r="A38" i="13"/>
  <c r="J22" i="7"/>
  <c r="B114" i="21"/>
  <c r="D14" i="10"/>
  <c r="D130" i="10"/>
  <c r="A106" i="13"/>
  <c r="A62" i="13"/>
  <c r="A58" i="13"/>
  <c r="C54" i="21"/>
  <c r="B42" i="21"/>
  <c r="B42" i="8"/>
  <c r="J42" i="8" s="1"/>
  <c r="B42" i="13"/>
  <c r="B20" i="8"/>
  <c r="B20" i="12"/>
  <c r="B20" i="21"/>
  <c r="B20" i="13"/>
  <c r="BH100" i="10"/>
  <c r="BI100" i="10"/>
  <c r="BH92" i="10"/>
  <c r="BI92" i="10"/>
  <c r="BH88" i="10"/>
  <c r="BI88" i="10"/>
  <c r="C78" i="21"/>
  <c r="B78" i="8"/>
  <c r="C78" i="13"/>
  <c r="B78" i="21"/>
  <c r="B70" i="13"/>
  <c r="C70" i="13"/>
  <c r="B70" i="21"/>
  <c r="C70" i="21"/>
  <c r="B70" i="8"/>
  <c r="E70" i="8" s="1"/>
  <c r="A66" i="13"/>
  <c r="BH60" i="10"/>
  <c r="BI60" i="10"/>
  <c r="A54" i="13"/>
  <c r="B46" i="21"/>
  <c r="B46" i="8"/>
  <c r="D46" i="8" s="1"/>
  <c r="B46" i="13"/>
  <c r="C46" i="13"/>
  <c r="C46" i="21"/>
  <c r="D38" i="8"/>
  <c r="M38" i="8"/>
  <c r="B27" i="8"/>
  <c r="B20" i="11"/>
  <c r="B27" i="13"/>
  <c r="K129" i="10"/>
  <c r="K14" i="10"/>
  <c r="A102" i="13"/>
  <c r="A98" i="13"/>
  <c r="A94" i="13"/>
  <c r="A82" i="13"/>
  <c r="A78" i="13"/>
  <c r="C74" i="13"/>
  <c r="BH64" i="10"/>
  <c r="BI64" i="10"/>
  <c r="BH56" i="10"/>
  <c r="BI56" i="10"/>
  <c r="A46" i="13"/>
  <c r="BH40" i="10"/>
  <c r="BI40" i="10"/>
  <c r="O118" i="21"/>
  <c r="H150" i="21" s="1"/>
  <c r="E247" i="20" s="1"/>
  <c r="M108" i="8"/>
  <c r="E114" i="7"/>
  <c r="A114" i="7"/>
  <c r="A114" i="13" s="1"/>
  <c r="B86" i="8"/>
  <c r="N86" i="8" s="1"/>
  <c r="B86" i="13"/>
  <c r="C86" i="13"/>
  <c r="B86" i="21"/>
  <c r="C86" i="21"/>
  <c r="BH52" i="10"/>
  <c r="BI52" i="10"/>
  <c r="C50" i="21"/>
  <c r="B50" i="8"/>
  <c r="M50" i="8" s="1"/>
  <c r="B50" i="13"/>
  <c r="C50" i="13"/>
  <c r="B50" i="21"/>
  <c r="BI48" i="10"/>
  <c r="F38" i="8"/>
  <c r="H118" i="21"/>
  <c r="Y117" i="10"/>
  <c r="AD117" i="10"/>
  <c r="AD130" i="10" s="1"/>
  <c r="V117" i="10"/>
  <c r="V130" i="10" s="1"/>
  <c r="F117" i="10"/>
  <c r="I118" i="13"/>
  <c r="BH84" i="10"/>
  <c r="BI84" i="10"/>
  <c r="E83" i="8"/>
  <c r="N91" i="8"/>
  <c r="D91" i="8"/>
  <c r="L91" i="8"/>
  <c r="A39" i="13"/>
  <c r="B35" i="13"/>
  <c r="C35" i="13"/>
  <c r="B35" i="21"/>
  <c r="C35" i="21"/>
  <c r="B35" i="8"/>
  <c r="E35" i="8" s="1"/>
  <c r="C31" i="13"/>
  <c r="B31" i="13"/>
  <c r="B31" i="8"/>
  <c r="AS8" i="10"/>
  <c r="H17" i="7"/>
  <c r="K91" i="8"/>
  <c r="I77" i="8"/>
  <c r="E77" i="8"/>
  <c r="C77" i="8"/>
  <c r="F77" i="8"/>
  <c r="M77" i="8"/>
  <c r="K77" i="8"/>
  <c r="H77" i="8"/>
  <c r="N77" i="8"/>
  <c r="G77" i="8"/>
  <c r="L77" i="8"/>
  <c r="AV129" i="10"/>
  <c r="I116" i="7"/>
  <c r="AE117" i="10"/>
  <c r="AE129" i="10"/>
  <c r="O129" i="10"/>
  <c r="O117" i="10"/>
  <c r="O130" i="10" s="1"/>
  <c r="A52" i="13"/>
  <c r="F48" i="8"/>
  <c r="K48" i="8"/>
  <c r="C48" i="8"/>
  <c r="L48" i="8"/>
  <c r="N48" i="8"/>
  <c r="I48" i="8"/>
  <c r="E48" i="8"/>
  <c r="M48" i="8"/>
  <c r="H83" i="8"/>
  <c r="BH108" i="10"/>
  <c r="A108" i="10"/>
  <c r="BJ108" i="10" s="1"/>
  <c r="M102" i="11"/>
  <c r="I98" i="11"/>
  <c r="K110" i="8"/>
  <c r="H38" i="8"/>
  <c r="G42" i="8"/>
  <c r="E111" i="16"/>
  <c r="C38" i="8"/>
  <c r="L38" i="8"/>
  <c r="BH110" i="10"/>
  <c r="A110" i="10" s="1"/>
  <c r="J36" i="11"/>
  <c r="N38" i="8"/>
  <c r="D42" i="8"/>
  <c r="BH114" i="10"/>
  <c r="A114" i="10" s="1"/>
  <c r="C114" i="21"/>
  <c r="E38" i="8"/>
  <c r="E42" i="8"/>
  <c r="E121" i="16"/>
  <c r="E110" i="16"/>
  <c r="J38" i="8"/>
  <c r="A93" i="10"/>
  <c r="E111" i="11"/>
  <c r="L56" i="11"/>
  <c r="A70" i="10"/>
  <c r="Q51" i="12"/>
  <c r="Q114" i="13"/>
  <c r="G130" i="10"/>
  <c r="BH39" i="10"/>
  <c r="A39" i="10" s="1"/>
  <c r="A44" i="13"/>
  <c r="BH34" i="10"/>
  <c r="BI34" i="10"/>
  <c r="A48" i="10"/>
  <c r="BJ48" i="10" s="1"/>
  <c r="H150" i="13"/>
  <c r="E264" i="17"/>
  <c r="E113" i="17"/>
  <c r="A49" i="13"/>
  <c r="K86" i="8"/>
  <c r="G40" i="8"/>
  <c r="E40" i="8"/>
  <c r="F40" i="8"/>
  <c r="M40" i="8"/>
  <c r="C40" i="8"/>
  <c r="L40" i="8"/>
  <c r="H40" i="8"/>
  <c r="J40" i="8"/>
  <c r="K40" i="8"/>
  <c r="A101" i="13"/>
  <c r="B101" i="13"/>
  <c r="BI98" i="10"/>
  <c r="BH98" i="10"/>
  <c r="BH35" i="10"/>
  <c r="BI35" i="10"/>
  <c r="BJ62" i="10"/>
  <c r="A56" i="13"/>
  <c r="BH65" i="10"/>
  <c r="BI65" i="10"/>
  <c r="C62" i="13"/>
  <c r="B62" i="21"/>
  <c r="B38" i="13"/>
  <c r="C38" i="13"/>
  <c r="C38" i="21"/>
  <c r="B38" i="21"/>
  <c r="L76" i="8"/>
  <c r="K76" i="8"/>
  <c r="F76" i="8"/>
  <c r="C76" i="8"/>
  <c r="I76" i="8"/>
  <c r="N76" i="8"/>
  <c r="M76" i="8"/>
  <c r="G76" i="8"/>
  <c r="A93" i="13"/>
  <c r="B93" i="21"/>
  <c r="B93" i="8"/>
  <c r="C93" i="21"/>
  <c r="B93" i="13"/>
  <c r="H19" i="7"/>
  <c r="AS9" i="10"/>
  <c r="A42" i="13"/>
  <c r="A107" i="13"/>
  <c r="C107" i="13"/>
  <c r="BJ71" i="10"/>
  <c r="A43" i="13"/>
  <c r="D56" i="8"/>
  <c r="BH53" i="10"/>
  <c r="A53" i="10"/>
  <c r="BH49" i="10"/>
  <c r="BI49" i="10"/>
  <c r="BH47" i="10"/>
  <c r="A47" i="10" s="1"/>
  <c r="BI47" i="10"/>
  <c r="E63" i="8"/>
  <c r="AI129" i="10"/>
  <c r="B116" i="8"/>
  <c r="D116" i="8" s="1"/>
  <c r="S117" i="10"/>
  <c r="S129" i="10"/>
  <c r="BJ77" i="10"/>
  <c r="B60" i="13"/>
  <c r="B60" i="8"/>
  <c r="C60" i="21"/>
  <c r="BI58" i="10"/>
  <c r="BH58" i="10"/>
  <c r="D194" i="16"/>
  <c r="E204" i="16" s="1"/>
  <c r="Q43" i="12"/>
  <c r="J104" i="11"/>
  <c r="BI112" i="10"/>
  <c r="BH32" i="10"/>
  <c r="A32" i="10"/>
  <c r="BJ32" i="10" s="1"/>
  <c r="C103" i="12"/>
  <c r="B43" i="12"/>
  <c r="H52" i="11"/>
  <c r="A91" i="10"/>
  <c r="Q114" i="21"/>
  <c r="A101" i="10"/>
  <c r="BJ101" i="10" s="1"/>
  <c r="A60" i="10"/>
  <c r="BJ97" i="10"/>
  <c r="D87" i="12"/>
  <c r="E105" i="11"/>
  <c r="G66" i="11"/>
  <c r="H61" i="11"/>
  <c r="BI31" i="10"/>
  <c r="A31" i="10"/>
  <c r="BJ31" i="10" s="1"/>
  <c r="A95" i="10"/>
  <c r="BJ95" i="10" s="1"/>
  <c r="D237" i="20"/>
  <c r="M97" i="11"/>
  <c r="E82" i="11"/>
  <c r="I70" i="11"/>
  <c r="BJ67" i="10"/>
  <c r="C222" i="20"/>
  <c r="B224" i="20" s="1"/>
  <c r="C225" i="20" s="1"/>
  <c r="BI79" i="10"/>
  <c r="A79" i="10" s="1"/>
  <c r="Z117" i="10"/>
  <c r="Z130" i="10" s="1"/>
  <c r="Z129" i="10"/>
  <c r="BH105" i="10"/>
  <c r="BI105" i="10"/>
  <c r="E113" i="20"/>
  <c r="B79" i="13"/>
  <c r="AG117" i="10"/>
  <c r="AG130" i="10" s="1"/>
  <c r="AG129" i="10"/>
  <c r="K130" i="10"/>
  <c r="C79" i="13"/>
  <c r="A88" i="13"/>
  <c r="B104" i="13"/>
  <c r="B104" i="21"/>
  <c r="L130" i="10"/>
  <c r="C79" i="21"/>
  <c r="B79" i="8"/>
  <c r="BI50" i="10"/>
  <c r="BH50" i="10"/>
  <c r="B104" i="8"/>
  <c r="BJ113" i="10"/>
  <c r="BH33" i="10"/>
  <c r="C48" i="12"/>
  <c r="H78" i="11"/>
  <c r="K60" i="11"/>
  <c r="C56" i="11"/>
  <c r="C42" i="11"/>
  <c r="I33" i="11"/>
  <c r="E81" i="11"/>
  <c r="B50" i="12"/>
  <c r="E78" i="11"/>
  <c r="H53" i="11"/>
  <c r="C163" i="16"/>
  <c r="C50" i="12"/>
  <c r="Q47" i="12"/>
  <c r="D38" i="12"/>
  <c r="H111" i="11"/>
  <c r="P98" i="11"/>
  <c r="C78" i="11"/>
  <c r="L70" i="11"/>
  <c r="X117" i="10"/>
  <c r="X14" i="10" s="1"/>
  <c r="A266" i="20"/>
  <c r="A41" i="10"/>
  <c r="A81" i="10"/>
  <c r="BI72" i="10"/>
  <c r="A72" i="10"/>
  <c r="Q81" i="11"/>
  <c r="M78" i="11"/>
  <c r="I56" i="11"/>
  <c r="AZ129" i="10"/>
  <c r="E48" i="12"/>
  <c r="K78" i="11"/>
  <c r="L60" i="11"/>
  <c r="N124" i="8"/>
  <c r="A110" i="13"/>
  <c r="BJ87" i="10"/>
  <c r="A68" i="13"/>
  <c r="BJ37" i="10"/>
  <c r="B80" i="21"/>
  <c r="C80" i="21"/>
  <c r="J45" i="8"/>
  <c r="C45" i="8"/>
  <c r="M14" i="10"/>
  <c r="C162" i="16"/>
  <c r="B122" i="8"/>
  <c r="F115" i="16"/>
  <c r="D37" i="8"/>
  <c r="H37" i="8"/>
  <c r="F37" i="8"/>
  <c r="A105" i="13"/>
  <c r="C191" i="16"/>
  <c r="B109" i="13"/>
  <c r="B109" i="21"/>
  <c r="C109" i="21"/>
  <c r="BI86" i="10"/>
  <c r="BH86" i="10"/>
  <c r="BJ106" i="10"/>
  <c r="BH89" i="10"/>
  <c r="BI89" i="10"/>
  <c r="C71" i="21"/>
  <c r="B71" i="8"/>
  <c r="B71" i="13"/>
  <c r="C71" i="13"/>
  <c r="B71" i="21"/>
  <c r="A111" i="13"/>
  <c r="BH73" i="10"/>
  <c r="BI73" i="10"/>
  <c r="C73" i="13"/>
  <c r="C73" i="21"/>
  <c r="B73" i="8"/>
  <c r="M73" i="8" s="1"/>
  <c r="B85" i="21"/>
  <c r="BH75" i="10"/>
  <c r="A75" i="10" s="1"/>
  <c r="BI75" i="10"/>
  <c r="BI74" i="10"/>
  <c r="BH74" i="10"/>
  <c r="A32" i="13"/>
  <c r="A112" i="10"/>
  <c r="BJ112" i="10" s="1"/>
  <c r="BH85" i="10"/>
  <c r="BI85" i="10"/>
  <c r="W117" i="10"/>
  <c r="W14" i="10" s="1"/>
  <c r="A109" i="10"/>
  <c r="BJ109" i="10" s="1"/>
  <c r="B108" i="12"/>
  <c r="E44" i="12"/>
  <c r="J98" i="11"/>
  <c r="K96" i="11"/>
  <c r="O88" i="11"/>
  <c r="B70" i="11"/>
  <c r="O50" i="11"/>
  <c r="I49" i="11"/>
  <c r="A63" i="10"/>
  <c r="E100" i="12"/>
  <c r="D98" i="12"/>
  <c r="G98" i="11"/>
  <c r="H97" i="11"/>
  <c r="H96" i="11"/>
  <c r="O91" i="11"/>
  <c r="M62" i="11"/>
  <c r="Q53" i="11"/>
  <c r="L50" i="11"/>
  <c r="A33" i="10"/>
  <c r="BJ33" i="10" s="1"/>
  <c r="Q107" i="12"/>
  <c r="E51" i="12"/>
  <c r="B38" i="12"/>
  <c r="E104" i="11"/>
  <c r="G97" i="11"/>
  <c r="B88" i="11"/>
  <c r="L78" i="11"/>
  <c r="J72" i="11"/>
  <c r="O70" i="11"/>
  <c r="M66" i="11"/>
  <c r="Q64" i="11"/>
  <c r="I59" i="11"/>
  <c r="P53" i="11"/>
  <c r="G110" i="11"/>
  <c r="E98" i="11"/>
  <c r="K92" i="11"/>
  <c r="K62" i="11"/>
  <c r="H43" i="11"/>
  <c r="O106" i="11"/>
  <c r="B107" i="12"/>
  <c r="P87" i="11"/>
  <c r="B62" i="11"/>
  <c r="G106" i="11"/>
  <c r="Q97" i="11"/>
  <c r="AH24" i="10"/>
  <c r="AA14" i="10"/>
  <c r="AA130" i="10"/>
  <c r="I130" i="10"/>
  <c r="I14" i="10"/>
  <c r="BJ103" i="10"/>
  <c r="BJ102" i="10"/>
  <c r="A99" i="13"/>
  <c r="BJ93" i="10"/>
  <c r="BH90" i="10"/>
  <c r="A90" i="10"/>
  <c r="C84" i="13"/>
  <c r="B84" i="13"/>
  <c r="B84" i="21"/>
  <c r="B84" i="8"/>
  <c r="C84" i="21"/>
  <c r="BJ82" i="10"/>
  <c r="BH76" i="10"/>
  <c r="BI76" i="10"/>
  <c r="BJ70" i="10"/>
  <c r="F44" i="8"/>
  <c r="N44" i="8"/>
  <c r="I44" i="8"/>
  <c r="C44" i="8"/>
  <c r="L44" i="8"/>
  <c r="E44" i="8"/>
  <c r="G44" i="8"/>
  <c r="H44" i="8"/>
  <c r="J44" i="8"/>
  <c r="K44" i="8"/>
  <c r="BJ46" i="10"/>
  <c r="J51" i="8"/>
  <c r="G51" i="8"/>
  <c r="D51" i="8"/>
  <c r="I51" i="8"/>
  <c r="E51" i="8"/>
  <c r="C51" i="8"/>
  <c r="L51" i="8"/>
  <c r="H51" i="8"/>
  <c r="F51" i="8"/>
  <c r="M51" i="8"/>
  <c r="N51" i="8"/>
  <c r="BJ55" i="10"/>
  <c r="BJ59" i="10"/>
  <c r="AH22" i="10"/>
  <c r="Q117" i="10"/>
  <c r="Q129" i="10"/>
  <c r="J129" i="10"/>
  <c r="K116" i="7"/>
  <c r="BB129" i="10"/>
  <c r="BH104" i="10"/>
  <c r="A104" i="10" s="1"/>
  <c r="BJ104" i="10" s="1"/>
  <c r="E129" i="10"/>
  <c r="E117" i="10"/>
  <c r="AC129" i="10"/>
  <c r="BH80" i="10"/>
  <c r="A80" i="10"/>
  <c r="E120" i="20"/>
  <c r="E169" i="20"/>
  <c r="Y129" i="10"/>
  <c r="U129" i="10"/>
  <c r="BH68" i="10"/>
  <c r="A68" i="10" s="1"/>
  <c r="BI44" i="10"/>
  <c r="BH44" i="10"/>
  <c r="E35" i="11"/>
  <c r="J35" i="11"/>
  <c r="N35" i="11"/>
  <c r="Q35" i="11"/>
  <c r="C64" i="12"/>
  <c r="E64" i="12"/>
  <c r="Q42" i="12"/>
  <c r="B76" i="11"/>
  <c r="G76" i="11"/>
  <c r="O76" i="11"/>
  <c r="H76" i="11"/>
  <c r="E76" i="11"/>
  <c r="I76" i="11"/>
  <c r="L76" i="11"/>
  <c r="E49" i="25"/>
  <c r="I45" i="11"/>
  <c r="G45" i="11"/>
  <c r="J45" i="11"/>
  <c r="L45" i="11"/>
  <c r="M45" i="11"/>
  <c r="B45" i="11"/>
  <c r="O45" i="11"/>
  <c r="B59" i="12"/>
  <c r="E59" i="12"/>
  <c r="L100" i="11"/>
  <c r="E100" i="11"/>
  <c r="B40" i="11"/>
  <c r="G40" i="11"/>
  <c r="L116" i="13"/>
  <c r="L118" i="13" s="1"/>
  <c r="A203" i="16"/>
  <c r="A202" i="16" s="1"/>
  <c r="B78" i="12"/>
  <c r="M111" i="11"/>
  <c r="O105" i="11"/>
  <c r="M87" i="11"/>
  <c r="P86" i="11"/>
  <c r="Q85" i="11"/>
  <c r="I78" i="11"/>
  <c r="P74" i="11"/>
  <c r="M70" i="11"/>
  <c r="L66" i="11"/>
  <c r="H64" i="11"/>
  <c r="O62" i="11"/>
  <c r="J60" i="11"/>
  <c r="L52" i="11"/>
  <c r="H31" i="11"/>
  <c r="J113" i="16"/>
  <c r="K87" i="11"/>
  <c r="P85" i="11"/>
  <c r="L84" i="11"/>
  <c r="P75" i="11"/>
  <c r="L54" i="11"/>
  <c r="B79" i="12"/>
  <c r="H99" i="11"/>
  <c r="L86" i="11"/>
  <c r="J84" i="11"/>
  <c r="L74" i="11"/>
  <c r="H60" i="11"/>
  <c r="E57" i="11"/>
  <c r="J46" i="11"/>
  <c r="C165" i="16"/>
  <c r="I107" i="16"/>
  <c r="D107" i="12"/>
  <c r="B63" i="12"/>
  <c r="Q50" i="12"/>
  <c r="P105" i="11"/>
  <c r="G87" i="11"/>
  <c r="H86" i="11"/>
  <c r="O60" i="11"/>
  <c r="P32" i="11"/>
  <c r="B83" i="12"/>
  <c r="C80" i="12"/>
  <c r="M103" i="11"/>
  <c r="M99" i="11"/>
  <c r="E87" i="11"/>
  <c r="E85" i="11"/>
  <c r="H84" i="11"/>
  <c r="H75" i="11"/>
  <c r="E74" i="11"/>
  <c r="Q60" i="11"/>
  <c r="E46" i="11"/>
  <c r="M60" i="11"/>
  <c r="E43" i="8"/>
  <c r="I43" i="8"/>
  <c r="K43" i="8"/>
  <c r="H43" i="8"/>
  <c r="M43" i="8"/>
  <c r="G43" i="8"/>
  <c r="C43" i="8"/>
  <c r="L43" i="8"/>
  <c r="J43" i="8"/>
  <c r="F43" i="8"/>
  <c r="D43" i="8"/>
  <c r="N43" i="8"/>
  <c r="BJ57" i="10"/>
  <c r="A118" i="8"/>
  <c r="A56" i="10"/>
  <c r="BJ56" i="10" s="1"/>
  <c r="A64" i="10"/>
  <c r="A92" i="10"/>
  <c r="E99" i="8"/>
  <c r="H99" i="8"/>
  <c r="A34" i="13"/>
  <c r="E75" i="8"/>
  <c r="A34" i="10"/>
  <c r="F60" i="8"/>
  <c r="N60" i="8"/>
  <c r="A88" i="10"/>
  <c r="A100" i="10"/>
  <c r="BJ100" i="10" s="1"/>
  <c r="A58" i="10"/>
  <c r="BJ58" i="10" s="1"/>
  <c r="A96" i="10"/>
  <c r="BJ96" i="10" s="1"/>
  <c r="A40" i="10"/>
  <c r="I110" i="8"/>
  <c r="J110" i="8"/>
  <c r="N110" i="8"/>
  <c r="H110" i="8"/>
  <c r="G31" i="8"/>
  <c r="F31" i="8"/>
  <c r="L110" i="8"/>
  <c r="G102" i="8"/>
  <c r="I102" i="8"/>
  <c r="C46" i="8"/>
  <c r="L46" i="8"/>
  <c r="G46" i="8"/>
  <c r="E46" i="8"/>
  <c r="M46" i="8"/>
  <c r="N46" i="8"/>
  <c r="J46" i="8"/>
  <c r="I46" i="8"/>
  <c r="H46" i="8"/>
  <c r="K46" i="8"/>
  <c r="F70" i="8"/>
  <c r="H70" i="8"/>
  <c r="M70" i="8"/>
  <c r="D31" i="8"/>
  <c r="C110" i="8"/>
  <c r="H31" i="8"/>
  <c r="F110" i="8"/>
  <c r="G110" i="8"/>
  <c r="V14" i="10"/>
  <c r="D110" i="8"/>
  <c r="E50" i="8"/>
  <c r="I50" i="8"/>
  <c r="G50" i="8"/>
  <c r="J50" i="8"/>
  <c r="C42" i="8"/>
  <c r="L42" i="8"/>
  <c r="H42" i="8"/>
  <c r="N42" i="8"/>
  <c r="F42" i="8"/>
  <c r="F128" i="8"/>
  <c r="E128" i="8"/>
  <c r="N31" i="8"/>
  <c r="AD14" i="10"/>
  <c r="N78" i="8"/>
  <c r="C78" i="8"/>
  <c r="I78" i="8"/>
  <c r="E78" i="8"/>
  <c r="L78" i="8"/>
  <c r="K78" i="8"/>
  <c r="F78" i="8"/>
  <c r="M78" i="8"/>
  <c r="J78" i="8"/>
  <c r="D78" i="8"/>
  <c r="H78" i="8"/>
  <c r="G78" i="8"/>
  <c r="K31" i="8"/>
  <c r="A50" i="13"/>
  <c r="E110" i="8"/>
  <c r="Y130" i="10"/>
  <c r="Y14" i="10"/>
  <c r="A52" i="10"/>
  <c r="F86" i="8"/>
  <c r="I82" i="8"/>
  <c r="M82" i="8"/>
  <c r="E82" i="8"/>
  <c r="D82" i="8"/>
  <c r="L82" i="8"/>
  <c r="F82" i="8"/>
  <c r="N82" i="8"/>
  <c r="G82" i="8"/>
  <c r="J82" i="8"/>
  <c r="H82" i="8"/>
  <c r="K82" i="8"/>
  <c r="C82" i="8"/>
  <c r="I120" i="8"/>
  <c r="H120" i="8"/>
  <c r="A120" i="8"/>
  <c r="N120" i="8"/>
  <c r="J31" i="8"/>
  <c r="E31" i="8"/>
  <c r="I31" i="8"/>
  <c r="M110" i="8"/>
  <c r="AE130" i="10"/>
  <c r="AE14" i="10"/>
  <c r="A84" i="10"/>
  <c r="M31" i="8"/>
  <c r="C31" i="8"/>
  <c r="L31" i="8" s="1"/>
  <c r="E116" i="8"/>
  <c r="K35" i="8"/>
  <c r="F35" i="8"/>
  <c r="N35" i="8"/>
  <c r="I35" i="8"/>
  <c r="J35" i="8"/>
  <c r="D35" i="8"/>
  <c r="G35" i="8"/>
  <c r="C35" i="8"/>
  <c r="A47" i="13"/>
  <c r="G116" i="8"/>
  <c r="A65" i="10"/>
  <c r="BJ65" i="10" s="1"/>
  <c r="B159" i="16"/>
  <c r="H129" i="16"/>
  <c r="A48" i="13"/>
  <c r="A35" i="10"/>
  <c r="BJ35" i="10" s="1"/>
  <c r="A98" i="10"/>
  <c r="A50" i="10"/>
  <c r="A49" i="10"/>
  <c r="BJ53" i="10"/>
  <c r="C107" i="8"/>
  <c r="L107" i="8"/>
  <c r="N107" i="8"/>
  <c r="A85" i="10"/>
  <c r="BJ85" i="10" s="1"/>
  <c r="C60" i="8"/>
  <c r="A33" i="13"/>
  <c r="A37" i="13"/>
  <c r="K93" i="8"/>
  <c r="D93" i="8"/>
  <c r="C93" i="8"/>
  <c r="F93" i="8"/>
  <c r="A74" i="10"/>
  <c r="BJ74" i="10" s="1"/>
  <c r="A60" i="13"/>
  <c r="X130" i="10"/>
  <c r="C104" i="8"/>
  <c r="F104" i="8"/>
  <c r="N104" i="8"/>
  <c r="H104" i="8"/>
  <c r="J104" i="8"/>
  <c r="D104" i="8"/>
  <c r="L104" i="8"/>
  <c r="M104" i="8"/>
  <c r="G104" i="8"/>
  <c r="K104" i="8"/>
  <c r="I104" i="8"/>
  <c r="E104" i="8"/>
  <c r="BJ81" i="10"/>
  <c r="A105" i="10"/>
  <c r="BJ105" i="10" s="1"/>
  <c r="A76" i="10"/>
  <c r="BJ76" i="10" s="1"/>
  <c r="BJ41" i="10"/>
  <c r="A44" i="10"/>
  <c r="BJ44" i="10" s="1"/>
  <c r="W130" i="10"/>
  <c r="K71" i="8"/>
  <c r="BJ34" i="10"/>
  <c r="K73" i="8"/>
  <c r="A86" i="10"/>
  <c r="H122" i="8"/>
  <c r="F122" i="8"/>
  <c r="A73" i="10"/>
  <c r="BJ73" i="10" s="1"/>
  <c r="A89" i="10"/>
  <c r="BJ89" i="10" s="1"/>
  <c r="C73" i="25"/>
  <c r="F73" i="25"/>
  <c r="E130" i="10"/>
  <c r="E14" i="10"/>
  <c r="K84" i="8"/>
  <c r="J84" i="8"/>
  <c r="F84" i="8"/>
  <c r="BJ50" i="10"/>
  <c r="BJ52" i="10"/>
  <c r="BJ49" i="10"/>
  <c r="BJ98" i="10"/>
  <c r="BJ40" i="10"/>
  <c r="D79" i="8"/>
  <c r="J79" i="8"/>
  <c r="G79" i="8"/>
  <c r="BJ66" i="10"/>
  <c r="I122" i="8"/>
  <c r="D122" i="8"/>
  <c r="J122" i="8"/>
  <c r="E122" i="8"/>
  <c r="G122" i="8"/>
  <c r="N122" i="8"/>
  <c r="M122" i="8"/>
  <c r="K122" i="8"/>
  <c r="C122" i="8"/>
  <c r="L122" i="8" s="1"/>
  <c r="A122" i="8"/>
  <c r="BJ60" i="10"/>
  <c r="BJ88" i="10"/>
  <c r="N71" i="8"/>
  <c r="E71" i="8"/>
  <c r="J71" i="8"/>
  <c r="M71" i="8"/>
  <c r="H71" i="8"/>
  <c r="I71" i="8"/>
  <c r="D71" i="8"/>
  <c r="F71" i="8"/>
  <c r="C71" i="8"/>
  <c r="L71" i="8"/>
  <c r="G71" i="8"/>
  <c r="BJ94" i="10"/>
  <c r="BJ64" i="10"/>
  <c r="BJ78" i="10"/>
  <c r="U130" i="10"/>
  <c r="U14" i="10"/>
  <c r="BJ38" i="10"/>
  <c r="L37" i="8"/>
  <c r="BH36" i="10"/>
  <c r="A36" i="10" s="1"/>
  <c r="BJ36" i="10" s="1"/>
  <c r="H151" i="13"/>
  <c r="B266" i="17" s="1"/>
  <c r="H152" i="13"/>
  <c r="E266" i="17"/>
  <c r="BJ80" i="10"/>
  <c r="BJ43" i="10"/>
  <c r="H153" i="13"/>
  <c r="E267" i="17"/>
  <c r="E265" i="17"/>
  <c r="H155" i="13"/>
  <c r="E269" i="17"/>
  <c r="H158" i="13"/>
  <c r="E272" i="17"/>
  <c r="BJ90" i="10"/>
  <c r="BJ79" i="10"/>
  <c r="AB14" i="10"/>
  <c r="AB130" i="10"/>
  <c r="BJ86" i="10"/>
  <c r="I42" i="8"/>
  <c r="K42" i="8"/>
  <c r="BJ51" i="10"/>
  <c r="I108" i="16" a="1"/>
  <c r="D229" i="20" l="1"/>
  <c r="F228" i="20"/>
  <c r="D235" i="20" s="1"/>
  <c r="E283" i="17"/>
  <c r="A262" i="17"/>
  <c r="F252" i="17"/>
  <c r="D191" i="17"/>
  <c r="E177" i="17"/>
  <c r="A280" i="17"/>
  <c r="G34" i="8"/>
  <c r="D34" i="8"/>
  <c r="B113" i="13"/>
  <c r="C113" i="13"/>
  <c r="C113" i="21"/>
  <c r="B113" i="21"/>
  <c r="C112" i="13"/>
  <c r="B112" i="21"/>
  <c r="B112" i="8"/>
  <c r="B112" i="13"/>
  <c r="B103" i="13"/>
  <c r="C103" i="21"/>
  <c r="B103" i="8"/>
  <c r="B103" i="21"/>
  <c r="C98" i="21"/>
  <c r="B98" i="8"/>
  <c r="B98" i="13"/>
  <c r="C98" i="13"/>
  <c r="B98" i="21"/>
  <c r="B96" i="21"/>
  <c r="C96" i="21"/>
  <c r="C96" i="13"/>
  <c r="B96" i="8"/>
  <c r="D96" i="8" s="1"/>
  <c r="B90" i="13"/>
  <c r="C90" i="13"/>
  <c r="C90" i="21"/>
  <c r="B90" i="21"/>
  <c r="B90" i="8"/>
  <c r="Q130" i="10"/>
  <c r="Q14" i="10"/>
  <c r="J60" i="8"/>
  <c r="D60" i="8"/>
  <c r="G60" i="8"/>
  <c r="K60" i="8"/>
  <c r="M60" i="8"/>
  <c r="H60" i="8"/>
  <c r="I60" i="8"/>
  <c r="E60" i="8"/>
  <c r="L60" i="8"/>
  <c r="N66" i="8"/>
  <c r="I66" i="8"/>
  <c r="J66" i="8"/>
  <c r="C103" i="13"/>
  <c r="F246" i="17"/>
  <c r="D253" i="17" s="1"/>
  <c r="D247" i="17"/>
  <c r="C124" i="8"/>
  <c r="L124" i="8" s="1"/>
  <c r="G124" i="8"/>
  <c r="M124" i="8"/>
  <c r="A124" i="8"/>
  <c r="F83" i="8"/>
  <c r="N83" i="8"/>
  <c r="K83" i="8"/>
  <c r="L83" i="8"/>
  <c r="G83" i="8"/>
  <c r="J83" i="8"/>
  <c r="M83" i="8"/>
  <c r="D83" i="8"/>
  <c r="I83" i="8"/>
  <c r="C83" i="8"/>
  <c r="E127" i="17"/>
  <c r="F129" i="17"/>
  <c r="F128" i="17"/>
  <c r="F130" i="17"/>
  <c r="I128" i="8"/>
  <c r="H128" i="8"/>
  <c r="N128" i="8"/>
  <c r="K128" i="8"/>
  <c r="G128" i="8"/>
  <c r="M128" i="8"/>
  <c r="J128" i="8"/>
  <c r="A128" i="8"/>
  <c r="C128" i="8"/>
  <c r="L128" i="8" s="1"/>
  <c r="G109" i="8"/>
  <c r="L109" i="8"/>
  <c r="M109" i="8"/>
  <c r="F107" i="8"/>
  <c r="H107" i="8"/>
  <c r="E107" i="8"/>
  <c r="K107" i="8"/>
  <c r="G107" i="8"/>
  <c r="I107" i="8"/>
  <c r="M107" i="8"/>
  <c r="D107" i="8"/>
  <c r="N116" i="13"/>
  <c r="N118" i="13" s="1"/>
  <c r="F116" i="13"/>
  <c r="F118" i="13" s="1"/>
  <c r="D116" i="13"/>
  <c r="D118" i="13" s="1"/>
  <c r="H122" i="13" s="1"/>
  <c r="P118" i="13"/>
  <c r="J116" i="13"/>
  <c r="J118" i="13" s="1"/>
  <c r="H123" i="13" s="1"/>
  <c r="I123" i="13" s="1"/>
  <c r="H134" i="13" s="1"/>
  <c r="N93" i="8"/>
  <c r="M93" i="8"/>
  <c r="I93" i="8"/>
  <c r="J93" i="8"/>
  <c r="H93" i="8"/>
  <c r="L93" i="8"/>
  <c r="G93" i="8"/>
  <c r="E93" i="8"/>
  <c r="C112" i="21"/>
  <c r="BJ92" i="10"/>
  <c r="J130" i="10"/>
  <c r="J14" i="10"/>
  <c r="K116" i="21"/>
  <c r="K118" i="21" s="1"/>
  <c r="I116" i="21"/>
  <c r="I118" i="21" s="1"/>
  <c r="H123" i="21" s="1"/>
  <c r="I123" i="21" s="1"/>
  <c r="E116" i="21"/>
  <c r="E118" i="21" s="1"/>
  <c r="G116" i="21"/>
  <c r="G118" i="21" s="1"/>
  <c r="BJ91" i="10"/>
  <c r="H75" i="8"/>
  <c r="D75" i="8"/>
  <c r="C75" i="8"/>
  <c r="K75" i="8"/>
  <c r="M75" i="8"/>
  <c r="F75" i="8"/>
  <c r="L75" i="8"/>
  <c r="N75" i="8"/>
  <c r="B113" i="8"/>
  <c r="K63" i="8"/>
  <c r="I63" i="8"/>
  <c r="C63" i="8"/>
  <c r="N63" i="8"/>
  <c r="J63" i="8"/>
  <c r="D63" i="8"/>
  <c r="F63" i="8"/>
  <c r="H63" i="8"/>
  <c r="M63" i="8"/>
  <c r="L63" i="8"/>
  <c r="C47" i="13"/>
  <c r="B47" i="21"/>
  <c r="C47" i="21"/>
  <c r="B47" i="13"/>
  <c r="B47" i="8"/>
  <c r="B34" i="13"/>
  <c r="C34" i="13"/>
  <c r="R130" i="10"/>
  <c r="R14" i="10"/>
  <c r="B22" i="8"/>
  <c r="B22" i="13"/>
  <c r="B22" i="11"/>
  <c r="B22" i="12"/>
  <c r="B22" i="21"/>
  <c r="Z14" i="10"/>
  <c r="J107" i="8"/>
  <c r="D128" i="8"/>
  <c r="J75" i="8"/>
  <c r="S14" i="10"/>
  <c r="S130" i="10"/>
  <c r="K102" i="8"/>
  <c r="J102" i="8"/>
  <c r="L102" i="8"/>
  <c r="D102" i="8"/>
  <c r="F102" i="8"/>
  <c r="N102" i="8"/>
  <c r="M102" i="8"/>
  <c r="H102" i="8"/>
  <c r="E102" i="8"/>
  <c r="C102" i="8"/>
  <c r="G114" i="8"/>
  <c r="D114" i="8"/>
  <c r="J114" i="8"/>
  <c r="M114" i="8"/>
  <c r="I114" i="8"/>
  <c r="N114" i="8"/>
  <c r="H114" i="8"/>
  <c r="E114" i="8"/>
  <c r="C114" i="8"/>
  <c r="K114" i="8"/>
  <c r="L114" i="8"/>
  <c r="F114" i="8"/>
  <c r="J109" i="8"/>
  <c r="B62" i="8"/>
  <c r="B62" i="13"/>
  <c r="C62" i="21"/>
  <c r="B55" i="13"/>
  <c r="C55" i="13"/>
  <c r="B55" i="21"/>
  <c r="C55" i="21"/>
  <c r="B55" i="8"/>
  <c r="G75" i="8"/>
  <c r="H116" i="8"/>
  <c r="I116" i="8"/>
  <c r="K116" i="8"/>
  <c r="A116" i="8"/>
  <c r="C116" i="8"/>
  <c r="L116" i="8" s="1"/>
  <c r="N116" i="8"/>
  <c r="M116" i="8"/>
  <c r="F116" i="8"/>
  <c r="J116" i="8"/>
  <c r="B74" i="8"/>
  <c r="B74" i="21"/>
  <c r="C74" i="21"/>
  <c r="B74" i="13"/>
  <c r="C69" i="13"/>
  <c r="C69" i="21"/>
  <c r="B69" i="21"/>
  <c r="B69" i="8"/>
  <c r="H14" i="10"/>
  <c r="H130" i="10"/>
  <c r="I75" i="8"/>
  <c r="B96" i="13"/>
  <c r="N130" i="10"/>
  <c r="B87" i="21"/>
  <c r="B87" i="13"/>
  <c r="C87" i="21"/>
  <c r="C87" i="13"/>
  <c r="B87" i="8"/>
  <c r="C85" i="13"/>
  <c r="B85" i="8"/>
  <c r="B85" i="13"/>
  <c r="C85" i="21"/>
  <c r="B80" i="13"/>
  <c r="C80" i="13"/>
  <c r="B80" i="8"/>
  <c r="F120" i="8"/>
  <c r="M120" i="8"/>
  <c r="L70" i="8"/>
  <c r="K99" i="8"/>
  <c r="K37" i="8"/>
  <c r="K45" i="8"/>
  <c r="B107" i="13"/>
  <c r="B54" i="13"/>
  <c r="I108" i="8"/>
  <c r="K97" i="8"/>
  <c r="C17" i="8"/>
  <c r="B37" i="21"/>
  <c r="L35" i="8"/>
  <c r="H35" i="8"/>
  <c r="G120" i="8"/>
  <c r="K70" i="8"/>
  <c r="D70" i="8"/>
  <c r="F46" i="8"/>
  <c r="C99" i="8"/>
  <c r="C109" i="13"/>
  <c r="E45" i="8"/>
  <c r="I37" i="8"/>
  <c r="F45" i="8"/>
  <c r="B60" i="21"/>
  <c r="J86" i="8"/>
  <c r="E108" i="8"/>
  <c r="D108" i="8"/>
  <c r="G97" i="8"/>
  <c r="C97" i="8"/>
  <c r="B83" i="13"/>
  <c r="D97" i="8"/>
  <c r="C17" i="13"/>
  <c r="C37" i="21"/>
  <c r="BJ54" i="10"/>
  <c r="P118" i="21"/>
  <c r="F116" i="21"/>
  <c r="F118" i="21" s="1"/>
  <c r="L116" i="21"/>
  <c r="L118" i="21" s="1"/>
  <c r="J37" i="8"/>
  <c r="G45" i="8"/>
  <c r="F149" i="16"/>
  <c r="I97" i="8"/>
  <c r="P130" i="10"/>
  <c r="B111" i="13"/>
  <c r="BJ72" i="10"/>
  <c r="E120" i="8"/>
  <c r="L99" i="8"/>
  <c r="F99" i="8"/>
  <c r="AG14" i="10"/>
  <c r="M35" i="8"/>
  <c r="D120" i="8"/>
  <c r="D86" i="8"/>
  <c r="G70" i="8"/>
  <c r="I70" i="8"/>
  <c r="J99" i="8"/>
  <c r="M99" i="8"/>
  <c r="N37" i="8"/>
  <c r="E37" i="8"/>
  <c r="D45" i="8"/>
  <c r="C107" i="21"/>
  <c r="F108" i="8"/>
  <c r="K108" i="8"/>
  <c r="J97" i="8"/>
  <c r="M97" i="8"/>
  <c r="BJ45" i="10"/>
  <c r="B83" i="21"/>
  <c r="B31" i="21"/>
  <c r="F72" i="8"/>
  <c r="B24" i="21"/>
  <c r="C70" i="8"/>
  <c r="K120" i="8"/>
  <c r="N70" i="8"/>
  <c r="I99" i="8"/>
  <c r="G99" i="8"/>
  <c r="G37" i="8"/>
  <c r="N45" i="8"/>
  <c r="H45" i="8"/>
  <c r="D164" i="16"/>
  <c r="D201" i="16" s="1"/>
  <c r="B107" i="21"/>
  <c r="J108" i="8"/>
  <c r="B102" i="21"/>
  <c r="L97" i="8"/>
  <c r="C83" i="13"/>
  <c r="G72" i="8"/>
  <c r="B24" i="11"/>
  <c r="B41" i="21"/>
  <c r="Q33" i="13"/>
  <c r="Q32" i="13"/>
  <c r="C120" i="8"/>
  <c r="L120" i="8" s="1"/>
  <c r="J70" i="8"/>
  <c r="N99" i="8"/>
  <c r="BJ63" i="10"/>
  <c r="M37" i="8"/>
  <c r="M42" i="8"/>
  <c r="F97" i="8"/>
  <c r="B24" i="13"/>
  <c r="E68" i="8"/>
  <c r="K68" i="8"/>
  <c r="I68" i="8"/>
  <c r="D68" i="8"/>
  <c r="M68" i="8"/>
  <c r="L68" i="8"/>
  <c r="C68" i="8"/>
  <c r="G68" i="8"/>
  <c r="N68" i="8"/>
  <c r="J68" i="8"/>
  <c r="H68" i="8"/>
  <c r="F68" i="8"/>
  <c r="K96" i="8"/>
  <c r="N96" i="8"/>
  <c r="H96" i="8"/>
  <c r="F96" i="8"/>
  <c r="J96" i="8"/>
  <c r="E96" i="8"/>
  <c r="I96" i="8"/>
  <c r="C96" i="8"/>
  <c r="E158" i="17"/>
  <c r="N84" i="8"/>
  <c r="L84" i="8"/>
  <c r="C84" i="8"/>
  <c r="M84" i="8"/>
  <c r="I84" i="8"/>
  <c r="D84" i="8"/>
  <c r="E84" i="8"/>
  <c r="G84" i="8"/>
  <c r="H84" i="8"/>
  <c r="AF130" i="10"/>
  <c r="AF14" i="10"/>
  <c r="I73" i="8"/>
  <c r="N73" i="8"/>
  <c r="D73" i="8"/>
  <c r="G73" i="8"/>
  <c r="F73" i="8"/>
  <c r="H73" i="8"/>
  <c r="E73" i="8"/>
  <c r="L73" i="8"/>
  <c r="C73" i="8"/>
  <c r="B53" i="21"/>
  <c r="B53" i="13"/>
  <c r="B53" i="8"/>
  <c r="C53" i="13"/>
  <c r="C53" i="21"/>
  <c r="L66" i="8"/>
  <c r="E66" i="8"/>
  <c r="F66" i="8"/>
  <c r="M66" i="8"/>
  <c r="D66" i="8"/>
  <c r="G66" i="8"/>
  <c r="K66" i="8"/>
  <c r="H66" i="8"/>
  <c r="C66" i="8"/>
  <c r="B106" i="13"/>
  <c r="B106" i="8"/>
  <c r="B106" i="21"/>
  <c r="C106" i="21"/>
  <c r="C106" i="13"/>
  <c r="C105" i="13"/>
  <c r="B105" i="21"/>
  <c r="B105" i="8"/>
  <c r="B105" i="13"/>
  <c r="C105" i="21"/>
  <c r="B101" i="8"/>
  <c r="C101" i="21"/>
  <c r="C101" i="13"/>
  <c r="B101" i="21"/>
  <c r="C94" i="21"/>
  <c r="B94" i="13"/>
  <c r="C94" i="13"/>
  <c r="B94" i="8"/>
  <c r="B94" i="21"/>
  <c r="C67" i="21"/>
  <c r="B67" i="21"/>
  <c r="C67" i="13"/>
  <c r="B67" i="8"/>
  <c r="B67" i="13"/>
  <c r="J73" i="8"/>
  <c r="G96" i="8"/>
  <c r="J52" i="8"/>
  <c r="H52" i="8"/>
  <c r="F52" i="8"/>
  <c r="I52" i="8"/>
  <c r="L52" i="8"/>
  <c r="N52" i="8"/>
  <c r="E52" i="8"/>
  <c r="C52" i="8"/>
  <c r="K52" i="8"/>
  <c r="G52" i="8"/>
  <c r="M52" i="8"/>
  <c r="D52" i="8"/>
  <c r="AC14" i="10"/>
  <c r="AC130" i="10"/>
  <c r="J118" i="8"/>
  <c r="J129" i="8" s="1"/>
  <c r="N118" i="8"/>
  <c r="N129" i="8" s="1"/>
  <c r="G118" i="8"/>
  <c r="G129" i="8" s="1"/>
  <c r="B129" i="8"/>
  <c r="I118" i="8"/>
  <c r="I129" i="8" s="1"/>
  <c r="H118" i="8"/>
  <c r="H129" i="8" s="1"/>
  <c r="C118" i="8"/>
  <c r="F118" i="8"/>
  <c r="F129" i="8" s="1"/>
  <c r="M118" i="8"/>
  <c r="M129" i="8" s="1"/>
  <c r="D118" i="8"/>
  <c r="D129" i="8" s="1"/>
  <c r="K118" i="8"/>
  <c r="K129" i="8" s="1"/>
  <c r="E118" i="8"/>
  <c r="E129" i="8" s="1"/>
  <c r="C59" i="13"/>
  <c r="B59" i="13"/>
  <c r="C59" i="21"/>
  <c r="B59" i="8"/>
  <c r="B59" i="21"/>
  <c r="L96" i="8"/>
  <c r="M96" i="8"/>
  <c r="F130" i="10"/>
  <c r="F14" i="10"/>
  <c r="E87" i="8"/>
  <c r="D87" i="8"/>
  <c r="L87" i="8"/>
  <c r="I87" i="8"/>
  <c r="F87" i="8"/>
  <c r="J87" i="8"/>
  <c r="M87" i="8"/>
  <c r="N87" i="8"/>
  <c r="H87" i="8"/>
  <c r="M92" i="8"/>
  <c r="J92" i="8"/>
  <c r="L92" i="8"/>
  <c r="G92" i="8"/>
  <c r="F92" i="8"/>
  <c r="K92" i="8"/>
  <c r="E92" i="8"/>
  <c r="H92" i="8"/>
  <c r="D92" i="8"/>
  <c r="C92" i="8"/>
  <c r="N92" i="8"/>
  <c r="C58" i="13"/>
  <c r="B58" i="8"/>
  <c r="B58" i="13"/>
  <c r="C58" i="21"/>
  <c r="D180" i="16"/>
  <c r="A201" i="16"/>
  <c r="K79" i="8"/>
  <c r="C79" i="8"/>
  <c r="H79" i="8"/>
  <c r="M79" i="8"/>
  <c r="E79" i="8"/>
  <c r="I79" i="8"/>
  <c r="F79" i="8"/>
  <c r="N79" i="8"/>
  <c r="L79" i="8"/>
  <c r="C34" i="8"/>
  <c r="L34" i="8" s="1"/>
  <c r="J34" i="8"/>
  <c r="E34" i="8"/>
  <c r="F34" i="8"/>
  <c r="I34" i="8"/>
  <c r="N34" i="8"/>
  <c r="K34" i="8"/>
  <c r="H34" i="8"/>
  <c r="M34" i="8"/>
  <c r="C126" i="8"/>
  <c r="L126" i="8" s="1"/>
  <c r="G126" i="8"/>
  <c r="H126" i="8"/>
  <c r="F126" i="8"/>
  <c r="A126" i="8"/>
  <c r="K126" i="8"/>
  <c r="N126" i="8"/>
  <c r="M126" i="8"/>
  <c r="J126" i="8"/>
  <c r="I126" i="8"/>
  <c r="E126" i="8"/>
  <c r="H86" i="8"/>
  <c r="J107" i="16"/>
  <c r="E108" i="16" s="1"/>
  <c r="L50" i="8"/>
  <c r="C103" i="8"/>
  <c r="G103" i="8"/>
  <c r="K124" i="8"/>
  <c r="L64" i="8"/>
  <c r="K49" i="8"/>
  <c r="E72" i="8"/>
  <c r="C68" i="13"/>
  <c r="B68" i="13"/>
  <c r="C68" i="21"/>
  <c r="B61" i="13"/>
  <c r="B61" i="8"/>
  <c r="C61" i="21"/>
  <c r="H21" i="7"/>
  <c r="AS11" i="10"/>
  <c r="M86" i="8"/>
  <c r="C131" i="16"/>
  <c r="C50" i="8"/>
  <c r="I103" i="8"/>
  <c r="G86" i="8"/>
  <c r="D49" i="8"/>
  <c r="K109" i="8"/>
  <c r="C109" i="8"/>
  <c r="D109" i="8"/>
  <c r="H124" i="8"/>
  <c r="C111" i="21"/>
  <c r="B111" i="21"/>
  <c r="B111" i="8"/>
  <c r="C102" i="13"/>
  <c r="C102" i="21"/>
  <c r="B45" i="13"/>
  <c r="B45" i="21"/>
  <c r="C45" i="21"/>
  <c r="C42" i="13"/>
  <c r="C42" i="21"/>
  <c r="K50" i="8"/>
  <c r="F50" i="8"/>
  <c r="E103" i="8"/>
  <c r="I86" i="8"/>
  <c r="J91" i="8"/>
  <c r="C91" i="8"/>
  <c r="H91" i="8"/>
  <c r="I91" i="8"/>
  <c r="C49" i="8"/>
  <c r="H49" i="8"/>
  <c r="G49" i="8"/>
  <c r="M49" i="8"/>
  <c r="F49" i="8"/>
  <c r="E49" i="8"/>
  <c r="J85" i="8"/>
  <c r="D85" i="8"/>
  <c r="N85" i="8"/>
  <c r="F109" i="8"/>
  <c r="H109" i="8"/>
  <c r="I109" i="8"/>
  <c r="B95" i="8"/>
  <c r="B95" i="13"/>
  <c r="C95" i="13"/>
  <c r="B72" i="21"/>
  <c r="C72" i="13"/>
  <c r="C66" i="13"/>
  <c r="C66" i="21"/>
  <c r="C65" i="13"/>
  <c r="B65" i="13"/>
  <c r="B65" i="8"/>
  <c r="B54" i="8"/>
  <c r="C54" i="13"/>
  <c r="C32" i="21"/>
  <c r="B32" i="21"/>
  <c r="C86" i="8"/>
  <c r="D50" i="8"/>
  <c r="H50" i="8"/>
  <c r="J103" i="8"/>
  <c r="E86" i="8"/>
  <c r="C85" i="8"/>
  <c r="M91" i="8"/>
  <c r="B66" i="21"/>
  <c r="N109" i="8"/>
  <c r="N40" i="8"/>
  <c r="D40" i="8"/>
  <c r="I40" i="8"/>
  <c r="B68" i="21"/>
  <c r="B100" i="13"/>
  <c r="C100" i="21"/>
  <c r="B100" i="8"/>
  <c r="C41" i="21"/>
  <c r="B41" i="8"/>
  <c r="E64" i="8"/>
  <c r="K64" i="8"/>
  <c r="H64" i="8"/>
  <c r="G64" i="8"/>
  <c r="J64" i="8"/>
  <c r="I64" i="8"/>
  <c r="N64" i="8"/>
  <c r="H72" i="8"/>
  <c r="J72" i="8"/>
  <c r="I72" i="8"/>
  <c r="N72" i="8"/>
  <c r="L72" i="8"/>
  <c r="F124" i="8"/>
  <c r="D124" i="8"/>
  <c r="E124" i="8"/>
  <c r="J124" i="8"/>
  <c r="I124" i="8"/>
  <c r="C89" i="13"/>
  <c r="B89" i="8"/>
  <c r="B88" i="13"/>
  <c r="C88" i="21"/>
  <c r="B88" i="8"/>
  <c r="C81" i="13"/>
  <c r="C81" i="21"/>
  <c r="B81" i="21"/>
  <c r="B57" i="13"/>
  <c r="B57" i="21"/>
  <c r="B57" i="8"/>
  <c r="C52" i="13"/>
  <c r="B52" i="21"/>
  <c r="K38" i="8"/>
  <c r="I38" i="8"/>
  <c r="G38" i="8"/>
  <c r="F91" i="8"/>
  <c r="B95" i="21"/>
  <c r="F85" i="8"/>
  <c r="E109" i="8"/>
  <c r="D64" i="8"/>
  <c r="L49" i="8"/>
  <c r="D72" i="8"/>
  <c r="B61" i="21"/>
  <c r="C89" i="21"/>
  <c r="B32" i="8"/>
  <c r="B52" i="13"/>
  <c r="C72" i="21"/>
  <c r="C99" i="21"/>
  <c r="B99" i="21"/>
  <c r="B99" i="13"/>
  <c r="B39" i="13"/>
  <c r="C39" i="21"/>
  <c r="B39" i="8"/>
  <c r="B39" i="21"/>
  <c r="N50" i="8"/>
  <c r="D103" i="8"/>
  <c r="K103" i="8"/>
  <c r="O14" i="10"/>
  <c r="L103" i="8"/>
  <c r="L86" i="8"/>
  <c r="F64" i="8"/>
  <c r="I49" i="8"/>
  <c r="M72" i="8"/>
  <c r="I45" i="8"/>
  <c r="M45" i="8"/>
  <c r="B81" i="8"/>
  <c r="B89" i="13"/>
  <c r="C32" i="13"/>
  <c r="H48" i="8"/>
  <c r="D48" i="8"/>
  <c r="J48" i="8"/>
  <c r="G48" i="8"/>
  <c r="B72" i="13"/>
  <c r="C36" i="13"/>
  <c r="B36" i="21"/>
  <c r="B36" i="8"/>
  <c r="Q32" i="21"/>
  <c r="E119" i="16"/>
  <c r="C170" i="16" s="1"/>
  <c r="C202" i="16"/>
  <c r="I149" i="16"/>
  <c r="B33" i="21"/>
  <c r="Q33" i="21"/>
  <c r="H126" i="16"/>
  <c r="B129" i="16" s="1"/>
  <c r="B33" i="8"/>
  <c r="C34" i="21"/>
  <c r="D135" i="16"/>
  <c r="C164" i="16"/>
  <c r="D179" i="16" s="1"/>
  <c r="E109" i="16"/>
  <c r="C33" i="21"/>
  <c r="B34" i="21"/>
  <c r="Q31" i="21"/>
  <c r="Q116" i="21" s="1"/>
  <c r="Q118" i="21" s="1"/>
  <c r="Q31" i="13"/>
  <c r="Q116" i="13" s="1"/>
  <c r="Q118" i="13" s="1"/>
  <c r="H135" i="13" s="1"/>
  <c r="E110" i="17" s="1"/>
  <c r="E178" i="16"/>
  <c r="D174" i="16"/>
  <c r="E179" i="16"/>
  <c r="G180" i="16" s="1"/>
  <c r="I113" i="16"/>
  <c r="E113" i="16" s="1"/>
  <c r="A25" i="16" s="1"/>
  <c r="E1" i="16"/>
  <c r="C151" i="16"/>
  <c r="B24" i="12"/>
  <c r="I108" i="16"/>
  <c r="E189" i="16" s="1"/>
  <c r="BJ114" i="10"/>
  <c r="BJ39" i="10"/>
  <c r="BJ75" i="10"/>
  <c r="BJ47" i="10"/>
  <c r="BJ110" i="10"/>
  <c r="BJ68" i="10"/>
  <c r="BJ83" i="10"/>
  <c r="BJ107" i="10"/>
  <c r="T14" i="10"/>
  <c r="C14" i="10" s="1"/>
  <c r="T130" i="10"/>
  <c r="E91" i="8"/>
  <c r="G91" i="8"/>
  <c r="BH99" i="10"/>
  <c r="A99" i="10" s="1"/>
  <c r="BH111" i="10"/>
  <c r="A111" i="10"/>
  <c r="E146" i="17" l="1"/>
  <c r="E109" i="20"/>
  <c r="E109" i="17"/>
  <c r="H134" i="21"/>
  <c r="H152" i="21"/>
  <c r="E249" i="20" s="1"/>
  <c r="H125" i="13"/>
  <c r="I122" i="13"/>
  <c r="H133" i="13" s="1"/>
  <c r="H138" i="13" s="1"/>
  <c r="H85" i="8"/>
  <c r="E85" i="8"/>
  <c r="M85" i="8"/>
  <c r="G85" i="8"/>
  <c r="I85" i="8"/>
  <c r="K85" i="8"/>
  <c r="L85" i="8"/>
  <c r="C87" i="8"/>
  <c r="K87" i="8"/>
  <c r="G87" i="8"/>
  <c r="N103" i="8"/>
  <c r="H103" i="8"/>
  <c r="F103" i="8"/>
  <c r="M103" i="8"/>
  <c r="H80" i="8"/>
  <c r="I80" i="8"/>
  <c r="G80" i="8"/>
  <c r="D80" i="8"/>
  <c r="J80" i="8"/>
  <c r="K80" i="8"/>
  <c r="C80" i="8"/>
  <c r="M80" i="8"/>
  <c r="N80" i="8"/>
  <c r="F80" i="8"/>
  <c r="L80" i="8"/>
  <c r="E80" i="8"/>
  <c r="J74" i="8"/>
  <c r="G74" i="8"/>
  <c r="I74" i="8"/>
  <c r="D74" i="8"/>
  <c r="E74" i="8"/>
  <c r="K74" i="8"/>
  <c r="H74" i="8"/>
  <c r="M74" i="8"/>
  <c r="C74" i="8"/>
  <c r="L74" i="8"/>
  <c r="F74" i="8"/>
  <c r="N74" i="8"/>
  <c r="J113" i="8"/>
  <c r="D113" i="8"/>
  <c r="G113" i="8"/>
  <c r="H113" i="8"/>
  <c r="F113" i="8"/>
  <c r="K113" i="8"/>
  <c r="N113" i="8"/>
  <c r="L113" i="8"/>
  <c r="I113" i="8"/>
  <c r="M113" i="8"/>
  <c r="E113" i="8"/>
  <c r="C113" i="8"/>
  <c r="K90" i="8"/>
  <c r="C90" i="8"/>
  <c r="L90" i="8"/>
  <c r="F90" i="8"/>
  <c r="M90" i="8"/>
  <c r="I90" i="8"/>
  <c r="N90" i="8"/>
  <c r="H90" i="8"/>
  <c r="E90" i="8"/>
  <c r="G90" i="8"/>
  <c r="J90" i="8"/>
  <c r="D90" i="8"/>
  <c r="L69" i="8"/>
  <c r="G69" i="8"/>
  <c r="F69" i="8"/>
  <c r="C69" i="8"/>
  <c r="J69" i="8"/>
  <c r="E69" i="8"/>
  <c r="D69" i="8"/>
  <c r="M69" i="8"/>
  <c r="I69" i="8"/>
  <c r="N69" i="8"/>
  <c r="K69" i="8"/>
  <c r="H69" i="8"/>
  <c r="G47" i="8"/>
  <c r="K47" i="8"/>
  <c r="F47" i="8"/>
  <c r="N47" i="8"/>
  <c r="C47" i="8"/>
  <c r="E47" i="8"/>
  <c r="L47" i="8"/>
  <c r="I47" i="8"/>
  <c r="J47" i="8"/>
  <c r="D47" i="8"/>
  <c r="M47" i="8"/>
  <c r="H47" i="8"/>
  <c r="J62" i="8"/>
  <c r="G62" i="8"/>
  <c r="H62" i="8"/>
  <c r="L62" i="8"/>
  <c r="F62" i="8"/>
  <c r="M62" i="8"/>
  <c r="N62" i="8"/>
  <c r="E62" i="8"/>
  <c r="K62" i="8"/>
  <c r="C62" i="8"/>
  <c r="I62" i="8"/>
  <c r="D62" i="8"/>
  <c r="H122" i="21"/>
  <c r="N55" i="8"/>
  <c r="C55" i="8"/>
  <c r="G55" i="8"/>
  <c r="E55" i="8"/>
  <c r="J55" i="8"/>
  <c r="L55" i="8"/>
  <c r="H55" i="8"/>
  <c r="K55" i="8"/>
  <c r="D55" i="8"/>
  <c r="F55" i="8"/>
  <c r="I55" i="8"/>
  <c r="M55" i="8"/>
  <c r="F112" i="8"/>
  <c r="I112" i="8"/>
  <c r="K112" i="8"/>
  <c r="D112" i="8"/>
  <c r="M112" i="8"/>
  <c r="E112" i="8"/>
  <c r="G112" i="8"/>
  <c r="L112" i="8"/>
  <c r="N112" i="8"/>
  <c r="H112" i="8"/>
  <c r="J112" i="8"/>
  <c r="C112" i="8"/>
  <c r="H98" i="8"/>
  <c r="F98" i="8"/>
  <c r="I98" i="8"/>
  <c r="J98" i="8"/>
  <c r="M98" i="8"/>
  <c r="K98" i="8"/>
  <c r="E98" i="8"/>
  <c r="N98" i="8"/>
  <c r="C98" i="8"/>
  <c r="G98" i="8"/>
  <c r="L98" i="8"/>
  <c r="D98" i="8"/>
  <c r="H153" i="21"/>
  <c r="E250" i="20" s="1"/>
  <c r="H135" i="21"/>
  <c r="E147" i="17"/>
  <c r="G36" i="8"/>
  <c r="F36" i="8"/>
  <c r="N36" i="8"/>
  <c r="E36" i="8"/>
  <c r="C36" i="8"/>
  <c r="L36" i="8" s="1"/>
  <c r="D36" i="8"/>
  <c r="I36" i="8"/>
  <c r="J36" i="8"/>
  <c r="M36" i="8"/>
  <c r="H36" i="8"/>
  <c r="K36" i="8"/>
  <c r="E59" i="8"/>
  <c r="K59" i="8"/>
  <c r="G59" i="8"/>
  <c r="F59" i="8"/>
  <c r="L59" i="8"/>
  <c r="N59" i="8"/>
  <c r="J59" i="8"/>
  <c r="I59" i="8"/>
  <c r="H59" i="8"/>
  <c r="C59" i="8"/>
  <c r="M59" i="8"/>
  <c r="D59" i="8"/>
  <c r="B128" i="16"/>
  <c r="F108" i="16"/>
  <c r="B127" i="16"/>
  <c r="L95" i="8"/>
  <c r="I95" i="8"/>
  <c r="D95" i="8"/>
  <c r="E95" i="8"/>
  <c r="K95" i="8"/>
  <c r="M95" i="8"/>
  <c r="F95" i="8"/>
  <c r="J95" i="8"/>
  <c r="N95" i="8"/>
  <c r="H95" i="8"/>
  <c r="G95" i="8"/>
  <c r="C95" i="8"/>
  <c r="J81" i="8"/>
  <c r="M81" i="8"/>
  <c r="G81" i="8"/>
  <c r="N81" i="8"/>
  <c r="D81" i="8"/>
  <c r="F81" i="8"/>
  <c r="K81" i="8"/>
  <c r="C81" i="8"/>
  <c r="I81" i="8"/>
  <c r="H81" i="8"/>
  <c r="E81" i="8"/>
  <c r="L81" i="8"/>
  <c r="F41" i="8"/>
  <c r="E41" i="8"/>
  <c r="L41" i="8"/>
  <c r="H41" i="8"/>
  <c r="N41" i="8"/>
  <c r="J41" i="8"/>
  <c r="K41" i="8"/>
  <c r="G41" i="8"/>
  <c r="I41" i="8"/>
  <c r="M41" i="8"/>
  <c r="D41" i="8"/>
  <c r="C41" i="8"/>
  <c r="L118" i="8"/>
  <c r="L129" i="8" s="1"/>
  <c r="C129" i="8"/>
  <c r="L105" i="8"/>
  <c r="M105" i="8"/>
  <c r="H105" i="8"/>
  <c r="N105" i="8"/>
  <c r="J105" i="8"/>
  <c r="E105" i="8"/>
  <c r="K105" i="8"/>
  <c r="I105" i="8"/>
  <c r="F105" i="8"/>
  <c r="C105" i="8"/>
  <c r="G105" i="8"/>
  <c r="D105" i="8"/>
  <c r="C101" i="8"/>
  <c r="F101" i="8"/>
  <c r="M101" i="8"/>
  <c r="I101" i="8"/>
  <c r="G101" i="8"/>
  <c r="J101" i="8"/>
  <c r="K101" i="8"/>
  <c r="H101" i="8"/>
  <c r="L101" i="8"/>
  <c r="D101" i="8"/>
  <c r="N101" i="8"/>
  <c r="E101" i="8"/>
  <c r="J53" i="8"/>
  <c r="M53" i="8"/>
  <c r="H53" i="8"/>
  <c r="K53" i="8"/>
  <c r="L53" i="8"/>
  <c r="G53" i="8"/>
  <c r="N53" i="8"/>
  <c r="C53" i="8"/>
  <c r="E53" i="8"/>
  <c r="F53" i="8"/>
  <c r="D53" i="8"/>
  <c r="I53" i="8"/>
  <c r="J33" i="8"/>
  <c r="K33" i="8"/>
  <c r="I33" i="8"/>
  <c r="H33" i="8"/>
  <c r="C33" i="8"/>
  <c r="L33" i="8" s="1"/>
  <c r="G33" i="8"/>
  <c r="N33" i="8"/>
  <c r="M33" i="8"/>
  <c r="E33" i="8"/>
  <c r="F33" i="8"/>
  <c r="D33" i="8"/>
  <c r="F67" i="8"/>
  <c r="H67" i="8"/>
  <c r="C67" i="8"/>
  <c r="M67" i="8"/>
  <c r="L67" i="8"/>
  <c r="I67" i="8"/>
  <c r="K67" i="8"/>
  <c r="E67" i="8"/>
  <c r="G67" i="8"/>
  <c r="N67" i="8"/>
  <c r="D67" i="8"/>
  <c r="J67" i="8"/>
  <c r="G54" i="8"/>
  <c r="J54" i="8"/>
  <c r="E54" i="8"/>
  <c r="N54" i="8"/>
  <c r="D54" i="8"/>
  <c r="I54" i="8"/>
  <c r="K54" i="8"/>
  <c r="M54" i="8"/>
  <c r="F54" i="8"/>
  <c r="H54" i="8"/>
  <c r="C54" i="8"/>
  <c r="L54" i="8"/>
  <c r="E132" i="20"/>
  <c r="E132" i="17"/>
  <c r="B189" i="17" s="1"/>
  <c r="E88" i="8"/>
  <c r="G88" i="8"/>
  <c r="H88" i="8"/>
  <c r="L88" i="8"/>
  <c r="D88" i="8"/>
  <c r="N88" i="8"/>
  <c r="C88" i="8"/>
  <c r="I88" i="8"/>
  <c r="K88" i="8"/>
  <c r="F88" i="8"/>
  <c r="J88" i="8"/>
  <c r="M88" i="8"/>
  <c r="C100" i="8"/>
  <c r="J100" i="8"/>
  <c r="D100" i="8"/>
  <c r="N100" i="8"/>
  <c r="I100" i="8"/>
  <c r="H100" i="8"/>
  <c r="G100" i="8"/>
  <c r="M100" i="8"/>
  <c r="K100" i="8"/>
  <c r="F100" i="8"/>
  <c r="E100" i="8"/>
  <c r="L100" i="8"/>
  <c r="E39" i="8"/>
  <c r="F39" i="8"/>
  <c r="I39" i="8"/>
  <c r="D39" i="8"/>
  <c r="N39" i="8"/>
  <c r="K39" i="8"/>
  <c r="H39" i="8"/>
  <c r="M39" i="8"/>
  <c r="C39" i="8"/>
  <c r="L39" i="8" s="1"/>
  <c r="J39" i="8"/>
  <c r="G39" i="8"/>
  <c r="N32" i="8"/>
  <c r="D32" i="8"/>
  <c r="E32" i="8"/>
  <c r="G32" i="8"/>
  <c r="H32" i="8"/>
  <c r="K32" i="8"/>
  <c r="M32" i="8"/>
  <c r="J32" i="8"/>
  <c r="C32" i="8"/>
  <c r="L32" i="8" s="1"/>
  <c r="I32" i="8"/>
  <c r="F32" i="8"/>
  <c r="N89" i="8"/>
  <c r="E89" i="8"/>
  <c r="G89" i="8"/>
  <c r="C89" i="8"/>
  <c r="F89" i="8"/>
  <c r="D89" i="8"/>
  <c r="M89" i="8"/>
  <c r="I89" i="8"/>
  <c r="J89" i="8"/>
  <c r="K89" i="8"/>
  <c r="L89" i="8"/>
  <c r="H89" i="8"/>
  <c r="E110" i="20"/>
  <c r="H94" i="8"/>
  <c r="K94" i="8"/>
  <c r="I94" i="8"/>
  <c r="G94" i="8"/>
  <c r="E94" i="8"/>
  <c r="D94" i="8"/>
  <c r="L94" i="8"/>
  <c r="N94" i="8"/>
  <c r="M94" i="8"/>
  <c r="C94" i="8"/>
  <c r="J94" i="8"/>
  <c r="F94" i="8"/>
  <c r="A8" i="10"/>
  <c r="C201" i="16"/>
  <c r="F180" i="16"/>
  <c r="E111" i="8"/>
  <c r="L111" i="8"/>
  <c r="J111" i="8"/>
  <c r="D111" i="8"/>
  <c r="K111" i="8"/>
  <c r="F111" i="8"/>
  <c r="C111" i="8"/>
  <c r="M111" i="8"/>
  <c r="I111" i="8"/>
  <c r="H111" i="8"/>
  <c r="G111" i="8"/>
  <c r="N111" i="8"/>
  <c r="N61" i="8"/>
  <c r="H61" i="8"/>
  <c r="F61" i="8"/>
  <c r="M61" i="8"/>
  <c r="I61" i="8"/>
  <c r="G61" i="8"/>
  <c r="D61" i="8"/>
  <c r="K61" i="8"/>
  <c r="C61" i="8"/>
  <c r="L61" i="8"/>
  <c r="E61" i="8"/>
  <c r="J61" i="8"/>
  <c r="D58" i="8"/>
  <c r="C58" i="8"/>
  <c r="H58" i="8"/>
  <c r="I58" i="8"/>
  <c r="E58" i="8"/>
  <c r="F58" i="8"/>
  <c r="G58" i="8"/>
  <c r="L58" i="8"/>
  <c r="J58" i="8"/>
  <c r="K58" i="8"/>
  <c r="N58" i="8"/>
  <c r="M58" i="8"/>
  <c r="E65" i="8"/>
  <c r="H65" i="8"/>
  <c r="C65" i="8"/>
  <c r="M65" i="8"/>
  <c r="L65" i="8"/>
  <c r="I65" i="8"/>
  <c r="K65" i="8"/>
  <c r="F65" i="8"/>
  <c r="N65" i="8"/>
  <c r="J65" i="8"/>
  <c r="G65" i="8"/>
  <c r="D65" i="8"/>
  <c r="D106" i="8"/>
  <c r="M106" i="8"/>
  <c r="F106" i="8"/>
  <c r="G106" i="8"/>
  <c r="N106" i="8"/>
  <c r="K106" i="8"/>
  <c r="H106" i="8"/>
  <c r="L106" i="8"/>
  <c r="E106" i="8"/>
  <c r="C106" i="8"/>
  <c r="I106" i="8"/>
  <c r="J106" i="8"/>
  <c r="J57" i="8"/>
  <c r="L57" i="8"/>
  <c r="K57" i="8"/>
  <c r="D57" i="8"/>
  <c r="F57" i="8"/>
  <c r="M57" i="8"/>
  <c r="H57" i="8"/>
  <c r="G57" i="8"/>
  <c r="I57" i="8"/>
  <c r="N57" i="8"/>
  <c r="C57" i="8"/>
  <c r="E57" i="8"/>
  <c r="E145" i="17"/>
  <c r="E108" i="20"/>
  <c r="E108" i="17"/>
  <c r="BJ99" i="10"/>
  <c r="BJ111" i="10"/>
  <c r="D143" i="20"/>
  <c r="E149" i="17"/>
  <c r="H142" i="13"/>
  <c r="H125" i="21" l="1"/>
  <c r="I122" i="21"/>
  <c r="H147" i="13"/>
  <c r="E155" i="17" s="1"/>
  <c r="D145" i="20"/>
  <c r="E151" i="17"/>
  <c r="H133" i="21" l="1"/>
  <c r="H138" i="21" s="1"/>
  <c r="H142" i="21" s="1"/>
  <c r="H151" i="21"/>
  <c r="F120" i="17"/>
  <c r="E122" i="17"/>
  <c r="B188" i="17"/>
  <c r="C202" i="17" s="1"/>
  <c r="D209" i="17" s="1"/>
  <c r="F120" i="20"/>
  <c r="E122" i="20"/>
  <c r="H155" i="21" l="1"/>
  <c r="E248" i="20"/>
  <c r="H158" i="21" l="1"/>
  <c r="E255" i="20" s="1"/>
  <c r="E25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<sst xmlns="http://schemas.openxmlformats.org/spreadsheetml/2006/main" count="3234" uniqueCount="884">
  <si>
    <t>PROYECTO:</t>
  </si>
  <si>
    <t>UBICACIÓN:</t>
  </si>
  <si>
    <t>ALIMENTADO DE:</t>
  </si>
  <si>
    <t>FASES:</t>
  </si>
  <si>
    <t>HILOS:</t>
  </si>
  <si>
    <t>CIRCUITO</t>
  </si>
  <si>
    <t>DESCRIPCION</t>
  </si>
  <si>
    <t>FASES</t>
  </si>
  <si>
    <t>HILOS</t>
  </si>
  <si>
    <t>LONG.</t>
  </si>
  <si>
    <t>CAIDA</t>
  </si>
  <si>
    <t>TIPO</t>
  </si>
  <si>
    <t>CONTAR</t>
  </si>
  <si>
    <t>CARGA</t>
  </si>
  <si>
    <t>CORRIENTE</t>
  </si>
  <si>
    <t>CABLE</t>
  </si>
  <si>
    <t>PROT.</t>
  </si>
  <si>
    <t>FP</t>
  </si>
  <si>
    <t>DE</t>
  </si>
  <si>
    <t>PARA</t>
  </si>
  <si>
    <t>AMP</t>
  </si>
  <si>
    <t>CANALIZACION</t>
  </si>
  <si>
    <t>FASE</t>
  </si>
  <si>
    <t>DEMANDA</t>
  </si>
  <si>
    <t>TIERRA</t>
  </si>
  <si>
    <t>CONDUCTOR</t>
  </si>
  <si>
    <t>B</t>
  </si>
  <si>
    <t>C</t>
  </si>
  <si>
    <t>VOLTAJE</t>
  </si>
  <si>
    <t>R</t>
  </si>
  <si>
    <t>°C</t>
  </si>
  <si>
    <t>CAPACIDAD</t>
  </si>
  <si>
    <t>A</t>
  </si>
  <si>
    <t>X</t>
  </si>
  <si>
    <t>PROTECCION</t>
  </si>
  <si>
    <t>DISPARO</t>
  </si>
  <si>
    <t>Ohm/km</t>
  </si>
  <si>
    <t>VOLTS</t>
  </si>
  <si>
    <t>ALIMENTADOR</t>
  </si>
  <si>
    <t>AREA</t>
  </si>
  <si>
    <t xml:space="preserve">PARA </t>
  </si>
  <si>
    <t>BALANCEO DE FASES</t>
  </si>
  <si>
    <t>ALUMBRADO</t>
  </si>
  <si>
    <t>RECEPTACULOS</t>
  </si>
  <si>
    <t>OTROS</t>
  </si>
  <si>
    <t>MOTORES</t>
  </si>
  <si>
    <t>RESERVA</t>
  </si>
  <si>
    <t>TABLEROS</t>
  </si>
  <si>
    <t>O</t>
  </si>
  <si>
    <t>TR</t>
  </si>
  <si>
    <t>MARCA:</t>
  </si>
  <si>
    <t>TB</t>
  </si>
  <si>
    <t>TOTAL DE CARGAS CONTINUAS</t>
  </si>
  <si>
    <t>AWG</t>
  </si>
  <si>
    <t>CP</t>
  </si>
  <si>
    <t>TRAFO</t>
  </si>
  <si>
    <t>MARGEN</t>
  </si>
  <si>
    <t>CAL</t>
  </si>
  <si>
    <t>14 AWG</t>
  </si>
  <si>
    <t>12 AWG</t>
  </si>
  <si>
    <t>10 AWG</t>
  </si>
  <si>
    <t>8 AWG</t>
  </si>
  <si>
    <t>6 AWG</t>
  </si>
  <si>
    <t>4 AWG</t>
  </si>
  <si>
    <t>2 AWG</t>
  </si>
  <si>
    <t>1/0 AWG</t>
  </si>
  <si>
    <t>2/0 AWG</t>
  </si>
  <si>
    <t>3/0 AWG</t>
  </si>
  <si>
    <t>4/0 AWG</t>
  </si>
  <si>
    <t>250 MCM</t>
  </si>
  <si>
    <t>300 MCM</t>
  </si>
  <si>
    <t>400 MCM</t>
  </si>
  <si>
    <t>500 MCM</t>
  </si>
  <si>
    <t>750 MCM</t>
  </si>
  <si>
    <t>1000 MCM</t>
  </si>
  <si>
    <t>CABLEADO</t>
  </si>
  <si>
    <t>LONGITUD</t>
  </si>
  <si>
    <t>TABLERO</t>
  </si>
  <si>
    <t>EN</t>
  </si>
  <si>
    <t>DIA-T</t>
  </si>
  <si>
    <t>DIA-TTAB</t>
  </si>
  <si>
    <t>FRECUENCIA:</t>
  </si>
  <si>
    <t>FECHA</t>
  </si>
  <si>
    <t>FACTOR
DE
TEMP.</t>
  </si>
  <si>
    <t>COND.
X
FASE</t>
  </si>
  <si>
    <t>COND.
DE
TIERRA</t>
  </si>
  <si>
    <t>ID</t>
  </si>
  <si>
    <t>WATTS</t>
  </si>
  <si>
    <t>VA'S</t>
  </si>
  <si>
    <t>SIMBOLO</t>
  </si>
  <si>
    <t>I DISP.
AMP.</t>
  </si>
  <si>
    <t>F.DEM.</t>
  </si>
  <si>
    <t>CARGA DEMANDADA</t>
  </si>
  <si>
    <t xml:space="preserve">TABLERO: </t>
  </si>
  <si>
    <t>VOLTS:</t>
  </si>
  <si>
    <t>CAT:</t>
  </si>
  <si>
    <t>RE</t>
  </si>
  <si>
    <t>ALUMBRADO:</t>
  </si>
  <si>
    <t>MOTORES:</t>
  </si>
  <si>
    <t>RESERVA :</t>
  </si>
  <si>
    <t>TOTAL:</t>
  </si>
  <si>
    <t>FINAL</t>
  </si>
  <si>
    <t>TOTAL DE PIEZAS</t>
  </si>
  <si>
    <t>TOTAL DE CARGA</t>
  </si>
  <si>
    <t>ESPACIOS</t>
  </si>
  <si>
    <t>OCUPAR</t>
  </si>
  <si>
    <t>%</t>
  </si>
  <si>
    <t>TRANSFER</t>
  </si>
  <si>
    <t>PE</t>
  </si>
  <si>
    <t>CARGA INST.</t>
  </si>
  <si>
    <t>FACT. DE</t>
  </si>
  <si>
    <t>CARGA DEM.</t>
  </si>
  <si>
    <t xml:space="preserve">ALUMBRADO: </t>
  </si>
  <si>
    <t xml:space="preserve">ALIMENTADO DE: </t>
  </si>
  <si>
    <t xml:space="preserve">OTRAS CARGAS: </t>
  </si>
  <si>
    <t xml:space="preserve">MOTORES: </t>
  </si>
  <si>
    <t xml:space="preserve">RESERVA: </t>
  </si>
  <si>
    <t>AMP.</t>
  </si>
  <si>
    <t>INTERRUPTOR</t>
  </si>
  <si>
    <t>m</t>
  </si>
  <si>
    <t/>
  </si>
  <si>
    <t>TRAFOS/PE</t>
  </si>
  <si>
    <t>TRAFOS / PE</t>
  </si>
  <si>
    <t>TRAFOS / PE:</t>
  </si>
  <si>
    <t>SELECCIÓN DE CONDUCTOR POR CORRIENTE Y PROTECCION</t>
  </si>
  <si>
    <t>TEMP. AMB.</t>
  </si>
  <si>
    <t>TIPOS DE CARGAS</t>
  </si>
  <si>
    <t>OTRAS</t>
  </si>
  <si>
    <t>MOTOR</t>
  </si>
  <si>
    <t>RECEPTACULO</t>
  </si>
  <si>
    <t>TIPO DE</t>
  </si>
  <si>
    <t>I nom.</t>
  </si>
  <si>
    <t>FCT</t>
  </si>
  <si>
    <t>FCA</t>
  </si>
  <si>
    <t>Icorregida</t>
  </si>
  <si>
    <t>I Int.</t>
  </si>
  <si>
    <t>SELECC.</t>
  </si>
  <si>
    <t>DE CORRIENTE</t>
  </si>
  <si>
    <t>CAIDA DE TENSION Y CANALIZACION</t>
  </si>
  <si>
    <t>TIPO DE CANALIZACION</t>
  </si>
  <si>
    <t>CONDX</t>
  </si>
  <si>
    <t>COND.</t>
  </si>
  <si>
    <t>DIAM. C/</t>
  </si>
  <si>
    <t>e</t>
  </si>
  <si>
    <t>CABLE DE TIERRA</t>
  </si>
  <si>
    <t>CANAL.</t>
  </si>
  <si>
    <t>COND</t>
  </si>
  <si>
    <t>AWG/KCM</t>
  </si>
  <si>
    <t>AISL.</t>
  </si>
  <si>
    <t>C/AISL.</t>
  </si>
  <si>
    <t>AREA/ANCHO</t>
  </si>
  <si>
    <t>N.TUB</t>
  </si>
  <si>
    <t>CAIDA DE TENSION Y CANALIZACION CONDUCTOR 2</t>
  </si>
  <si>
    <t>FACTORES DE DEMANDA</t>
  </si>
  <si>
    <t>PROT</t>
  </si>
  <si>
    <t>In</t>
  </si>
  <si>
    <t>SI/NO</t>
  </si>
  <si>
    <t>GENERADOR</t>
  </si>
  <si>
    <t>CARGA TOTAL</t>
  </si>
  <si>
    <t>RESUMEN DE CARGAS Y CORRIENTES</t>
  </si>
  <si>
    <t>TOTAL DE CARGAS NO CONTINUAS</t>
  </si>
  <si>
    <t xml:space="preserve">Itot =  </t>
  </si>
  <si>
    <t>Inom. DE LOS MOT + 25% Inom. MOT. MAYOR+ 125% In CARGAS CONTINUAS + In CARGAS NO CONTINUAS + In OTROS TABLEROS</t>
  </si>
  <si>
    <t>Inom. DE LOS MOTORES</t>
  </si>
  <si>
    <t>25% Inom. DEL MOT. MAYOR</t>
  </si>
  <si>
    <t xml:space="preserve">125% DE LA In DE LAS CARGAS CONTINUAS </t>
  </si>
  <si>
    <t>In DE LAS CARGAS NO CONTINUAS</t>
  </si>
  <si>
    <t>In OTROS TABLEROS</t>
  </si>
  <si>
    <t>---------------------</t>
  </si>
  <si>
    <t>FD =</t>
  </si>
  <si>
    <t>TOTAL CARGA DEMANDADA</t>
  </si>
  <si>
    <t>OTROS:</t>
  </si>
  <si>
    <t>TABLEROS DERIVADOS:</t>
  </si>
  <si>
    <t>RESERVA:</t>
  </si>
  <si>
    <t>MOT. MAY.</t>
  </si>
  <si>
    <t>I DE CALCULO DEL CONDUCTOR=</t>
  </si>
  <si>
    <t>VER ANALISIS EN HOJA DE ALIMENTADOR</t>
  </si>
  <si>
    <t xml:space="preserve">VOLTS:  </t>
  </si>
  <si>
    <t xml:space="preserve">FASES:  </t>
  </si>
  <si>
    <t xml:space="preserve">HILOS:  </t>
  </si>
  <si>
    <t xml:space="preserve">FRECUENCIA:  </t>
  </si>
  <si>
    <t xml:space="preserve">F.P.: </t>
  </si>
  <si>
    <t>MAYOR</t>
  </si>
  <si>
    <t>Long
(m)</t>
  </si>
  <si>
    <t xml:space="preserve">CONDUCTOR
</t>
  </si>
  <si>
    <t xml:space="preserve">CAIDA DE
TENSION %
</t>
  </si>
  <si>
    <t xml:space="preserve">CANALIZACION
</t>
  </si>
  <si>
    <t>DIA-INT</t>
  </si>
  <si>
    <t>DIA-ACOT</t>
  </si>
  <si>
    <t>FACTOR DE TEMPERATURA</t>
  </si>
  <si>
    <t>FCT:</t>
  </si>
  <si>
    <t>FCA:</t>
  </si>
  <si>
    <t>FACTOR DE AGRUPAMIENTO</t>
  </si>
  <si>
    <t>TEMP. AMB:</t>
  </si>
  <si>
    <t>FP:</t>
  </si>
  <si>
    <t>% de Desbalanceo=</t>
  </si>
  <si>
    <t>CARGA MOT.</t>
  </si>
  <si>
    <t>ALUMBRADO :</t>
  </si>
  <si>
    <t>RECEPTACULOS :</t>
  </si>
  <si>
    <t>FUERZA :</t>
  </si>
  <si>
    <t>CARGA INSTALADA :</t>
  </si>
  <si>
    <t>FACTOR DE DEMANDA :</t>
  </si>
  <si>
    <t>CARGA DEMANDADA :</t>
  </si>
  <si>
    <t xml:space="preserve">                             RESUMEN DE TABLERO</t>
  </si>
  <si>
    <t>MEMORIA DE CALCULO</t>
  </si>
  <si>
    <t xml:space="preserve">Y </t>
  </si>
  <si>
    <t>CARGAS DIVERSAS</t>
  </si>
  <si>
    <t>REVISION</t>
  </si>
  <si>
    <t>CONCEPTO</t>
  </si>
  <si>
    <t>APROBO</t>
  </si>
  <si>
    <t>ÍNDICE</t>
  </si>
  <si>
    <t>1.</t>
  </si>
  <si>
    <t>2.</t>
  </si>
  <si>
    <t>3.</t>
  </si>
  <si>
    <t>4.</t>
  </si>
  <si>
    <t>5.</t>
  </si>
  <si>
    <t>6.</t>
  </si>
  <si>
    <t>7.</t>
  </si>
  <si>
    <t>1.  OBJETIVO.</t>
  </si>
  <si>
    <t>2.  CONSIDERACIONES.</t>
  </si>
  <si>
    <t>- AMPACIDAD.</t>
  </si>
  <si>
    <t xml:space="preserve"> </t>
  </si>
  <si>
    <t>3.1 DATOS:</t>
  </si>
  <si>
    <t>V.C.A.</t>
  </si>
  <si>
    <t>NUMERO DE CIRCUITO:</t>
  </si>
  <si>
    <t>ATRASADO</t>
  </si>
  <si>
    <t>3.3 CORRIENTE CORREGIDA.</t>
  </si>
  <si>
    <t xml:space="preserve">         FT    x     FA   </t>
  </si>
  <si>
    <t>FT (FACTOR DE TEMPERATURA)</t>
  </si>
  <si>
    <t>FA (FACTOR DE AGRUPAMIENTO)</t>
  </si>
  <si>
    <t>Ic =</t>
  </si>
  <si>
    <t>Icb (CAP. DEL CABLE) &gt; Ic</t>
  </si>
  <si>
    <t>Icb=</t>
  </si>
  <si>
    <t>&gt;</t>
  </si>
  <si>
    <t>DONDE:</t>
  </si>
  <si>
    <t>e=</t>
  </si>
  <si>
    <t>I=</t>
  </si>
  <si>
    <t>R=</t>
  </si>
  <si>
    <t>X=</t>
  </si>
  <si>
    <t>q=</t>
  </si>
  <si>
    <t>Cos q=</t>
  </si>
  <si>
    <t>Sen q=</t>
  </si>
  <si>
    <t>L=</t>
  </si>
  <si>
    <t>CONSIDERAMOS</t>
  </si>
  <si>
    <t>COND.XFASE</t>
  </si>
  <si>
    <t>CAL.</t>
  </si>
  <si>
    <t>Rca=</t>
  </si>
  <si>
    <t>ohms/Km.</t>
  </si>
  <si>
    <t>Volts</t>
  </si>
  <si>
    <t>4.2 REGULACION.</t>
  </si>
  <si>
    <t>COND. CAL.</t>
  </si>
  <si>
    <t xml:space="preserve">INT. TERM. </t>
  </si>
  <si>
    <t>POLOS,</t>
  </si>
  <si>
    <t>AWG.</t>
  </si>
  <si>
    <t>PARA CANALIZACION</t>
  </si>
  <si>
    <t>Ic=  --------------------------</t>
  </si>
  <si>
    <t>- CORTO CIRCUITO</t>
  </si>
  <si>
    <t>Amp.</t>
  </si>
  <si>
    <t>1.3.5</t>
  </si>
  <si>
    <t>3.2 CALCULO DE LA CORRIENTE NOMINAL:</t>
  </si>
  <si>
    <t>In =         In DE LAS CARGAS</t>
  </si>
  <si>
    <t>ICOND=             Inominales de los motores + 25% de la Inominal del motor mayor +</t>
  </si>
  <si>
    <t>125% de las Cargas Continuas +      Cargas No Continuas</t>
  </si>
  <si>
    <t xml:space="preserve">Icond = </t>
  </si>
  <si>
    <t>TOMANDO LA SIGUIENTE FORMULA DEL IEEE-242, CAP.8</t>
  </si>
  <si>
    <t>TENEMOS</t>
  </si>
  <si>
    <t xml:space="preserve">         </t>
  </si>
  <si>
    <t>PARA COBRE</t>
  </si>
  <si>
    <t>PARA ALUMINIO</t>
  </si>
  <si>
    <t>SEG</t>
  </si>
  <si>
    <t>°C.</t>
  </si>
  <si>
    <t>SUSTITUYENDO LOS VALORES TENEMOS:</t>
  </si>
  <si>
    <t>A=</t>
  </si>
  <si>
    <t>CIRCULAR MIL</t>
  </si>
  <si>
    <t>---------------- =</t>
  </si>
  <si>
    <t>ESTE CALIBRE CORRESPONDE APROXIMADAMENTE AL CAL.</t>
  </si>
  <si>
    <t>QUE TIENE UNA SECCION DE</t>
  </si>
  <si>
    <t>Fact. Dem=</t>
  </si>
  <si>
    <t xml:space="preserve">Icondfin = </t>
  </si>
  <si>
    <t xml:space="preserve">      Inominales de los motores + 25% de la Inominal del motor mayor +</t>
  </si>
  <si>
    <t>AREA EN mm2</t>
  </si>
  <si>
    <t>V</t>
  </si>
  <si>
    <t>Ic.
Amp.</t>
  </si>
  <si>
    <t>DATOS</t>
  </si>
  <si>
    <t xml:space="preserve">CARGA INSTALADA                      </t>
  </si>
  <si>
    <t>ALUMBRADO =</t>
  </si>
  <si>
    <t>OTRAS CARGAS =</t>
  </si>
  <si>
    <t>MOTORES =</t>
  </si>
  <si>
    <t>RESERVA =</t>
  </si>
  <si>
    <t>TABLEROS =</t>
  </si>
  <si>
    <t>TRAFOS/PE =</t>
  </si>
  <si>
    <t>TOTAL =</t>
  </si>
  <si>
    <t>1   COND. CAL.</t>
  </si>
  <si>
    <t>NOM. AMP</t>
  </si>
  <si>
    <t>CAP. DEL</t>
  </si>
  <si>
    <t>LA CAPACIDAD DE CORRIENTE DEL CONDUCTOR DE ESTA COLUMNA</t>
  </si>
  <si>
    <t>ESTA EN FUNCION DEL TIPO DE AISLAMIENTO A UTILIZAR</t>
  </si>
  <si>
    <t>PARA 100 AMP O MENOS 75°C Y PARA MAS DE 100 AMP 90°C</t>
  </si>
  <si>
    <t>** CAPACIDAD</t>
  </si>
  <si>
    <t>** NOTA:</t>
  </si>
  <si>
    <t>If = CORRIENTE MAXIMA DE CORTO CIRCUITO =</t>
  </si>
  <si>
    <t>A= AREA DEL CONDUCTOR EN CIRCULAR MIL (AL O CU) =</t>
  </si>
  <si>
    <t>t= TIEMPO DE DURACION DEL FLUJO DE CORRIENTE =</t>
  </si>
  <si>
    <t>ELABORO:</t>
  </si>
  <si>
    <t>REVISO:</t>
  </si>
  <si>
    <t>APROBO:</t>
  </si>
  <si>
    <t>I nom.
AMP.</t>
  </si>
  <si>
    <t>CARGA
DEMANDADA 
WATTS</t>
  </si>
  <si>
    <t>CARGA
TOTAL
WATTS</t>
  </si>
  <si>
    <t xml:space="preserve">FACTOR
AGRUP.
</t>
  </si>
  <si>
    <t xml:space="preserve"># COND. 
CANAL.
</t>
  </si>
  <si>
    <t>SI</t>
  </si>
  <si>
    <t>DATOS GENERALES</t>
  </si>
  <si>
    <t>Proyecto:</t>
  </si>
  <si>
    <t>Cliente:</t>
  </si>
  <si>
    <t>Tablero:</t>
  </si>
  <si>
    <t>Catagos:</t>
  </si>
  <si>
    <t>Ubicación del Tablero:</t>
  </si>
  <si>
    <t>Marca:</t>
  </si>
  <si>
    <t>Alimentado de:</t>
  </si>
  <si>
    <t>Frecuencia:</t>
  </si>
  <si>
    <t>Voltaje:</t>
  </si>
  <si>
    <t>/</t>
  </si>
  <si>
    <t>CANALIZACION (NOM/MT/IN/MC):</t>
  </si>
  <si>
    <t>Fases:</t>
  </si>
  <si>
    <t>F.D. ALUMBRADO:</t>
  </si>
  <si>
    <t>CTO. EJEMPLO MEMORIA:</t>
  </si>
  <si>
    <t>CA. / C.D:</t>
  </si>
  <si>
    <t>F.D. RECEPTACULOS:</t>
  </si>
  <si>
    <t>Interruptor / Zapatas:</t>
  </si>
  <si>
    <t>F.D. OTROS:</t>
  </si>
  <si>
    <t>Temperatura Ambiente:</t>
  </si>
  <si>
    <t>F.D. MOTORES:</t>
  </si>
  <si>
    <t>Factor de Potencia f.p.:</t>
  </si>
  <si>
    <t>F.D. TABLEROS DERIVADOS:</t>
  </si>
  <si>
    <t>FECHA:</t>
  </si>
  <si>
    <t>Material de los Conductores Derivados:</t>
  </si>
  <si>
    <t>F.D. TRAFOS:</t>
  </si>
  <si>
    <t>Material de los Conductores del Alimentador:</t>
  </si>
  <si>
    <t>F.D. RESERVA:</t>
  </si>
  <si>
    <t>CALCULO EN WATTS O VA (KW / KVA):</t>
  </si>
  <si>
    <t>KW</t>
  </si>
  <si>
    <t>F.D. TOTAL:</t>
  </si>
  <si>
    <t>TIPO DE ALIMENTADOR (TB / TR / PE):</t>
  </si>
  <si>
    <t>POLOS A UTILIZAR:</t>
  </si>
  <si>
    <t>DIAMETRO MINIMO DE TUBERIA</t>
  </si>
  <si>
    <t>DATOS CONDUCTOR 1</t>
  </si>
  <si>
    <t>DATOS CONDUCTOR 2</t>
  </si>
  <si>
    <t>ETIQUETA</t>
  </si>
  <si>
    <t>CARGAS CONTINUAS</t>
  </si>
  <si>
    <t>CARGAS NO CONTINUAS</t>
  </si>
  <si>
    <t>INSTALADA</t>
  </si>
  <si>
    <t>CORTO CIRCUITO</t>
  </si>
  <si>
    <t>RESULTADOS
CONDUCTOR 2</t>
  </si>
  <si>
    <t>ALIMENTAD</t>
  </si>
  <si>
    <t>VALOR</t>
  </si>
  <si>
    <t>CALIBRE</t>
  </si>
  <si>
    <t>RESULTADOS DEL CONDUCTOR 1</t>
  </si>
  <si>
    <t>RESULTADOS DEL CONDUCTOR 2</t>
  </si>
  <si>
    <t>SI ES MOTOR</t>
  </si>
  <si>
    <t>DIAGRAMA UNIFILAR AUTOCAD</t>
  </si>
  <si>
    <t>CARGA WATTS</t>
  </si>
  <si>
    <t>Icc =</t>
  </si>
  <si>
    <t>DESBALANCEO TOTAL</t>
  </si>
  <si>
    <t>NUMERO DE</t>
  </si>
  <si>
    <t>Material</t>
  </si>
  <si>
    <t>CARGA VA'S</t>
  </si>
  <si>
    <t>CABLE mm2=</t>
  </si>
  <si>
    <t>SELECCIÓN
POR
CORRIENTE</t>
  </si>
  <si>
    <t>DIBUJO DE AUTOCAD EN TABLERO</t>
  </si>
  <si>
    <t>DIBUJO DE AUTOCAD EN CAMPO</t>
  </si>
  <si>
    <t>del</t>
  </si>
  <si>
    <t>FASES MOTOR</t>
  </si>
  <si>
    <t>KVA</t>
  </si>
  <si>
    <t>CALIBRE=</t>
  </si>
  <si>
    <t>MAXIMA</t>
  </si>
  <si>
    <t>PROMEDIO PARA 0%:</t>
  </si>
  <si>
    <t>ENCONTRAR</t>
  </si>
  <si>
    <t>CALCULO</t>
  </si>
  <si>
    <t>SELECCIÓN</t>
  </si>
  <si>
    <t>CORRIENTE MAXIMA</t>
  </si>
  <si>
    <t>TEMP.</t>
  </si>
  <si>
    <t>calculo</t>
  </si>
  <si>
    <t>Conductor</t>
  </si>
  <si>
    <t>CP MOTOR</t>
  </si>
  <si>
    <t>DATOS DE MOTORES</t>
  </si>
  <si>
    <t>POR</t>
  </si>
  <si>
    <t>DE LA</t>
  </si>
  <si>
    <t>NO MENOR</t>
  </si>
  <si>
    <t>NOMENCALTURA</t>
  </si>
  <si>
    <t>PARA CONDUCTOR</t>
  </si>
  <si>
    <t>AMBIENTE</t>
  </si>
  <si>
    <t>tuberia</t>
  </si>
  <si>
    <t>Fases</t>
  </si>
  <si>
    <t>Hilos</t>
  </si>
  <si>
    <t>Aluminio</t>
  </si>
  <si>
    <t>Num.</t>
  </si>
  <si>
    <t>Long.</t>
  </si>
  <si>
    <t>Caída</t>
  </si>
  <si>
    <t>Tipo</t>
  </si>
  <si>
    <t>Conduct.</t>
  </si>
  <si>
    <t>Número</t>
  </si>
  <si>
    <t>Núm. De</t>
  </si>
  <si>
    <t>Factor</t>
  </si>
  <si>
    <t>Bloque autocad</t>
  </si>
  <si>
    <t>Carga</t>
  </si>
  <si>
    <t>Calibre</t>
  </si>
  <si>
    <t>Capacidad</t>
  </si>
  <si>
    <t>Caída de</t>
  </si>
  <si>
    <t>F.C.T.</t>
  </si>
  <si>
    <t>F.C.A.</t>
  </si>
  <si>
    <t>F.C.A</t>
  </si>
  <si>
    <t>SUMATORIA</t>
  </si>
  <si>
    <t>I corr. 1</t>
  </si>
  <si>
    <t>I corr. 2</t>
  </si>
  <si>
    <t>REAL</t>
  </si>
  <si>
    <t>CAIDA DE</t>
  </si>
  <si>
    <t>DE 30A</t>
  </si>
  <si>
    <t>Diam.</t>
  </si>
  <si>
    <t>Area</t>
  </si>
  <si>
    <t xml:space="preserve">O </t>
  </si>
  <si>
    <t>DEFINITIVO</t>
  </si>
  <si>
    <t>primera</t>
  </si>
  <si>
    <t>Cobre</t>
  </si>
  <si>
    <t>Cables</t>
  </si>
  <si>
    <t>Máx</t>
  </si>
  <si>
    <t>de</t>
  </si>
  <si>
    <t>por</t>
  </si>
  <si>
    <t>Contar p/
Calculo</t>
  </si>
  <si>
    <t>Total</t>
  </si>
  <si>
    <t>CARGAS SIN TAB.</t>
  </si>
  <si>
    <t>TOT. CARGAS SIN TAB.</t>
  </si>
  <si>
    <t>DEMANDADA</t>
  </si>
  <si>
    <t>Calculado</t>
  </si>
  <si>
    <t>Tensión</t>
  </si>
  <si>
    <t>FASE A</t>
  </si>
  <si>
    <t>FASE B</t>
  </si>
  <si>
    <t>FASE C</t>
  </si>
  <si>
    <t>BALANCEO CALCULADO</t>
  </si>
  <si>
    <t>FASE A LA QUE CORRESPONDE</t>
  </si>
  <si>
    <t>CONTINUA</t>
  </si>
  <si>
    <t>NOMINAL</t>
  </si>
  <si>
    <t>CALCULADO</t>
  </si>
  <si>
    <t>AWG /</t>
  </si>
  <si>
    <t>TABLA</t>
  </si>
  <si>
    <t>TABLA 310-16</t>
  </si>
  <si>
    <t>TENSION</t>
  </si>
  <si>
    <t>PARA TAB Y</t>
  </si>
  <si>
    <t>( R )</t>
  </si>
  <si>
    <t>( X )</t>
  </si>
  <si>
    <t>c/aisl.</t>
  </si>
  <si>
    <t>SECCION</t>
  </si>
  <si>
    <t>opcion</t>
  </si>
  <si>
    <t>DERIVADO</t>
  </si>
  <si>
    <t>NOTAS</t>
  </si>
  <si>
    <t>Circuito</t>
  </si>
  <si>
    <t>AL / CU</t>
  </si>
  <si>
    <t>en Tubo</t>
  </si>
  <si>
    <t>mts</t>
  </si>
  <si>
    <t>Permitida</t>
  </si>
  <si>
    <t>Canalización</t>
  </si>
  <si>
    <t>Fase</t>
  </si>
  <si>
    <t>Tubos</t>
  </si>
  <si>
    <t>Demanda</t>
  </si>
  <si>
    <t>TOT. DE CARGAS CONTINUAS SIN MOTORES</t>
  </si>
  <si>
    <t>IDISP</t>
  </si>
  <si>
    <t>CABLE 1</t>
  </si>
  <si>
    <t>TENSION 1</t>
  </si>
  <si>
    <t>Tierra</t>
  </si>
  <si>
    <t>CABLE2</t>
  </si>
  <si>
    <t>TENSION 2</t>
  </si>
  <si>
    <t>TOTAL</t>
  </si>
  <si>
    <t>N/CONTINUA</t>
  </si>
  <si>
    <t>CABLE 2</t>
  </si>
  <si>
    <t>CALCULADA</t>
  </si>
  <si>
    <t>COSENO</t>
  </si>
  <si>
    <t>SENO</t>
  </si>
  <si>
    <t>MCM</t>
  </si>
  <si>
    <t>75° Y 90°C</t>
  </si>
  <si>
    <t>310-17</t>
  </si>
  <si>
    <t>RECEPT.</t>
  </si>
  <si>
    <t>( mm )</t>
  </si>
  <si>
    <t>( mm2 )</t>
  </si>
  <si>
    <t>NECESARIA</t>
  </si>
  <si>
    <t>CABLE1</t>
  </si>
  <si>
    <t>prot</t>
  </si>
  <si>
    <t>alimentador</t>
  </si>
  <si>
    <t>longitud</t>
  </si>
  <si>
    <t>No. CABLES</t>
  </si>
  <si>
    <t>No.DESNUDOS</t>
  </si>
  <si>
    <t>DESNUDO</t>
  </si>
  <si>
    <t>NUM. CANAL</t>
  </si>
  <si>
    <t>DIAMETRO</t>
  </si>
  <si>
    <t>TRAMOS</t>
  </si>
  <si>
    <t>CURVAS</t>
  </si>
  <si>
    <t>PGG</t>
  </si>
  <si>
    <t>PDG</t>
  </si>
  <si>
    <t>PVC</t>
  </si>
  <si>
    <t>LIQU</t>
  </si>
  <si>
    <t>FLEX</t>
  </si>
  <si>
    <t>PARA POLOS</t>
  </si>
  <si>
    <t>EN UNIFILAR</t>
  </si>
  <si>
    <t>%PROT=</t>
  </si>
  <si>
    <r>
      <t>mm</t>
    </r>
    <r>
      <rPr>
        <vertAlign val="superscript"/>
        <sz val="10"/>
        <rFont val="Frutiger-Light"/>
      </rPr>
      <t>2</t>
    </r>
  </si>
  <si>
    <t>(art. 110-14, NOM-001-SEDE-2012)</t>
  </si>
  <si>
    <t>e%= e / V X 100    =</t>
  </si>
  <si>
    <t>e%= ( e / V ) X 100    =</t>
  </si>
  <si>
    <t>NOM-001-SEDE-2012.</t>
  </si>
  <si>
    <t>e= 1.73 I L ( R Cos q + X Sen q ) / 1000</t>
  </si>
  <si>
    <t>-</t>
  </si>
  <si>
    <t>N/C</t>
  </si>
  <si>
    <t>CA</t>
  </si>
  <si>
    <t>CHAROLA, CONDUCTORES EN UNA SOLA CAPA 310-15(b)(17) AL 65%</t>
  </si>
  <si>
    <t>CHAROLA, CONDUCTORES EN UNA SOLA CAPA CON TAPA 310-15(b)(17) AL 60%</t>
  </si>
  <si>
    <t>CHAROLA, COND. EN CONF. TRIANGULAR O CUADRADA SEPARADOS. 2.5 DE 310-15(b)(20)</t>
  </si>
  <si>
    <t>CHAROLA, COND. EN UNA SOLA CAPA SEP. 1 VEZ EL DIAM. DEL COND. 310-15(b)(17) AL 100%</t>
  </si>
  <si>
    <t>DUCTO CUADRADO, NO MAS DE 30 CONDUCTORES ACTIVOS, NI MAS DEL 20% DE OCUPACION</t>
  </si>
  <si>
    <t>CALIBRES MINIMOS ALUB-RECEPT-MOT</t>
  </si>
  <si>
    <t>PROT.MINIMA PARA ALUMB-RECEPT-MOT</t>
  </si>
  <si>
    <t>RUTA DEL ARCHIVO</t>
  </si>
  <si>
    <t>CALIBRE SELECCIONADO=</t>
  </si>
  <si>
    <t>CAP. COND=</t>
  </si>
  <si>
    <t>TIPO DE CARGA</t>
  </si>
  <si>
    <t xml:space="preserve">ohms/Km. RESISTENCIA DEL CONDUCTOR A LA C.A. </t>
  </si>
  <si>
    <t>ohms/Km. REACTANCIA INDUCTIVA</t>
  </si>
  <si>
    <t>TUBO CONDUIT PVC</t>
  </si>
  <si>
    <t>TUBO CONDUIT Fe GALVANIZADO</t>
  </si>
  <si>
    <r>
      <t>I</t>
    </r>
    <r>
      <rPr>
        <sz val="8"/>
        <rFont val="Frutiger-Light"/>
      </rPr>
      <t>EQ</t>
    </r>
    <r>
      <rPr>
        <sz val="10"/>
        <rFont val="Frutiger-Light"/>
      </rPr>
      <t>=</t>
    </r>
  </si>
  <si>
    <t>In=</t>
  </si>
  <si>
    <t>BUS INFINITO</t>
  </si>
  <si>
    <t>CLIENTE:</t>
  </si>
  <si>
    <t>CALCULO DEL CORTO CIRCUITO POR BUS INFINITO</t>
  </si>
  <si>
    <t>Z% DEL TRANSF=5.55</t>
  </si>
  <si>
    <t>CAPACIDAD DEL TRAFO</t>
  </si>
  <si>
    <t>Z% DEL TRAFO</t>
  </si>
  <si>
    <t>1.2 AJUSTE DE LA CORRIENTE DE CORTO CIRCUITO:</t>
  </si>
  <si>
    <r>
      <rPr>
        <b/>
        <sz val="11"/>
        <rFont val="Arial"/>
        <family val="2"/>
      </rPr>
      <t>A)</t>
    </r>
    <r>
      <rPr>
        <sz val="7"/>
        <rFont val="Times New Roman"/>
        <family val="1"/>
      </rPr>
      <t xml:space="preserve">       </t>
    </r>
    <r>
      <rPr>
        <b/>
        <sz val="11"/>
        <rFont val="Arial"/>
        <family val="2"/>
      </rPr>
      <t>POR AMPLIACION DE CAPACIDAD :</t>
    </r>
    <r>
      <rPr>
        <sz val="11"/>
        <rFont val="Arial"/>
        <family val="2"/>
      </rPr>
      <t xml:space="preserve"> Si la instalación tiene una ampliación, esta</t>
    </r>
  </si>
  <si>
    <t>se resolverá agregando transformadores independientes, por lo que este factor será</t>
  </si>
  <si>
    <t>unitario</t>
  </si>
  <si>
    <t xml:space="preserve">A = </t>
  </si>
  <si>
    <r>
      <rPr>
        <b/>
        <sz val="11"/>
        <rFont val="Arial"/>
        <family val="2"/>
      </rPr>
      <t>B)</t>
    </r>
    <r>
      <rPr>
        <b/>
        <sz val="7"/>
        <rFont val="Times New Roman"/>
        <family val="1"/>
      </rPr>
      <t xml:space="preserve">     </t>
    </r>
    <r>
      <rPr>
        <b/>
        <sz val="11"/>
        <rFont val="Arial"/>
        <family val="2"/>
      </rPr>
      <t>POR TIEMPO DE DURACION DE LA FALLA:</t>
    </r>
    <r>
      <rPr>
        <sz val="11"/>
        <rFont val="Arial"/>
        <family val="2"/>
      </rPr>
      <t xml:space="preserve"> Los interruptores abren eliminándola</t>
    </r>
  </si>
  <si>
    <t>en un Tiempo aproximado de 0.1 segundo, equivalente a 6 ciclos.</t>
  </si>
  <si>
    <t xml:space="preserve"> Por lo tanto, aplicaremos un factor  D= 1.25 según la siguiente tabla :</t>
  </si>
  <si>
    <t>DURACION DE LA FALLA</t>
  </si>
  <si>
    <t>FACTOR DE DECREMENTO</t>
  </si>
  <si>
    <t>CICLOS</t>
  </si>
  <si>
    <t>D</t>
  </si>
  <si>
    <t>30 O MAS</t>
  </si>
  <si>
    <t xml:space="preserve">          </t>
  </si>
  <si>
    <t xml:space="preserve">            Así la corriente de falla  ajustada queda :</t>
  </si>
  <si>
    <t>Icc = (Icc)( A)( D) =</t>
  </si>
  <si>
    <t>x    1    x</t>
  </si>
  <si>
    <t>T2= TEMP. MAXIMA DE OPERACIÓN ANTES DE LA FALLA =</t>
  </si>
  <si>
    <t>T1= TEMP. MAXIMA AL FINAL DEL FLUJO DE CORRIENTE =</t>
  </si>
  <si>
    <t>(60° si es menor de 100A y 75° si es mayor)</t>
  </si>
  <si>
    <t>(200° si es THW y 250° si es XHHW)</t>
  </si>
  <si>
    <t>TIPO DE INT.</t>
  </si>
  <si>
    <t>EN TABLERO</t>
  </si>
  <si>
    <t>DATOS Icc TRAFO</t>
  </si>
  <si>
    <t>IMPEDANCIA Z%=</t>
  </si>
  <si>
    <t>POR AMPLIACION=</t>
  </si>
  <si>
    <t>FACT. DECREM=</t>
  </si>
  <si>
    <t>INFORMACION
PARA UNIFILAR</t>
  </si>
  <si>
    <t>UBICACIÓN</t>
  </si>
  <si>
    <t>SERVICIO</t>
  </si>
  <si>
    <t>3 EDB</t>
  </si>
  <si>
    <t>TIPO DE CABLE</t>
  </si>
  <si>
    <t>SECUNDARIO</t>
  </si>
  <si>
    <t>PRIMARIO</t>
  </si>
  <si>
    <t>PLANTA</t>
  </si>
  <si>
    <t>DIA-PE</t>
  </si>
  <si>
    <t>UPS-SALIDA</t>
  </si>
  <si>
    <t>UPS-ENTRADA</t>
  </si>
  <si>
    <t>***NOTA</t>
  </si>
  <si>
    <t>Calculo de la Corriente nominal</t>
  </si>
  <si>
    <t>Calculo de la corriente para conductores</t>
  </si>
  <si>
    <t>calculo de la Proteccion Principal</t>
  </si>
  <si>
    <t>SI CAMBIAS ESTA FORMULA YA NO TOMARA EN CUENTA</t>
  </si>
  <si>
    <t>Inom. DE LOS MOTORES - Mot. MAYOR</t>
  </si>
  <si>
    <t>EL TIPO DE CANALIZACION DEL ALIMENTADOR</t>
  </si>
  <si>
    <t>Prot. Del Mot. MAYOR</t>
  </si>
  <si>
    <t xml:space="preserve">In DE LAS CARGAS CONTINUAS </t>
  </si>
  <si>
    <t>x 1.00 =</t>
  </si>
  <si>
    <t>RESUMEN FINAL DE CARGAS</t>
  </si>
  <si>
    <t>OTRAS CARGAS</t>
  </si>
  <si>
    <t>FD</t>
  </si>
  <si>
    <t>RESULT.CONDUCTOR 1</t>
  </si>
  <si>
    <t>I</t>
  </si>
  <si>
    <t>PUENTE UNION</t>
  </si>
  <si>
    <t>A.</t>
  </si>
  <si>
    <t>m.</t>
  </si>
  <si>
    <t>A. DE DISPARO</t>
  </si>
  <si>
    <t>CORRIENTE EN A</t>
  </si>
  <si>
    <t>Icc 3</t>
  </si>
  <si>
    <t>M, MV</t>
  </si>
  <si>
    <t>CU</t>
  </si>
  <si>
    <t>NOM</t>
  </si>
  <si>
    <t>1 QO</t>
  </si>
  <si>
    <t>VER DESCRIPCION DE TIPO DE CANALIZACION</t>
  </si>
  <si>
    <t>2 QOB</t>
  </si>
  <si>
    <t>4 HDA 15-150</t>
  </si>
  <si>
    <t>5 JDA 175-250</t>
  </si>
  <si>
    <t>6 LAL 300-400</t>
  </si>
  <si>
    <t>7 MGA 500-800</t>
  </si>
  <si>
    <t>8 POWERPACK</t>
  </si>
  <si>
    <t>CALCULO DE LA CORRIENTE DEL NEUTRO</t>
  </si>
  <si>
    <t>ANGULO</t>
  </si>
  <si>
    <t>X COMP</t>
  </si>
  <si>
    <t>Y COMP</t>
  </si>
  <si>
    <t>NEUTRO</t>
  </si>
  <si>
    <t>- CAIDA DE TENSIÓN.</t>
  </si>
  <si>
    <t>CREATE BY ADOLFO HERNANDEZ</t>
  </si>
  <si>
    <t>Servicio</t>
  </si>
  <si>
    <t>kW</t>
  </si>
  <si>
    <t>I.nom (A)</t>
  </si>
  <si>
    <t>DIA-AREG</t>
  </si>
  <si>
    <t>RELACIÓN DE CARGAS</t>
  </si>
  <si>
    <t>SQUARED</t>
  </si>
  <si>
    <t xml:space="preserve"> (JD)</t>
  </si>
  <si>
    <t>D.M.S.</t>
  </si>
  <si>
    <t>M.M.S.</t>
  </si>
  <si>
    <t>1/0</t>
  </si>
  <si>
    <t>DIA-TSECOTPPAL</t>
  </si>
  <si>
    <t>T-16 mm</t>
  </si>
  <si>
    <t>Tabla 310-15(b)(3)(a)</t>
  </si>
  <si>
    <t>Tabla 310-15(b)(2)(a)</t>
  </si>
  <si>
    <t>% DE DISPARO PROT. PPAL:/PPAL OTROS</t>
  </si>
  <si>
    <t>% DE DISP. PROT. DERIVADAS:/ALUMBRADO/BANCO CAP.</t>
  </si>
  <si>
    <t>% DE DISP. PROT. MOT./HVAC:/ARRANC. T.R. O VARIA</t>
  </si>
  <si>
    <t>DESCRIPCIÓN</t>
  </si>
  <si>
    <t>DEL TIPO</t>
  </si>
  <si>
    <t>0.00 W</t>
  </si>
  <si>
    <t>DE CARGA</t>
  </si>
  <si>
    <t>6 DUCTO CUADRADO, NO MAS DE 30 CONDUCTORES ACTIVOS, NI MAS DEL 20% DE OCUPACION</t>
  </si>
  <si>
    <t>(BC) Banco de capacitores</t>
  </si>
  <si>
    <t>HP</t>
  </si>
  <si>
    <t>REV.23.08</t>
  </si>
  <si>
    <t>HVAC</t>
  </si>
  <si>
    <t>BC</t>
  </si>
  <si>
    <t>capacidad kVA</t>
  </si>
  <si>
    <t>CAPACIDAD kW</t>
  </si>
  <si>
    <t>AIRE ACOND.</t>
  </si>
  <si>
    <t>BCO.CAPACITORES</t>
  </si>
  <si>
    <t>MEMORIA DE CÁLCULO</t>
  </si>
  <si>
    <t>DISPOSITIVOS DE PROTECCIÓN</t>
  </si>
  <si>
    <t>TAB-C</t>
  </si>
  <si>
    <t>AL</t>
  </si>
  <si>
    <t>MC-STABILOY</t>
  </si>
  <si>
    <t>ACCESO OFICINAS</t>
  </si>
  <si>
    <t>CARGADORES DE BATERIAS</t>
  </si>
  <si>
    <t>BODEGA</t>
  </si>
  <si>
    <t>YUNEXPRESS</t>
  </si>
  <si>
    <t>D:\UVIE\dictamenes\2023\120-2023 YUNEXPRESS\</t>
  </si>
  <si>
    <t>TAB-G</t>
  </si>
  <si>
    <t>MC</t>
  </si>
  <si>
    <t>30,000.00 W</t>
  </si>
  <si>
    <t>23/12/2023</t>
  </si>
  <si>
    <t>4/0</t>
  </si>
  <si>
    <t>3P-150 A</t>
  </si>
  <si>
    <t>4-4/0, 1-2T, 1MC-STABILOY</t>
  </si>
  <si>
    <t>3/0</t>
  </si>
  <si>
    <t>1-4T AWG Al</t>
  </si>
  <si>
    <t>TRAFO 112.5 KVA-TAB-G</t>
  </si>
  <si>
    <t>ZONA DE CARGA</t>
  </si>
  <si>
    <t>ALUMBRADO, CONTACTOS Y FUERZA</t>
  </si>
  <si>
    <t>G</t>
  </si>
  <si>
    <t xml:space="preserve"> LA400M141B</t>
  </si>
  <si>
    <t>21.11 kA</t>
  </si>
  <si>
    <t>D:\UVIE\dictamenes\2023\120-2023 YUNEXPRESS\TAB-G</t>
  </si>
  <si>
    <t>TAB-G.xlsm</t>
  </si>
  <si>
    <t>LUM-02 NAVE</t>
  </si>
  <si>
    <t>COMP. CARTON</t>
  </si>
  <si>
    <t>VENT. EXTRACCION</t>
  </si>
  <si>
    <t>CONT. MANT.</t>
  </si>
  <si>
    <t>4,600.00 W</t>
  </si>
  <si>
    <t>20,136.00 W</t>
  </si>
  <si>
    <t>38,707.02 W</t>
  </si>
  <si>
    <t>93,443.02 W</t>
  </si>
  <si>
    <t>x 0.800 =</t>
  </si>
  <si>
    <t>74,754.42 W</t>
  </si>
  <si>
    <t>TAB-A</t>
  </si>
  <si>
    <t>T-35 mm</t>
  </si>
  <si>
    <t>ALUMBRADO Y CONTACTOS</t>
  </si>
  <si>
    <t>4-2, 1-6T, 1T-35 mm</t>
  </si>
  <si>
    <t xml:space="preserve"> (HD)</t>
  </si>
  <si>
    <t>TAB-B</t>
  </si>
  <si>
    <t>DESCARGA</t>
  </si>
  <si>
    <t>4-4, 1-6T, 1T-35 mm</t>
  </si>
  <si>
    <t>M</t>
  </si>
  <si>
    <t>DIA-DAMOT</t>
  </si>
  <si>
    <t>3P-70 A</t>
  </si>
  <si>
    <t>3-2, 1-6T, 1MC-STABILOY</t>
  </si>
  <si>
    <t>3P-30 A</t>
  </si>
  <si>
    <t>3-10, 1-10T, 1T-16 mm</t>
  </si>
  <si>
    <t>2-10, 1-10T, 1T-16 mm</t>
  </si>
  <si>
    <t>CONT. MANTENIMIENTO</t>
  </si>
  <si>
    <t>3P-20 A</t>
  </si>
  <si>
    <t>4-10, 1-10T, 1T-16 mm</t>
  </si>
  <si>
    <t>DIA-CONTREG</t>
  </si>
  <si>
    <t>KCM</t>
  </si>
  <si>
    <t xml:space="preserve"> (LA)</t>
  </si>
  <si>
    <t>1-4/0T AWG Al</t>
  </si>
  <si>
    <t>3P-300 A</t>
  </si>
  <si>
    <t>4-3/0, 1-4T, 1MC-STABILOY</t>
  </si>
  <si>
    <t>6-3/0, 2-4T, 2MC-STABILOY</t>
  </si>
  <si>
    <t>8-500, 1-1/0T, 1MC-STABILOY</t>
  </si>
  <si>
    <t>- CAÍDA DE TENSIÓN.</t>
  </si>
  <si>
    <t>3.2.1 DETERMINACIÓN DE LA CORRIENTE PARA EL CÁLCULO DE LA CAPACIDAD DEL ALIMENTADOR AL TABLERO</t>
  </si>
  <si>
    <t>DISPOSITIVO DE PROTECCIÓN</t>
  </si>
  <si>
    <t>4.2 REGULACIÓN.</t>
  </si>
  <si>
    <t>Elaboró</t>
  </si>
  <si>
    <t>Revisó</t>
  </si>
  <si>
    <t>Aprobó</t>
  </si>
  <si>
    <t>Fecha</t>
  </si>
  <si>
    <t>Revisión</t>
  </si>
  <si>
    <t>Concepto</t>
  </si>
  <si>
    <t xml:space="preserve"> Objetivo.</t>
  </si>
  <si>
    <t>Consideraciones.</t>
  </si>
  <si>
    <t>Cálculo del calibre de los conductores por Ampacidad.</t>
  </si>
  <si>
    <t>Cálculo del calbre de los conductores por Caída de Tensión.</t>
  </si>
  <si>
    <t>Cálculo del calbre de los conductores por Corto Circuito.</t>
  </si>
  <si>
    <t>Cálculo de la capacidad del Dispositivo de Protección.</t>
  </si>
  <si>
    <t>Conclusiones.</t>
  </si>
  <si>
    <t>La finalidad del cálculo es la determinación del calibre de los alimentadores y la capacidad del</t>
  </si>
  <si>
    <t>del dispositivo de protección contra Sobrecorriente para el suministro eléctrico al tablero</t>
  </si>
  <si>
    <t>eléctrico para su correcta operación.</t>
  </si>
  <si>
    <t>El cálculo se desarrolla para este tablero en particular, procediendo a calcular</t>
  </si>
  <si>
    <t xml:space="preserve">todos los casos de la misma forma, únicamente se refeljaran los resultados en </t>
  </si>
  <si>
    <t>forma tabulada.</t>
  </si>
  <si>
    <t>El cálculo se efectuara por los siguientes métodos basados en la</t>
  </si>
  <si>
    <t>Eligiendose entre los tres el de mayor calibre.</t>
  </si>
  <si>
    <t>Número de equipo o descruipción de la carga:</t>
  </si>
  <si>
    <t>Corriente Nominal de las cargas Continuas:</t>
  </si>
  <si>
    <t>Corriente Nominal de las cargas No Continuas:</t>
  </si>
  <si>
    <t>Otras Cargas</t>
  </si>
  <si>
    <t>Sumatoría de corrientes de Motores:</t>
  </si>
  <si>
    <t>Corriente Nominal del Motor Mayor:</t>
  </si>
  <si>
    <t>Capacidad del Interruptor del Motor Mayor:</t>
  </si>
  <si>
    <t>Tensión de Alimentación:</t>
  </si>
  <si>
    <t>Número de Fases</t>
  </si>
  <si>
    <t>Número de Hilos:</t>
  </si>
  <si>
    <t>Número de circuito:</t>
  </si>
  <si>
    <t>Material del Conductor( Cu / Al ):</t>
  </si>
  <si>
    <t>Tipo de Aislamiento del Conductor:</t>
  </si>
  <si>
    <t>Temp. de Operación del Aislamiento del Conductor:</t>
  </si>
  <si>
    <t>Longitud del circuito:</t>
  </si>
  <si>
    <t>Factor de Potencia:</t>
  </si>
  <si>
    <t>No. de conductores activos en la misma canalización:</t>
  </si>
  <si>
    <t>Tipo de Canalización:</t>
  </si>
  <si>
    <t>Para el caso de Motores con otras cargas, la capacidad del conductor de acuerdo al Art. 430-24</t>
  </si>
  <si>
    <t>en combinación con el Art. 220, en caso de no tener carga de motores, solo aplicara el Art. 220</t>
  </si>
  <si>
    <t>Calibre seleccionado en base a la Tabla 310-15(b)(16) de la NOM-001-SEDE-2012 para tuberías</t>
  </si>
  <si>
    <t>y para el caso de charolas se toman como base las Tablas 310-15(b)(17) Y 310-15 (b)(20),</t>
  </si>
  <si>
    <t>de acuerdo al arreglo de los cables en charola.</t>
  </si>
  <si>
    <t>lo siguiente:</t>
  </si>
  <si>
    <t>Considerando la Temperatura máxima de operación y el tipo de instalación se selecciona</t>
  </si>
  <si>
    <t>Dónde:</t>
  </si>
  <si>
    <t>Caída de Tensión en Volts</t>
  </si>
  <si>
    <t>Corriente en Amperes</t>
  </si>
  <si>
    <t>Resistencia del conductor a la corriente alterna ohms/Km.</t>
  </si>
  <si>
    <t>Reactancia inductiva en ohms/Km.</t>
  </si>
  <si>
    <t>Ángulo de defasamiento.</t>
  </si>
  <si>
    <t>Fractor de Potencia.</t>
  </si>
  <si>
    <t>Factor reactivo.</t>
  </si>
  <si>
    <t>Longitud del circuito en m.</t>
  </si>
  <si>
    <t>Conductores por fase:</t>
  </si>
  <si>
    <t>Calibre:</t>
  </si>
  <si>
    <t>Sustituyendo Valores:</t>
  </si>
  <si>
    <t>A= Área del conductor en Circular Mil (Al O Cu) =</t>
  </si>
  <si>
    <t>If = Corriente máxima de Corto Circuito =</t>
  </si>
  <si>
    <t>t= Tiempo de duración del flujo de Corriente =</t>
  </si>
  <si>
    <t>T2= Temperatura máxima de operación antes de la falla =</t>
  </si>
  <si>
    <t>T1= Temperatura máxima al final del flujo de corriente =</t>
  </si>
  <si>
    <t>Calculando el área necesaria del Conductor</t>
  </si>
  <si>
    <t>Sustituyendo los valores tenemos:</t>
  </si>
  <si>
    <t>Este valor corresponde aproximadamente al Calibre:</t>
  </si>
  <si>
    <t>Que tiene una sección transversal de:</t>
  </si>
  <si>
    <t>Por capacidad de conducción:</t>
  </si>
  <si>
    <t>Por Caída de Tensión:</t>
  </si>
  <si>
    <t>Por Corto Circuito:</t>
  </si>
  <si>
    <t>De lo anterior se definen:</t>
  </si>
  <si>
    <t>La protección del circuito se realiza de acuerdo con la NOM-001-SEDE-2012, por lo que</t>
  </si>
  <si>
    <t>el interruptor Termomágnetico será de la siguiente capacidad.</t>
  </si>
  <si>
    <t>A. de Disparo.</t>
  </si>
  <si>
    <t>De los resultados obtenidos se concluye que el suministro eléctrico se hará como sigue:</t>
  </si>
  <si>
    <t>Fuerza,</t>
  </si>
  <si>
    <t>Puesta a Tierra,</t>
  </si>
  <si>
    <t>Para Canalización</t>
  </si>
  <si>
    <t>FT (Factor de Temperatura)</t>
  </si>
  <si>
    <t>FA (Factor de Agrupamiento)</t>
  </si>
  <si>
    <t>Objetivo.</t>
  </si>
  <si>
    <t>Cálculo del Calibre de los Conductores por Ampacidad.</t>
  </si>
  <si>
    <t>Cálculo del Calibre de los Conductores por Caída de Tensión.</t>
  </si>
  <si>
    <t>Selección del Conductor.</t>
  </si>
  <si>
    <t>Cálculo de la Capacidad del Dispositivo de Protección.</t>
  </si>
  <si>
    <t>La Finalidad del Cálculo es la determinación del Calibre de los Conductores Alimentadores</t>
  </si>
  <si>
    <t>y la Capacidad del Dispositivo de Proteccion Contra Sobrecorriente y/o Cortocircuito</t>
  </si>
  <si>
    <t>para Suministro Electrico a diversas Cargas para su correcta operación.</t>
  </si>
  <si>
    <t>El cálculo se desarrollara para una carga en particular procediendo a</t>
  </si>
  <si>
    <t xml:space="preserve">calcular todos los casos de la misma forma, unicamente se reflejaran los </t>
  </si>
  <si>
    <t>resultados en forma tabulada.</t>
  </si>
  <si>
    <t>la NOM-001-SEDE-2012.</t>
  </si>
  <si>
    <t>Eligiendose entre los dos el de mayor calibre.</t>
  </si>
  <si>
    <t>Número de Equipo/Desripción:</t>
  </si>
  <si>
    <t>Potencia:</t>
  </si>
  <si>
    <t>Tensión de Operación:</t>
  </si>
  <si>
    <t>Número de Fases:</t>
  </si>
  <si>
    <t>Número de Hilos</t>
  </si>
  <si>
    <t>Número de Circuito:</t>
  </si>
  <si>
    <t>Material del conductor( Cu / Al ):</t>
  </si>
  <si>
    <t>Tipo de Aislamiento:</t>
  </si>
  <si>
    <t>Longitud del Circuito:</t>
  </si>
  <si>
    <t>Calibre seleccionado en base a la tabla 310-15(b)(16) de las NOM-001-SEDE-2012 para tuberías</t>
  </si>
  <si>
    <t>y para el caso de charolas se toman como base las tablas 310-15(b)(17) y 310-15(b)(20),</t>
  </si>
  <si>
    <t>de acuerdo al arreglo de los cables en la charola.</t>
  </si>
  <si>
    <t>Tomando en cuenta la temperatura de operación del aislamiento del conductor y el tipo</t>
  </si>
  <si>
    <t>de instalación, seleccionamos:</t>
  </si>
  <si>
    <t>El cálculo se efectuara por los siguientes metódos tomando como base</t>
  </si>
  <si>
    <t>Ángulo de Defasamiento.</t>
  </si>
  <si>
    <t>Factor dePotencia.</t>
  </si>
  <si>
    <t>Factor Reactivo</t>
  </si>
  <si>
    <t>m. Longitud del circuito.</t>
  </si>
  <si>
    <t>Sustituyendo valores:</t>
  </si>
  <si>
    <t>Por capacidad de Conducción:</t>
  </si>
  <si>
    <t>De lo anterior se definen</t>
  </si>
  <si>
    <t xml:space="preserve">el interruptor termomágnetico será de la siguiente capacidad. </t>
  </si>
  <si>
    <t>El procentaje de ajuste de la protección es:</t>
  </si>
  <si>
    <t>Por lo tanto.</t>
  </si>
  <si>
    <t>Capacidad del interruptor=</t>
  </si>
  <si>
    <t>A de capacidad.</t>
  </si>
  <si>
    <t>De los resultados obtenidos, se determina que el suministro eléctrico al equipo se hará</t>
  </si>
  <si>
    <t>como sigue:</t>
  </si>
  <si>
    <t>Para Fuerza</t>
  </si>
  <si>
    <t>Para Puesta a Tierra</t>
  </si>
  <si>
    <t>Protegido con un Interrptor Termomágnetico de:</t>
  </si>
  <si>
    <t>A. de capacidad.</t>
  </si>
  <si>
    <t>Cálculo del calibre de los Conductores por Caída de Tensión.</t>
  </si>
  <si>
    <t>Cálculo del calibre de los Conductores por Corto Circuito.</t>
  </si>
  <si>
    <t xml:space="preserve">La finalidad del cálculo es la determinación del calibre de los Conductores alimentadores </t>
  </si>
  <si>
    <t>y la capacidad del dispositivo de protección contra Sobrecorriente para el suministro</t>
  </si>
  <si>
    <t>Corriente Nominal en A del Equipo.</t>
  </si>
  <si>
    <t>Corriente Nominal en A de la carga.</t>
  </si>
  <si>
    <t>Sustituyendo Valores</t>
  </si>
  <si>
    <t>Caída de Tensión en Volts para la In de la Carga</t>
  </si>
  <si>
    <t>Caída de Tensión en Volts para la In del Equipo.</t>
  </si>
  <si>
    <t>Para la Carga</t>
  </si>
  <si>
    <t>Para el Equipo</t>
  </si>
  <si>
    <t>La Protección Contra Sobrecorriente del circuito se realiza de acuerdo la NOM-001-SEDE-2012,</t>
  </si>
  <si>
    <t>El cálculo de desarrollará para este tablero en particular y en caso de existir</t>
  </si>
  <si>
    <t>más tableros de procedera a calcular todos los casos de la misma forma,</t>
  </si>
  <si>
    <t>reflejando únicamente los resultados en forma tabulada.</t>
  </si>
  <si>
    <t>El cálculo se realiza por los siguientes métodos basado en la</t>
  </si>
  <si>
    <t>CALCULANDO EL ÁREA NECESARIA DEL CONDUCTOR Y</t>
  </si>
  <si>
    <t>De los resultados obtenidos se concluye que el suministro eléctrico al equipo se hará</t>
  </si>
  <si>
    <t>4. Cálculo del Calibre de los conductores por Caída de Tensión</t>
  </si>
  <si>
    <t>4.1 Caída de Tensión en Volts.</t>
  </si>
  <si>
    <t>4.2 Regulación.</t>
  </si>
  <si>
    <t>5.  Selección del Conductor por Corto Circuito</t>
  </si>
  <si>
    <t xml:space="preserve">    Selección final del conductor.</t>
  </si>
  <si>
    <t xml:space="preserve">6.  Cálculo de la capacidad del dispositivo de </t>
  </si>
  <si>
    <t xml:space="preserve">     Protección Contra Sobrecorriente.</t>
  </si>
  <si>
    <t>7. Cconclusiones.</t>
  </si>
  <si>
    <t>A de Disparo.</t>
  </si>
  <si>
    <t>Para tierra</t>
  </si>
  <si>
    <t>3.4 Selección de los conductores por Ampacidad.</t>
  </si>
  <si>
    <t>3.2 Cálculo de la Corriente Nominal:</t>
  </si>
  <si>
    <t>5.  Selección del conductor por corto circuito.</t>
  </si>
  <si>
    <t xml:space="preserve">    Selección final del Conductor</t>
  </si>
  <si>
    <t>6.  Cálculo de la capacidad del Dispositivo de</t>
  </si>
  <si>
    <t xml:space="preserve">     Protección contra sobre corriente.</t>
  </si>
  <si>
    <t>7. Conclusiones.</t>
  </si>
  <si>
    <t>4. Cálculo del calibre de los Conductores por caída de Tensión.</t>
  </si>
  <si>
    <t>3.  Cálculo del calibre de los conductores por Ampacidad.</t>
  </si>
  <si>
    <t>3.3 Corriente Corregida.</t>
  </si>
  <si>
    <t>3.  Cálculo del calibre de los conductores por ampacidad.</t>
  </si>
  <si>
    <t>3.  Cálculo del calibre de los Conductores por Ampacidad.</t>
  </si>
  <si>
    <t>3.2 Cálculo de la corriente:</t>
  </si>
  <si>
    <t>3.4 Selección de los Conductores por Ampacidad.</t>
  </si>
  <si>
    <t>4. Cálculo del calibre de los Conductores por Caída de Tensión.</t>
  </si>
  <si>
    <t>4.1 Cáida de Tensión en Volts.</t>
  </si>
  <si>
    <t>Caída de Tensión en Volts.</t>
  </si>
  <si>
    <t>5.    Selección final del Conductor.</t>
  </si>
  <si>
    <t xml:space="preserve">     Protección contra sobre Corriente.</t>
  </si>
  <si>
    <t>ACAELE V9.0.28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</si>
</sst>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General\ &quot; W&quot;"/>
    <numFmt numFmtId="167" formatCode="General\ &quot; VA&quot;"/>
    <numFmt numFmtId="168" formatCode="General\ &quot; CP&quot;"/>
    <numFmt numFmtId="169" formatCode="_(&quot;$&quot;* #,##0_);_(&quot;$&quot;* \(#,##0\);_(&quot;$&quot;* &quot;-&quot;_);_(@_)"/>
    <numFmt numFmtId="170" formatCode="_(* #,##0_);_(* \(#,##0\);_(* &quot;-&quot;_);_(@_)"/>
    <numFmt numFmtId="171" formatCode="0.00&quot; A&quot;"/>
    <numFmt numFmtId="172" formatCode="0.000000000"/>
    <numFmt numFmtId="173" formatCode="###&quot; %&quot;"/>
  </numFmts>
  <fonts count="71">
    <font>
      <sz val="10"/>
      <name val="Arial"/>
    </font>
    <font>
      <sz val="10"/>
      <name val="Arial"/>
      <family val="2"/>
    </font>
    <font>
      <sz val="10"/>
      <name val="RomanD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b/>
      <sz val="12"/>
      <color indexed="10"/>
      <name val="Arial"/>
      <family val="2"/>
    </font>
    <font>
      <sz val="5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42"/>
      <name val="Arial"/>
      <family val="2"/>
    </font>
    <font>
      <b/>
      <sz val="14"/>
      <color indexed="10"/>
      <name val="Arial"/>
      <family val="2"/>
    </font>
    <font>
      <b/>
      <sz val="14"/>
      <color indexed="12"/>
      <name val="Arial"/>
      <family val="2"/>
    </font>
    <font>
      <b/>
      <sz val="16"/>
      <color indexed="12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sz val="10"/>
      <color indexed="44"/>
      <name val="Arial"/>
      <family val="2"/>
    </font>
    <font>
      <sz val="10"/>
      <color indexed="22"/>
      <name val="Arial"/>
      <family val="2"/>
    </font>
    <font>
      <sz val="8"/>
      <name val="MS Sans Serif"/>
      <family val="2"/>
    </font>
    <font>
      <sz val="14"/>
      <name val="Frutiger-Light"/>
    </font>
    <font>
      <sz val="10"/>
      <name val="Frutiger-Light"/>
    </font>
    <font>
      <sz val="8"/>
      <name val="Frutiger-Light"/>
    </font>
    <font>
      <sz val="8"/>
      <color indexed="10"/>
      <name val="Frutiger-Light"/>
    </font>
    <font>
      <sz val="10"/>
      <color indexed="10"/>
      <name val="Frutiger-Light"/>
    </font>
    <font>
      <sz val="10"/>
      <color indexed="12"/>
      <name val="Frutiger-Light"/>
    </font>
    <font>
      <sz val="9"/>
      <name val="Frutiger-Light"/>
    </font>
    <font>
      <sz val="10"/>
      <name val="Frutiger-Bold"/>
    </font>
    <font>
      <sz val="14"/>
      <name val="Frutiger-Bold"/>
    </font>
    <font>
      <sz val="14"/>
      <color indexed="10"/>
      <name val="Frutiger-Light"/>
    </font>
    <font>
      <sz val="14"/>
      <color indexed="10"/>
      <name val="Frutiger-Bold"/>
    </font>
    <font>
      <sz val="14"/>
      <color indexed="12"/>
      <name val="Frutiger-Light"/>
    </font>
    <font>
      <sz val="10"/>
      <color indexed="9"/>
      <name val="Frutiger-Light"/>
    </font>
    <font>
      <sz val="10"/>
      <color indexed="39"/>
      <name val="Frutiger-Light"/>
    </font>
    <font>
      <vertAlign val="superscript"/>
      <sz val="10"/>
      <name val="Frutiger-Light"/>
    </font>
    <font>
      <sz val="12"/>
      <name val="Frutiger-Light"/>
    </font>
    <font>
      <sz val="20"/>
      <name val="Frutiger-Light"/>
    </font>
    <font>
      <sz val="18"/>
      <name val="Frutiger-Light"/>
    </font>
    <font>
      <sz val="5"/>
      <name val="Frutiger-Light"/>
    </font>
    <font>
      <b/>
      <sz val="10"/>
      <name val="Frutiger-Light"/>
    </font>
    <font>
      <sz val="12"/>
      <name val="Frutiger-Bold"/>
    </font>
    <font>
      <sz val="12"/>
      <color indexed="39"/>
      <name val="Frutiger-Light"/>
    </font>
    <font>
      <b/>
      <sz val="14"/>
      <name val="Frutiger-Light"/>
    </font>
    <font>
      <b/>
      <sz val="12"/>
      <name val="Frutiger-Light"/>
    </font>
    <font>
      <b/>
      <sz val="8"/>
      <name val="Frutiger-Light"/>
    </font>
    <font>
      <b/>
      <sz val="11"/>
      <name val="Frutiger-Light"/>
    </font>
    <font>
      <b/>
      <sz val="12"/>
      <color indexed="39"/>
      <name val="Frutiger-Light"/>
    </font>
    <font>
      <sz val="11"/>
      <name val="Arial"/>
      <family val="2"/>
    </font>
    <font>
      <b/>
      <sz val="11"/>
      <name val="Arial"/>
      <family val="2"/>
    </font>
    <font>
      <sz val="7"/>
      <name val="Times New Roman"/>
      <family val="1"/>
    </font>
    <font>
      <b/>
      <sz val="7"/>
      <name val="Times New Roman"/>
      <family val="1"/>
    </font>
    <font>
      <sz val="6"/>
      <name val="Frutiger-Light"/>
    </font>
    <font>
      <sz val="10"/>
      <color theme="0"/>
      <name val="Frutiger-Light"/>
    </font>
    <font>
      <sz val="10"/>
      <color theme="0"/>
      <name val="Arial"/>
      <family val="2"/>
    </font>
    <font>
      <b/>
      <sz val="11"/>
      <color rgb="FF00B0F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8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0"/>
      </left>
      <right/>
      <top style="thin">
        <color indexed="60"/>
      </top>
      <bottom style="thin">
        <color indexed="60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/>
      <bottom style="thin">
        <color indexed="60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 style="medium">
        <color indexed="64"/>
      </right>
      <top/>
      <bottom style="thin">
        <color indexed="60"/>
      </bottom>
      <diagonal/>
    </border>
    <border>
      <left/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 style="thin">
        <color indexed="48"/>
      </right>
      <top/>
      <bottom style="thin">
        <color indexed="48"/>
      </bottom>
      <diagonal/>
    </border>
    <border>
      <left style="thin">
        <color indexed="48"/>
      </left>
      <right/>
      <top/>
      <bottom style="thin">
        <color indexed="48"/>
      </bottom>
      <diagonal/>
    </border>
    <border>
      <left style="medium">
        <color indexed="64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thin">
        <color indexed="50"/>
      </right>
      <top/>
      <bottom style="thin">
        <color indexed="50"/>
      </bottom>
      <diagonal/>
    </border>
    <border>
      <left style="thin">
        <color indexed="50"/>
      </left>
      <right style="medium">
        <color indexed="64"/>
      </right>
      <top/>
      <bottom style="thin">
        <color indexed="50"/>
      </bottom>
      <diagonal/>
    </border>
    <border>
      <left style="medium">
        <color indexed="64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thin">
        <color indexed="52"/>
      </right>
      <top/>
      <bottom style="thin">
        <color indexed="52"/>
      </bottom>
      <diagonal/>
    </border>
    <border>
      <left style="thin">
        <color indexed="52"/>
      </left>
      <right style="medium">
        <color indexed="64"/>
      </right>
      <top/>
      <bottom style="thin">
        <color indexed="52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64"/>
      </right>
      <top/>
      <bottom style="thin">
        <color indexed="12"/>
      </bottom>
      <diagonal/>
    </border>
    <border>
      <left style="thin">
        <color indexed="10"/>
      </left>
      <right style="medium">
        <color indexed="64"/>
      </right>
      <top/>
      <bottom style="thin">
        <color indexed="10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0"/>
      </right>
      <top/>
      <bottom style="thin">
        <color indexed="60"/>
      </bottom>
      <diagonal/>
    </border>
    <border>
      <left style="thin">
        <color indexed="60"/>
      </left>
      <right/>
      <top/>
      <bottom style="thin">
        <color indexed="6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medium">
        <color indexed="64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medium">
        <color indexed="64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medium">
        <color indexed="64"/>
      </top>
      <bottom style="thin">
        <color indexed="17"/>
      </bottom>
      <diagonal/>
    </border>
    <border>
      <left style="thin">
        <color indexed="50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thin">
        <color indexed="20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/>
      <top style="thin">
        <color indexed="60"/>
      </top>
      <bottom/>
      <diagonal/>
    </border>
    <border>
      <left style="medium">
        <color indexed="64"/>
      </left>
      <right style="thin">
        <color indexed="60"/>
      </right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/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64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thin">
        <color indexed="10"/>
      </top>
      <bottom style="medium">
        <color indexed="64"/>
      </bottom>
      <diagonal/>
    </border>
    <border>
      <left/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/>
      <diagonal/>
    </border>
    <border>
      <left style="thin">
        <color indexed="48"/>
      </left>
      <right/>
      <top style="thin">
        <color indexed="48"/>
      </top>
      <bottom/>
      <diagonal/>
    </border>
    <border>
      <left style="medium">
        <color indexed="64"/>
      </left>
      <right style="thin">
        <color indexed="10"/>
      </right>
      <top style="thin">
        <color indexed="10"/>
      </top>
      <bottom/>
      <diagonal/>
    </border>
    <border>
      <left style="medium">
        <color indexed="64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thin">
        <color indexed="50"/>
      </right>
      <top style="thin">
        <color indexed="50"/>
      </top>
      <bottom/>
      <diagonal/>
    </border>
    <border>
      <left style="thin">
        <color indexed="50"/>
      </left>
      <right style="medium">
        <color indexed="64"/>
      </right>
      <top style="thin">
        <color indexed="50"/>
      </top>
      <bottom/>
      <diagonal/>
    </border>
    <border>
      <left style="medium">
        <color indexed="64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medium">
        <color indexed="64"/>
      </right>
      <top style="thin">
        <color indexed="52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/>
      <top style="thin">
        <color indexed="60"/>
      </top>
      <bottom/>
      <diagonal/>
    </border>
    <border>
      <left style="thin">
        <color indexed="60"/>
      </left>
      <right style="medium">
        <color indexed="64"/>
      </right>
      <top style="thin">
        <color indexed="60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medium">
        <color indexed="64"/>
      </left>
      <right style="thin">
        <color indexed="20"/>
      </right>
      <top style="thin">
        <color indexed="20"/>
      </top>
      <bottom style="medium">
        <color indexed="64"/>
      </bottom>
      <diagonal/>
    </border>
    <border>
      <left style="thin">
        <color indexed="20"/>
      </left>
      <right style="medium">
        <color indexed="64"/>
      </right>
      <top style="thin">
        <color indexed="20"/>
      </top>
      <bottom style="medium">
        <color indexed="64"/>
      </bottom>
      <diagonal/>
    </border>
    <border>
      <left style="medium">
        <color indexed="64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medium">
        <color indexed="64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thin">
        <color indexed="60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medium">
        <color indexed="64"/>
      </top>
      <bottom style="medium">
        <color indexed="64"/>
      </bottom>
      <diagonal/>
    </border>
    <border>
      <left style="thin">
        <color indexed="48"/>
      </left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0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11"/>
      </right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0"/>
      </left>
      <right/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64"/>
      </right>
      <top style="thin">
        <color indexed="12"/>
      </top>
      <bottom style="thin">
        <color indexed="12"/>
      </bottom>
      <diagonal/>
    </border>
    <border>
      <left/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/>
      <top style="thin">
        <color indexed="48"/>
      </top>
      <bottom style="thin">
        <color indexed="48"/>
      </bottom>
      <diagonal/>
    </border>
    <border>
      <left style="medium">
        <color indexed="64"/>
      </left>
      <right style="thin">
        <color indexed="50"/>
      </right>
      <top style="thin">
        <color indexed="50"/>
      </top>
      <bottom style="thin">
        <color indexed="50"/>
      </bottom>
      <diagonal/>
    </border>
    <border>
      <left style="thin">
        <color indexed="50"/>
      </left>
      <right style="medium">
        <color indexed="64"/>
      </right>
      <top style="thin">
        <color indexed="50"/>
      </top>
      <bottom style="thin">
        <color indexed="50"/>
      </bottom>
      <diagonal/>
    </border>
    <border>
      <left style="medium">
        <color indexed="64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medium">
        <color indexed="64"/>
      </right>
      <top style="thin">
        <color indexed="52"/>
      </top>
      <bottom style="thin">
        <color indexed="52"/>
      </bottom>
      <diagonal/>
    </border>
    <border>
      <left style="medium">
        <color indexed="64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thin">
        <color indexed="50"/>
      </right>
      <top style="medium">
        <color indexed="64"/>
      </top>
      <bottom style="medium">
        <color indexed="64"/>
      </bottom>
      <diagonal/>
    </border>
    <border>
      <left style="thin">
        <color indexed="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thin">
        <color indexed="52"/>
      </right>
      <top style="medium">
        <color indexed="64"/>
      </top>
      <bottom style="medium">
        <color indexed="64"/>
      </bottom>
      <diagonal/>
    </border>
    <border>
      <left style="thin">
        <color indexed="5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10"/>
      </right>
      <top/>
      <bottom style="thin">
        <color indexed="10"/>
      </bottom>
      <diagonal/>
    </border>
    <border>
      <left style="medium">
        <color indexed="64"/>
      </left>
      <right style="thin">
        <color indexed="12"/>
      </right>
      <top/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 style="medium">
        <color indexed="64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thin">
        <color indexed="17"/>
      </bottom>
      <diagonal/>
    </border>
    <border>
      <left style="thin">
        <color indexed="17"/>
      </left>
      <right/>
      <top style="thin">
        <color indexed="17"/>
      </top>
      <bottom style="medium">
        <color indexed="64"/>
      </bottom>
      <diagonal/>
    </border>
    <border>
      <left style="thin">
        <color indexed="11"/>
      </left>
      <right/>
      <top style="medium">
        <color indexed="64"/>
      </top>
      <bottom style="medium">
        <color indexed="64"/>
      </bottom>
      <diagonal/>
    </border>
    <border>
      <left style="thin">
        <color indexed="11"/>
      </left>
      <right/>
      <top/>
      <bottom/>
      <diagonal/>
    </border>
    <border>
      <left/>
      <right/>
      <top style="thin">
        <color indexed="55"/>
      </top>
      <bottom/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0"/>
      </right>
      <top style="medium">
        <color indexed="64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60"/>
      </right>
      <top style="thin">
        <color indexed="6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170" fontId="27" fillId="0" borderId="0" applyFont="0" applyFill="0" applyBorder="0" applyAlignment="0" applyProtection="0"/>
    <xf numFmtId="169" fontId="27" fillId="0" borderId="0" applyFont="0" applyFill="0" applyBorder="0" applyAlignment="0" applyProtection="0"/>
    <xf numFmtId="0" fontId="3" fillId="0" borderId="0"/>
  </cellStyleXfs>
  <cellXfs count="1236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14" fillId="0" borderId="1" xfId="0" applyNumberFormat="1" applyFont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2" fontId="6" fillId="0" borderId="0" xfId="0" applyNumberFormat="1" applyFont="1" applyProtection="1">
      <protection hidden="1"/>
    </xf>
    <xf numFmtId="2" fontId="6" fillId="0" borderId="0" xfId="0" applyNumberFormat="1" applyFont="1" applyAlignment="1" applyProtection="1">
      <alignment horizontal="right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164" fontId="6" fillId="0" borderId="0" xfId="0" applyNumberFormat="1" applyFont="1" applyProtection="1"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4" fontId="18" fillId="0" borderId="0" xfId="0" applyNumberFormat="1" applyFont="1" applyProtection="1">
      <protection hidden="1"/>
    </xf>
    <xf numFmtId="164" fontId="6" fillId="0" borderId="0" xfId="0" applyNumberFormat="1" applyFont="1" applyAlignment="1" applyProtection="1">
      <alignment horizontal="right"/>
      <protection hidden="1"/>
    </xf>
    <xf numFmtId="2" fontId="7" fillId="0" borderId="0" xfId="0" applyNumberFormat="1" applyFont="1" applyProtection="1">
      <protection hidden="1"/>
    </xf>
    <xf numFmtId="2" fontId="13" fillId="0" borderId="0" xfId="0" applyNumberFormat="1" applyFont="1" applyProtection="1">
      <protection hidden="1"/>
    </xf>
    <xf numFmtId="0" fontId="13" fillId="0" borderId="0" xfId="0" applyFont="1" applyProtection="1">
      <protection hidden="1"/>
    </xf>
    <xf numFmtId="2" fontId="6" fillId="0" borderId="7" xfId="0" applyNumberFormat="1" applyFont="1" applyBorder="1" applyProtection="1">
      <protection hidden="1"/>
    </xf>
    <xf numFmtId="2" fontId="6" fillId="0" borderId="8" xfId="0" applyNumberFormat="1" applyFont="1" applyBorder="1" applyProtection="1">
      <protection hidden="1"/>
    </xf>
    <xf numFmtId="2" fontId="6" fillId="0" borderId="9" xfId="0" applyNumberFormat="1" applyFont="1" applyBorder="1" applyProtection="1">
      <protection hidden="1"/>
    </xf>
    <xf numFmtId="164" fontId="6" fillId="0" borderId="9" xfId="0" applyNumberFormat="1" applyFont="1" applyBorder="1" applyProtection="1">
      <protection hidden="1"/>
    </xf>
    <xf numFmtId="2" fontId="6" fillId="0" borderId="10" xfId="0" applyNumberFormat="1" applyFont="1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1" fontId="0" fillId="0" borderId="12" xfId="0" applyNumberFormat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2" fontId="0" fillId="0" borderId="12" xfId="0" applyNumberFormat="1" applyBorder="1" applyAlignment="1" applyProtection="1">
      <alignment horizontal="center"/>
      <protection hidden="1"/>
    </xf>
    <xf numFmtId="164" fontId="0" fillId="0" borderId="12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1" fontId="0" fillId="0" borderId="15" xfId="0" applyNumberFormat="1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2" fontId="0" fillId="0" borderId="18" xfId="0" applyNumberFormat="1" applyBorder="1" applyAlignment="1" applyProtection="1">
      <alignment horizontal="center"/>
      <protection hidden="1"/>
    </xf>
    <xf numFmtId="1" fontId="0" fillId="0" borderId="18" xfId="0" applyNumberForma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164" fontId="0" fillId="0" borderId="18" xfId="0" applyNumberFormat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3" fontId="0" fillId="0" borderId="1" xfId="0" applyNumberFormat="1" applyBorder="1" applyAlignment="1" applyProtection="1">
      <alignment horizontal="center" vertical="center"/>
      <protection hidden="1"/>
    </xf>
    <xf numFmtId="2" fontId="0" fillId="0" borderId="2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3" fontId="0" fillId="0" borderId="26" xfId="0" applyNumberFormat="1" applyBorder="1" applyAlignment="1" applyProtection="1">
      <alignment vertical="center"/>
      <protection hidden="1"/>
    </xf>
    <xf numFmtId="3" fontId="0" fillId="0" borderId="27" xfId="0" applyNumberForma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3" fontId="0" fillId="0" borderId="2" xfId="0" applyNumberFormat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2" fontId="0" fillId="0" borderId="29" xfId="0" applyNumberFormat="1" applyBorder="1" applyAlignment="1" applyProtection="1">
      <alignment horizontal="center" vertical="center"/>
      <protection hidden="1"/>
    </xf>
    <xf numFmtId="3" fontId="0" fillId="0" borderId="30" xfId="0" applyNumberFormat="1" applyBorder="1" applyAlignment="1" applyProtection="1">
      <alignment vertical="center"/>
      <protection hidden="1"/>
    </xf>
    <xf numFmtId="3" fontId="0" fillId="0" borderId="31" xfId="0" applyNumberFormat="1" applyBorder="1" applyAlignment="1" applyProtection="1">
      <alignment vertical="center"/>
      <protection hidden="1"/>
    </xf>
    <xf numFmtId="3" fontId="0" fillId="0" borderId="32" xfId="0" applyNumberFormat="1" applyBorder="1" applyAlignment="1" applyProtection="1">
      <alignment vertical="center"/>
      <protection hidden="1"/>
    </xf>
    <xf numFmtId="2" fontId="0" fillId="0" borderId="33" xfId="0" applyNumberFormat="1" applyBorder="1" applyProtection="1">
      <protection hidden="1"/>
    </xf>
    <xf numFmtId="4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2" fontId="0" fillId="0" borderId="6" xfId="0" applyNumberFormat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8" fillId="2" borderId="36" xfId="0" applyFont="1" applyFill="1" applyBorder="1" applyProtection="1">
      <protection hidden="1"/>
    </xf>
    <xf numFmtId="0" fontId="8" fillId="2" borderId="37" xfId="0" applyFont="1" applyFill="1" applyBorder="1" applyProtection="1">
      <protection hidden="1"/>
    </xf>
    <xf numFmtId="0" fontId="0" fillId="2" borderId="38" xfId="0" applyFill="1" applyBorder="1" applyProtection="1"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2" fontId="0" fillId="0" borderId="43" xfId="0" applyNumberFormat="1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5" borderId="46" xfId="0" applyFill="1" applyBorder="1" applyAlignment="1" applyProtection="1">
      <alignment horizontal="center"/>
      <protection hidden="1"/>
    </xf>
    <xf numFmtId="0" fontId="0" fillId="5" borderId="44" xfId="0" applyFill="1" applyBorder="1" applyAlignment="1" applyProtection="1">
      <alignment horizontal="center"/>
      <protection hidden="1"/>
    </xf>
    <xf numFmtId="0" fontId="0" fillId="5" borderId="47" xfId="0" applyFill="1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50" xfId="0" applyBorder="1" applyAlignment="1" applyProtection="1">
      <alignment horizontal="center"/>
      <protection hidden="1"/>
    </xf>
    <xf numFmtId="0" fontId="0" fillId="0" borderId="51" xfId="0" applyBorder="1" applyAlignment="1" applyProtection="1">
      <alignment horizontal="center"/>
      <protection hidden="1"/>
    </xf>
    <xf numFmtId="0" fontId="0" fillId="0" borderId="52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5" xfId="0" applyBorder="1" applyAlignment="1" applyProtection="1">
      <alignment horizontal="center"/>
      <protection hidden="1"/>
    </xf>
    <xf numFmtId="0" fontId="0" fillId="0" borderId="56" xfId="0" applyBorder="1" applyAlignment="1" applyProtection="1">
      <alignment horizontal="center"/>
      <protection hidden="1"/>
    </xf>
    <xf numFmtId="0" fontId="0" fillId="0" borderId="57" xfId="0" applyBorder="1" applyAlignment="1" applyProtection="1">
      <alignment horizontal="center"/>
      <protection hidden="1"/>
    </xf>
    <xf numFmtId="0" fontId="0" fillId="4" borderId="58" xfId="0" applyFill="1" applyBorder="1" applyAlignment="1" applyProtection="1">
      <alignment horizontal="center"/>
      <protection hidden="1"/>
    </xf>
    <xf numFmtId="0" fontId="0" fillId="4" borderId="59" xfId="0" applyFill="1" applyBorder="1" applyAlignment="1" applyProtection="1">
      <alignment horizontal="center"/>
      <protection hidden="1"/>
    </xf>
    <xf numFmtId="0" fontId="0" fillId="6" borderId="57" xfId="0" applyFill="1" applyBorder="1" applyAlignment="1" applyProtection="1">
      <alignment horizontal="center"/>
      <protection hidden="1"/>
    </xf>
    <xf numFmtId="0" fontId="0" fillId="6" borderId="60" xfId="0" applyFill="1" applyBorder="1" applyAlignment="1" applyProtection="1">
      <alignment horizontal="center"/>
      <protection hidden="1"/>
    </xf>
    <xf numFmtId="0" fontId="0" fillId="0" borderId="61" xfId="0" applyBorder="1" applyAlignment="1" applyProtection="1">
      <alignment horizontal="center"/>
      <protection hidden="1"/>
    </xf>
    <xf numFmtId="0" fontId="0" fillId="7" borderId="62" xfId="0" applyFill="1" applyBorder="1" applyAlignment="1" applyProtection="1">
      <alignment horizontal="center"/>
      <protection hidden="1"/>
    </xf>
    <xf numFmtId="0" fontId="0" fillId="7" borderId="63" xfId="0" applyFill="1" applyBorder="1" applyAlignment="1" applyProtection="1">
      <alignment horizontal="center"/>
      <protection hidden="1"/>
    </xf>
    <xf numFmtId="0" fontId="0" fillId="4" borderId="64" xfId="0" applyFill="1" applyBorder="1" applyAlignment="1" applyProtection="1">
      <alignment horizontal="center"/>
      <protection hidden="1"/>
    </xf>
    <xf numFmtId="0" fontId="0" fillId="6" borderId="44" xfId="0" applyFill="1" applyBorder="1" applyAlignment="1" applyProtection="1">
      <alignment horizontal="center"/>
      <protection hidden="1"/>
    </xf>
    <xf numFmtId="0" fontId="0" fillId="4" borderId="44" xfId="0" applyFill="1" applyBorder="1" applyAlignment="1" applyProtection="1">
      <alignment horizontal="center"/>
      <protection hidden="1"/>
    </xf>
    <xf numFmtId="0" fontId="0" fillId="6" borderId="65" xfId="0" applyFill="1" applyBorder="1" applyAlignment="1" applyProtection="1">
      <alignment horizontal="center"/>
      <protection hidden="1"/>
    </xf>
    <xf numFmtId="0" fontId="0" fillId="7" borderId="66" xfId="0" applyFill="1" applyBorder="1" applyAlignment="1" applyProtection="1">
      <alignment horizontal="center"/>
      <protection hidden="1"/>
    </xf>
    <xf numFmtId="0" fontId="0" fillId="8" borderId="67" xfId="0" applyFill="1" applyBorder="1" applyAlignment="1" applyProtection="1">
      <alignment horizontal="center"/>
      <protection hidden="1"/>
    </xf>
    <xf numFmtId="2" fontId="0" fillId="5" borderId="68" xfId="0" applyNumberFormat="1" applyFill="1" applyBorder="1" applyAlignment="1" applyProtection="1">
      <alignment horizontal="center"/>
      <protection hidden="1"/>
    </xf>
    <xf numFmtId="2" fontId="0" fillId="5" borderId="69" xfId="0" applyNumberFormat="1" applyFill="1" applyBorder="1" applyAlignment="1" applyProtection="1">
      <alignment horizontal="center"/>
      <protection hidden="1"/>
    </xf>
    <xf numFmtId="0" fontId="0" fillId="4" borderId="46" xfId="0" applyFill="1" applyBorder="1" applyAlignment="1" applyProtection="1">
      <alignment horizontal="center"/>
      <protection hidden="1"/>
    </xf>
    <xf numFmtId="0" fontId="0" fillId="4" borderId="65" xfId="0" applyFill="1" applyBorder="1" applyAlignment="1" applyProtection="1">
      <alignment horizontal="center"/>
      <protection hidden="1"/>
    </xf>
    <xf numFmtId="0" fontId="0" fillId="4" borderId="45" xfId="0" applyFill="1" applyBorder="1" applyAlignment="1" applyProtection="1">
      <alignment horizontal="center"/>
      <protection hidden="1"/>
    </xf>
    <xf numFmtId="0" fontId="0" fillId="6" borderId="46" xfId="0" applyFill="1" applyBorder="1" applyAlignment="1" applyProtection="1">
      <alignment horizontal="center"/>
      <protection hidden="1"/>
    </xf>
    <xf numFmtId="0" fontId="0" fillId="6" borderId="67" xfId="0" applyFill="1" applyBorder="1" applyAlignment="1" applyProtection="1">
      <alignment horizontal="center"/>
      <protection hidden="1"/>
    </xf>
    <xf numFmtId="0" fontId="0" fillId="6" borderId="70" xfId="0" applyFill="1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0" fontId="0" fillId="0" borderId="72" xfId="0" applyBorder="1" applyAlignment="1" applyProtection="1">
      <alignment horizontal="center"/>
      <protection hidden="1"/>
    </xf>
    <xf numFmtId="0" fontId="0" fillId="0" borderId="73" xfId="0" applyBorder="1" applyAlignment="1" applyProtection="1">
      <alignment horizontal="center"/>
      <protection hidden="1"/>
    </xf>
    <xf numFmtId="2" fontId="0" fillId="0" borderId="74" xfId="0" applyNumberFormat="1" applyBorder="1" applyAlignment="1" applyProtection="1">
      <alignment horizontal="center"/>
      <protection hidden="1"/>
    </xf>
    <xf numFmtId="0" fontId="0" fillId="7" borderId="75" xfId="0" applyFill="1" applyBorder="1" applyAlignment="1" applyProtection="1">
      <alignment horizontal="center"/>
      <protection hidden="1"/>
    </xf>
    <xf numFmtId="0" fontId="0" fillId="4" borderId="35" xfId="0" applyFill="1" applyBorder="1" applyAlignment="1" applyProtection="1">
      <alignment horizontal="center"/>
      <protection hidden="1"/>
    </xf>
    <xf numFmtId="0" fontId="0" fillId="6" borderId="61" xfId="0" applyFill="1" applyBorder="1" applyAlignment="1" applyProtection="1">
      <alignment horizontal="center"/>
      <protection hidden="1"/>
    </xf>
    <xf numFmtId="2" fontId="0" fillId="4" borderId="61" xfId="0" applyNumberFormat="1" applyFill="1" applyBorder="1" applyAlignment="1" applyProtection="1">
      <alignment horizontal="center"/>
      <protection hidden="1"/>
    </xf>
    <xf numFmtId="2" fontId="0" fillId="6" borderId="34" xfId="0" applyNumberFormat="1" applyFill="1" applyBorder="1" applyAlignment="1" applyProtection="1">
      <alignment horizontal="center"/>
      <protection hidden="1"/>
    </xf>
    <xf numFmtId="164" fontId="0" fillId="7" borderId="66" xfId="0" applyNumberFormat="1" applyFill="1" applyBorder="1" applyAlignment="1" applyProtection="1">
      <alignment horizontal="center"/>
      <protection hidden="1"/>
    </xf>
    <xf numFmtId="2" fontId="0" fillId="8" borderId="61" xfId="0" applyNumberFormat="1" applyFill="1" applyBorder="1" applyAlignment="1" applyProtection="1">
      <alignment horizontal="center"/>
      <protection hidden="1"/>
    </xf>
    <xf numFmtId="164" fontId="0" fillId="4" borderId="61" xfId="0" applyNumberFormat="1" applyFill="1" applyBorder="1" applyAlignment="1" applyProtection="1">
      <alignment horizontal="center"/>
      <protection hidden="1"/>
    </xf>
    <xf numFmtId="1" fontId="0" fillId="4" borderId="61" xfId="0" applyNumberFormat="1" applyFill="1" applyBorder="1" applyAlignment="1" applyProtection="1">
      <alignment horizontal="center"/>
      <protection hidden="1"/>
    </xf>
    <xf numFmtId="165" fontId="0" fillId="6" borderId="61" xfId="0" applyNumberFormat="1" applyFill="1" applyBorder="1" applyAlignment="1" applyProtection="1">
      <alignment horizontal="center"/>
      <protection hidden="1"/>
    </xf>
    <xf numFmtId="165" fontId="0" fillId="4" borderId="76" xfId="0" applyNumberFormat="1" applyFill="1" applyBorder="1" applyAlignment="1" applyProtection="1">
      <alignment horizontal="center"/>
      <protection hidden="1"/>
    </xf>
    <xf numFmtId="165" fontId="0" fillId="4" borderId="61" xfId="0" applyNumberFormat="1" applyFill="1" applyBorder="1" applyAlignment="1" applyProtection="1">
      <alignment horizontal="center"/>
      <protection hidden="1"/>
    </xf>
    <xf numFmtId="2" fontId="0" fillId="4" borderId="77" xfId="0" applyNumberFormat="1" applyFill="1" applyBorder="1" applyAlignment="1" applyProtection="1">
      <alignment horizontal="center"/>
      <protection hidden="1"/>
    </xf>
    <xf numFmtId="165" fontId="0" fillId="6" borderId="76" xfId="0" applyNumberFormat="1" applyFill="1" applyBorder="1" applyAlignment="1" applyProtection="1">
      <alignment horizontal="center"/>
      <protection hidden="1"/>
    </xf>
    <xf numFmtId="2" fontId="0" fillId="6" borderId="61" xfId="0" applyNumberFormat="1" applyFill="1" applyBorder="1" applyAlignment="1" applyProtection="1">
      <alignment horizontal="center"/>
      <protection hidden="1"/>
    </xf>
    <xf numFmtId="2" fontId="0" fillId="6" borderId="78" xfId="0" applyNumberFormat="1" applyFill="1" applyBorder="1" applyAlignment="1" applyProtection="1">
      <alignment horizontal="center"/>
      <protection hidden="1"/>
    </xf>
    <xf numFmtId="0" fontId="0" fillId="0" borderId="79" xfId="0" applyBorder="1" applyAlignment="1" applyProtection="1">
      <alignment horizontal="center"/>
      <protection hidden="1"/>
    </xf>
    <xf numFmtId="0" fontId="0" fillId="0" borderId="80" xfId="0" applyBorder="1" applyAlignment="1" applyProtection="1">
      <alignment horizontal="center"/>
      <protection hidden="1"/>
    </xf>
    <xf numFmtId="2" fontId="0" fillId="0" borderId="81" xfId="0" applyNumberFormat="1" applyBorder="1" applyAlignment="1" applyProtection="1">
      <alignment horizontal="center"/>
      <protection hidden="1"/>
    </xf>
    <xf numFmtId="0" fontId="0" fillId="0" borderId="82" xfId="0" applyBorder="1" applyAlignment="1" applyProtection="1">
      <alignment horizontal="center"/>
      <protection hidden="1"/>
    </xf>
    <xf numFmtId="0" fontId="0" fillId="0" borderId="83" xfId="0" applyBorder="1" applyAlignment="1" applyProtection="1">
      <alignment horizontal="center"/>
      <protection hidden="1"/>
    </xf>
    <xf numFmtId="0" fontId="0" fillId="5" borderId="84" xfId="0" applyFill="1" applyBorder="1" applyAlignment="1" applyProtection="1">
      <alignment horizontal="center"/>
      <protection hidden="1"/>
    </xf>
    <xf numFmtId="0" fontId="0" fillId="5" borderId="82" xfId="0" applyFill="1" applyBorder="1" applyAlignment="1" applyProtection="1">
      <alignment horizontal="center"/>
      <protection hidden="1"/>
    </xf>
    <xf numFmtId="0" fontId="0" fillId="5" borderId="85" xfId="0" applyFill="1" applyBorder="1" applyAlignment="1" applyProtection="1">
      <alignment horizontal="center"/>
      <protection hidden="1"/>
    </xf>
    <xf numFmtId="0" fontId="0" fillId="4" borderId="86" xfId="0" applyFill="1" applyBorder="1" applyAlignment="1" applyProtection="1">
      <alignment horizontal="center"/>
      <protection hidden="1"/>
    </xf>
    <xf numFmtId="2" fontId="0" fillId="4" borderId="87" xfId="0" applyNumberFormat="1" applyFill="1" applyBorder="1" applyAlignment="1" applyProtection="1">
      <alignment horizontal="center"/>
      <protection hidden="1"/>
    </xf>
    <xf numFmtId="1" fontId="0" fillId="4" borderId="87" xfId="0" applyNumberFormat="1" applyFill="1" applyBorder="1" applyAlignment="1" applyProtection="1">
      <alignment horizontal="center"/>
      <protection hidden="1"/>
    </xf>
    <xf numFmtId="1" fontId="0" fillId="4" borderId="88" xfId="0" applyNumberFormat="1" applyFill="1" applyBorder="1" applyAlignment="1" applyProtection="1">
      <alignment horizontal="center"/>
      <protection hidden="1"/>
    </xf>
    <xf numFmtId="0" fontId="0" fillId="6" borderId="89" xfId="0" applyFill="1" applyBorder="1" applyAlignment="1" applyProtection="1">
      <alignment horizontal="center"/>
      <protection hidden="1"/>
    </xf>
    <xf numFmtId="2" fontId="0" fillId="6" borderId="90" xfId="0" applyNumberFormat="1" applyFill="1" applyBorder="1" applyAlignment="1" applyProtection="1">
      <alignment horizontal="center"/>
      <protection hidden="1"/>
    </xf>
    <xf numFmtId="1" fontId="0" fillId="6" borderId="90" xfId="0" applyNumberFormat="1" applyFill="1" applyBorder="1" applyAlignment="1" applyProtection="1">
      <alignment horizontal="center"/>
      <protection hidden="1"/>
    </xf>
    <xf numFmtId="1" fontId="0" fillId="6" borderId="91" xfId="0" applyNumberFormat="1" applyFill="1" applyBorder="1" applyAlignment="1" applyProtection="1">
      <alignment horizontal="center"/>
      <protection hidden="1"/>
    </xf>
    <xf numFmtId="2" fontId="0" fillId="5" borderId="84" xfId="0" applyNumberFormat="1" applyFill="1" applyBorder="1" applyAlignment="1" applyProtection="1">
      <alignment horizontal="center"/>
      <protection hidden="1"/>
    </xf>
    <xf numFmtId="0" fontId="0" fillId="0" borderId="92" xfId="0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center"/>
      <protection hidden="1"/>
    </xf>
    <xf numFmtId="0" fontId="0" fillId="0" borderId="94" xfId="0" applyBorder="1" applyAlignment="1" applyProtection="1">
      <alignment horizontal="center"/>
      <protection hidden="1"/>
    </xf>
    <xf numFmtId="2" fontId="0" fillId="0" borderId="95" xfId="0" applyNumberFormat="1" applyBorder="1" applyAlignment="1" applyProtection="1">
      <alignment horizontal="center"/>
      <protection hidden="1"/>
    </xf>
    <xf numFmtId="2" fontId="0" fillId="0" borderId="96" xfId="0" applyNumberFormat="1" applyBorder="1" applyAlignment="1" applyProtection="1">
      <alignment horizontal="center"/>
      <protection hidden="1"/>
    </xf>
    <xf numFmtId="2" fontId="0" fillId="0" borderId="97" xfId="0" applyNumberFormat="1" applyBorder="1" applyAlignment="1" applyProtection="1">
      <alignment horizontal="center"/>
      <protection hidden="1"/>
    </xf>
    <xf numFmtId="2" fontId="0" fillId="0" borderId="98" xfId="0" applyNumberFormat="1" applyBorder="1" applyAlignment="1" applyProtection="1">
      <alignment horizontal="center"/>
      <protection hidden="1"/>
    </xf>
    <xf numFmtId="2" fontId="0" fillId="0" borderId="99" xfId="0" applyNumberFormat="1" applyBorder="1" applyAlignment="1" applyProtection="1">
      <alignment horizontal="center"/>
      <protection hidden="1"/>
    </xf>
    <xf numFmtId="2" fontId="0" fillId="0" borderId="100" xfId="0" applyNumberFormat="1" applyBorder="1" applyAlignment="1" applyProtection="1">
      <alignment horizontal="center"/>
      <protection hidden="1"/>
    </xf>
    <xf numFmtId="2" fontId="0" fillId="0" borderId="101" xfId="0" applyNumberFormat="1" applyBorder="1" applyAlignment="1" applyProtection="1">
      <alignment horizontal="center"/>
      <protection hidden="1"/>
    </xf>
    <xf numFmtId="2" fontId="0" fillId="0" borderId="102" xfId="0" applyNumberFormat="1" applyBorder="1" applyAlignment="1" applyProtection="1">
      <alignment horizontal="center"/>
      <protection hidden="1"/>
    </xf>
    <xf numFmtId="0" fontId="0" fillId="0" borderId="103" xfId="0" applyBorder="1" applyAlignment="1" applyProtection="1">
      <alignment horizontal="center"/>
      <protection hidden="1"/>
    </xf>
    <xf numFmtId="0" fontId="5" fillId="9" borderId="104" xfId="0" applyFont="1" applyFill="1" applyBorder="1" applyAlignment="1" applyProtection="1">
      <alignment horizontal="center"/>
      <protection hidden="1"/>
    </xf>
    <xf numFmtId="2" fontId="3" fillId="4" borderId="87" xfId="0" applyNumberFormat="1" applyFont="1" applyFill="1" applyBorder="1" applyAlignment="1" applyProtection="1">
      <alignment horizontal="center"/>
      <protection hidden="1"/>
    </xf>
    <xf numFmtId="0" fontId="0" fillId="4" borderId="88" xfId="0" applyFill="1" applyBorder="1" applyAlignment="1" applyProtection="1">
      <alignment horizontal="center"/>
      <protection hidden="1"/>
    </xf>
    <xf numFmtId="1" fontId="5" fillId="6" borderId="89" xfId="0" applyNumberFormat="1" applyFont="1" applyFill="1" applyBorder="1" applyAlignment="1" applyProtection="1">
      <alignment horizontal="center"/>
      <protection hidden="1"/>
    </xf>
    <xf numFmtId="2" fontId="3" fillId="6" borderId="90" xfId="0" applyNumberFormat="1" applyFont="1" applyFill="1" applyBorder="1" applyAlignment="1" applyProtection="1">
      <alignment horizontal="center"/>
      <protection hidden="1"/>
    </xf>
    <xf numFmtId="0" fontId="0" fillId="6" borderId="90" xfId="0" applyFill="1" applyBorder="1" applyAlignment="1" applyProtection="1">
      <alignment horizontal="center"/>
      <protection hidden="1"/>
    </xf>
    <xf numFmtId="0" fontId="0" fillId="6" borderId="91" xfId="0" applyFill="1" applyBorder="1" applyAlignment="1" applyProtection="1">
      <alignment horizontal="center"/>
      <protection hidden="1"/>
    </xf>
    <xf numFmtId="2" fontId="0" fillId="10" borderId="104" xfId="0" applyNumberFormat="1" applyFill="1" applyBorder="1" applyAlignment="1" applyProtection="1">
      <alignment horizontal="center"/>
      <protection hidden="1"/>
    </xf>
    <xf numFmtId="0" fontId="0" fillId="0" borderId="105" xfId="0" applyBorder="1" applyAlignment="1" applyProtection="1">
      <alignment horizontal="center"/>
      <protection hidden="1"/>
    </xf>
    <xf numFmtId="0" fontId="0" fillId="7" borderId="28" xfId="0" applyFill="1" applyBorder="1" applyAlignment="1" applyProtection="1">
      <alignment horizontal="center"/>
      <protection hidden="1"/>
    </xf>
    <xf numFmtId="0" fontId="0" fillId="7" borderId="106" xfId="0" applyFill="1" applyBorder="1" applyAlignment="1" applyProtection="1">
      <alignment horizontal="center"/>
      <protection hidden="1"/>
    </xf>
    <xf numFmtId="0" fontId="0" fillId="4" borderId="105" xfId="0" applyFill="1" applyBorder="1" applyAlignment="1" applyProtection="1">
      <alignment horizontal="center"/>
      <protection hidden="1"/>
    </xf>
    <xf numFmtId="0" fontId="0" fillId="6" borderId="82" xfId="0" applyFill="1" applyBorder="1" applyAlignment="1" applyProtection="1">
      <alignment horizontal="center"/>
      <protection hidden="1"/>
    </xf>
    <xf numFmtId="2" fontId="0" fillId="4" borderId="82" xfId="0" applyNumberFormat="1" applyFill="1" applyBorder="1" applyAlignment="1" applyProtection="1">
      <alignment horizontal="center"/>
      <protection hidden="1"/>
    </xf>
    <xf numFmtId="2" fontId="0" fillId="6" borderId="83" xfId="0" applyNumberFormat="1" applyFill="1" applyBorder="1" applyAlignment="1" applyProtection="1">
      <alignment horizontal="center"/>
      <protection hidden="1"/>
    </xf>
    <xf numFmtId="0" fontId="0" fillId="7" borderId="107" xfId="0" applyFill="1" applyBorder="1" applyAlignment="1" applyProtection="1">
      <alignment horizontal="center"/>
      <protection hidden="1"/>
    </xf>
    <xf numFmtId="2" fontId="0" fillId="7" borderId="107" xfId="0" applyNumberFormat="1" applyFill="1" applyBorder="1" applyAlignment="1" applyProtection="1">
      <alignment horizontal="center"/>
      <protection hidden="1"/>
    </xf>
    <xf numFmtId="2" fontId="0" fillId="8" borderId="108" xfId="0" applyNumberFormat="1" applyFill="1" applyBorder="1" applyAlignment="1" applyProtection="1">
      <alignment horizontal="center"/>
      <protection hidden="1"/>
    </xf>
    <xf numFmtId="164" fontId="0" fillId="4" borderId="82" xfId="0" applyNumberFormat="1" applyFill="1" applyBorder="1" applyAlignment="1" applyProtection="1">
      <alignment horizontal="center"/>
      <protection hidden="1"/>
    </xf>
    <xf numFmtId="1" fontId="0" fillId="4" borderId="82" xfId="0" applyNumberFormat="1" applyFill="1" applyBorder="1" applyAlignment="1" applyProtection="1">
      <alignment horizontal="center"/>
      <protection hidden="1"/>
    </xf>
    <xf numFmtId="165" fontId="0" fillId="6" borderId="82" xfId="0" applyNumberFormat="1" applyFill="1" applyBorder="1" applyAlignment="1" applyProtection="1">
      <alignment horizontal="center"/>
      <protection hidden="1"/>
    </xf>
    <xf numFmtId="2" fontId="0" fillId="5" borderId="95" xfId="0" applyNumberFormat="1" applyFill="1" applyBorder="1" applyAlignment="1" applyProtection="1">
      <alignment horizontal="center"/>
      <protection hidden="1"/>
    </xf>
    <xf numFmtId="2" fontId="0" fillId="5" borderId="103" xfId="0" applyNumberFormat="1" applyFill="1" applyBorder="1" applyAlignment="1" applyProtection="1">
      <alignment horizontal="center"/>
      <protection hidden="1"/>
    </xf>
    <xf numFmtId="165" fontId="0" fillId="4" borderId="84" xfId="0" applyNumberFormat="1" applyFill="1" applyBorder="1" applyAlignment="1" applyProtection="1">
      <alignment horizontal="center"/>
      <protection hidden="1"/>
    </xf>
    <xf numFmtId="165" fontId="0" fillId="4" borderId="82" xfId="0" applyNumberFormat="1" applyFill="1" applyBorder="1" applyAlignment="1" applyProtection="1">
      <alignment horizontal="center"/>
      <protection hidden="1"/>
    </xf>
    <xf numFmtId="2" fontId="0" fillId="4" borderId="83" xfId="0" applyNumberFormat="1" applyFill="1" applyBorder="1" applyAlignment="1" applyProtection="1">
      <alignment horizontal="center"/>
      <protection hidden="1"/>
    </xf>
    <xf numFmtId="2" fontId="0" fillId="4" borderId="109" xfId="0" applyNumberFormat="1" applyFill="1" applyBorder="1" applyAlignment="1" applyProtection="1">
      <alignment horizontal="center"/>
      <protection hidden="1"/>
    </xf>
    <xf numFmtId="165" fontId="0" fillId="6" borderId="84" xfId="0" applyNumberFormat="1" applyFill="1" applyBorder="1" applyAlignment="1" applyProtection="1">
      <alignment horizontal="center"/>
      <protection hidden="1"/>
    </xf>
    <xf numFmtId="2" fontId="0" fillId="6" borderId="82" xfId="0" applyNumberFormat="1" applyFill="1" applyBorder="1" applyAlignment="1" applyProtection="1">
      <alignment horizontal="center"/>
      <protection hidden="1"/>
    </xf>
    <xf numFmtId="2" fontId="0" fillId="6" borderId="110" xfId="0" applyNumberFormat="1" applyFill="1" applyBorder="1" applyAlignment="1" applyProtection="1">
      <alignment horizontal="center"/>
      <protection hidden="1"/>
    </xf>
    <xf numFmtId="2" fontId="0" fillId="0" borderId="111" xfId="0" applyNumberFormat="1" applyBorder="1" applyAlignment="1" applyProtection="1">
      <alignment horizontal="center"/>
      <protection hidden="1"/>
    </xf>
    <xf numFmtId="2" fontId="0" fillId="0" borderId="112" xfId="0" applyNumberFormat="1" applyBorder="1" applyAlignment="1" applyProtection="1">
      <alignment horizontal="center"/>
      <protection hidden="1"/>
    </xf>
    <xf numFmtId="0" fontId="0" fillId="0" borderId="113" xfId="0" applyBorder="1" applyAlignment="1" applyProtection="1">
      <alignment horizontal="center"/>
      <protection hidden="1"/>
    </xf>
    <xf numFmtId="0" fontId="0" fillId="0" borderId="114" xfId="0" applyBorder="1" applyAlignment="1" applyProtection="1">
      <alignment horizontal="center"/>
      <protection hidden="1"/>
    </xf>
    <xf numFmtId="2" fontId="0" fillId="0" borderId="115" xfId="0" applyNumberFormat="1" applyBorder="1" applyAlignment="1" applyProtection="1">
      <alignment horizontal="center"/>
      <protection hidden="1"/>
    </xf>
    <xf numFmtId="0" fontId="0" fillId="0" borderId="116" xfId="0" applyBorder="1" applyAlignment="1" applyProtection="1">
      <alignment horizontal="center"/>
      <protection hidden="1"/>
    </xf>
    <xf numFmtId="0" fontId="0" fillId="0" borderId="117" xfId="0" applyBorder="1" applyAlignment="1" applyProtection="1">
      <alignment horizontal="center"/>
      <protection hidden="1"/>
    </xf>
    <xf numFmtId="0" fontId="0" fillId="0" borderId="118" xfId="0" applyBorder="1" applyAlignment="1" applyProtection="1">
      <alignment horizontal="center"/>
      <protection hidden="1"/>
    </xf>
    <xf numFmtId="2" fontId="0" fillId="4" borderId="117" xfId="0" applyNumberFormat="1" applyFill="1" applyBorder="1" applyAlignment="1" applyProtection="1">
      <alignment horizontal="center"/>
      <protection hidden="1"/>
    </xf>
    <xf numFmtId="1" fontId="0" fillId="4" borderId="117" xfId="0" applyNumberFormat="1" applyFill="1" applyBorder="1" applyAlignment="1" applyProtection="1">
      <alignment horizontal="center"/>
      <protection hidden="1"/>
    </xf>
    <xf numFmtId="2" fontId="0" fillId="6" borderId="117" xfId="0" applyNumberFormat="1" applyFill="1" applyBorder="1" applyAlignment="1" applyProtection="1">
      <alignment horizontal="center"/>
      <protection hidden="1"/>
    </xf>
    <xf numFmtId="0" fontId="0" fillId="0" borderId="119" xfId="0" applyBorder="1" applyAlignment="1" applyProtection="1">
      <alignment horizontal="center"/>
      <protection hidden="1"/>
    </xf>
    <xf numFmtId="0" fontId="0" fillId="0" borderId="120" xfId="0" applyBorder="1" applyAlignment="1" applyProtection="1">
      <alignment horizontal="center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122" xfId="0" applyBorder="1" applyAlignment="1" applyProtection="1">
      <alignment horizontal="center"/>
      <protection hidden="1"/>
    </xf>
    <xf numFmtId="2" fontId="3" fillId="4" borderId="117" xfId="0" applyNumberFormat="1" applyFont="1" applyFill="1" applyBorder="1" applyAlignment="1" applyProtection="1">
      <alignment horizontal="center"/>
      <protection hidden="1"/>
    </xf>
    <xf numFmtId="0" fontId="0" fillId="4" borderId="117" xfId="0" applyFill="1" applyBorder="1" applyAlignment="1" applyProtection="1">
      <alignment horizontal="center"/>
      <protection hidden="1"/>
    </xf>
    <xf numFmtId="0" fontId="0" fillId="4" borderId="123" xfId="0" applyFill="1" applyBorder="1" applyAlignment="1" applyProtection="1">
      <alignment horizontal="center"/>
      <protection hidden="1"/>
    </xf>
    <xf numFmtId="0" fontId="0" fillId="6" borderId="117" xfId="0" applyFill="1" applyBorder="1" applyAlignment="1" applyProtection="1">
      <alignment horizontal="center"/>
      <protection hidden="1"/>
    </xf>
    <xf numFmtId="2" fontId="0" fillId="10" borderId="37" xfId="0" applyNumberFormat="1" applyFill="1" applyBorder="1" applyAlignment="1" applyProtection="1">
      <alignment horizontal="center"/>
      <protection hidden="1"/>
    </xf>
    <xf numFmtId="0" fontId="0" fillId="0" borderId="124" xfId="0" applyBorder="1" applyAlignment="1" applyProtection="1">
      <alignment horizontal="center"/>
      <protection hidden="1"/>
    </xf>
    <xf numFmtId="0" fontId="0" fillId="7" borderId="125" xfId="0" applyFill="1" applyBorder="1" applyAlignment="1" applyProtection="1">
      <alignment horizontal="center"/>
      <protection hidden="1"/>
    </xf>
    <xf numFmtId="0" fontId="0" fillId="7" borderId="124" xfId="0" applyFill="1" applyBorder="1" applyAlignment="1" applyProtection="1">
      <alignment horizontal="center"/>
      <protection hidden="1"/>
    </xf>
    <xf numFmtId="2" fontId="0" fillId="6" borderId="118" xfId="0" applyNumberFormat="1" applyFill="1" applyBorder="1" applyAlignment="1" applyProtection="1">
      <alignment horizontal="center"/>
      <protection hidden="1"/>
    </xf>
    <xf numFmtId="0" fontId="0" fillId="7" borderId="126" xfId="0" applyFill="1" applyBorder="1" applyAlignment="1" applyProtection="1">
      <alignment horizontal="center"/>
      <protection hidden="1"/>
    </xf>
    <xf numFmtId="2" fontId="0" fillId="7" borderId="126" xfId="0" applyNumberFormat="1" applyFill="1" applyBorder="1" applyAlignment="1" applyProtection="1">
      <alignment horizontal="center"/>
      <protection hidden="1"/>
    </xf>
    <xf numFmtId="2" fontId="0" fillId="8" borderId="117" xfId="0" applyNumberFormat="1" applyFill="1" applyBorder="1" applyAlignment="1" applyProtection="1">
      <alignment horizontal="center"/>
      <protection hidden="1"/>
    </xf>
    <xf numFmtId="164" fontId="0" fillId="4" borderId="117" xfId="0" applyNumberFormat="1" applyFill="1" applyBorder="1" applyAlignment="1" applyProtection="1">
      <alignment horizontal="center"/>
      <protection hidden="1"/>
    </xf>
    <xf numFmtId="165" fontId="0" fillId="6" borderId="117" xfId="0" applyNumberFormat="1" applyFill="1" applyBorder="1" applyAlignment="1" applyProtection="1">
      <alignment horizontal="center"/>
      <protection hidden="1"/>
    </xf>
    <xf numFmtId="2" fontId="0" fillId="5" borderId="127" xfId="0" applyNumberFormat="1" applyFill="1" applyBorder="1" applyAlignment="1" applyProtection="1">
      <alignment horizontal="center"/>
      <protection hidden="1"/>
    </xf>
    <xf numFmtId="2" fontId="0" fillId="5" borderId="122" xfId="0" applyNumberFormat="1" applyFill="1" applyBorder="1" applyAlignment="1" applyProtection="1">
      <alignment horizontal="center"/>
      <protection hidden="1"/>
    </xf>
    <xf numFmtId="165" fontId="0" fillId="4" borderId="116" xfId="0" applyNumberFormat="1" applyFill="1" applyBorder="1" applyAlignment="1" applyProtection="1">
      <alignment horizontal="center"/>
      <protection hidden="1"/>
    </xf>
    <xf numFmtId="165" fontId="0" fillId="4" borderId="117" xfId="0" applyNumberFormat="1" applyFill="1" applyBorder="1" applyAlignment="1" applyProtection="1">
      <alignment horizontal="center"/>
      <protection hidden="1"/>
    </xf>
    <xf numFmtId="2" fontId="0" fillId="4" borderId="118" xfId="0" applyNumberFormat="1" applyFill="1" applyBorder="1" applyAlignment="1" applyProtection="1">
      <alignment horizontal="center"/>
      <protection hidden="1"/>
    </xf>
    <xf numFmtId="2" fontId="0" fillId="4" borderId="37" xfId="0" applyNumberFormat="1" applyFill="1" applyBorder="1" applyAlignment="1" applyProtection="1">
      <alignment horizontal="center"/>
      <protection hidden="1"/>
    </xf>
    <xf numFmtId="165" fontId="0" fillId="6" borderId="116" xfId="0" applyNumberFormat="1" applyFill="1" applyBorder="1" applyAlignment="1" applyProtection="1">
      <alignment horizontal="center"/>
      <protection hidden="1"/>
    </xf>
    <xf numFmtId="2" fontId="0" fillId="6" borderId="37" xfId="0" applyNumberFormat="1" applyFill="1" applyBorder="1" applyAlignment="1" applyProtection="1">
      <alignment horizontal="center"/>
      <protection hidden="1"/>
    </xf>
    <xf numFmtId="2" fontId="0" fillId="0" borderId="128" xfId="0" applyNumberForma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0" borderId="38" xfId="0" applyBorder="1" applyAlignment="1" applyProtection="1">
      <alignment horizontal="center"/>
      <protection hidden="1"/>
    </xf>
    <xf numFmtId="2" fontId="0" fillId="0" borderId="129" xfId="0" applyNumberForma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0" fontId="0" fillId="6" borderId="0" xfId="0" applyFill="1" applyProtection="1">
      <protection hidden="1"/>
    </xf>
    <xf numFmtId="0" fontId="0" fillId="10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0" borderId="130" xfId="0" applyNumberFormat="1" applyBorder="1" applyAlignment="1" applyProtection="1">
      <alignment horizontal="center"/>
      <protection hidden="1"/>
    </xf>
    <xf numFmtId="0" fontId="0" fillId="4" borderId="6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131" xfId="0" applyBorder="1" applyAlignment="1" applyProtection="1">
      <alignment horizontal="center"/>
      <protection hidden="1"/>
    </xf>
    <xf numFmtId="2" fontId="3" fillId="4" borderId="61" xfId="0" applyNumberFormat="1" applyFont="1" applyFill="1" applyBorder="1" applyAlignment="1" applyProtection="1">
      <alignment horizontal="center"/>
      <protection hidden="1"/>
    </xf>
    <xf numFmtId="2" fontId="0" fillId="10" borderId="34" xfId="0" applyNumberFormat="1" applyFill="1" applyBorder="1" applyAlignment="1" applyProtection="1">
      <alignment horizontal="center"/>
      <protection hidden="1"/>
    </xf>
    <xf numFmtId="0" fontId="0" fillId="7" borderId="131" xfId="0" applyFill="1" applyBorder="1" applyAlignment="1" applyProtection="1">
      <alignment horizontal="center"/>
      <protection hidden="1"/>
    </xf>
    <xf numFmtId="0" fontId="0" fillId="7" borderId="35" xfId="0" applyFill="1" applyBorder="1" applyAlignment="1" applyProtection="1">
      <alignment horizontal="center"/>
      <protection hidden="1"/>
    </xf>
    <xf numFmtId="2" fontId="0" fillId="7" borderId="131" xfId="0" applyNumberFormat="1" applyFill="1" applyBorder="1" applyAlignment="1" applyProtection="1">
      <alignment horizontal="center"/>
      <protection hidden="1"/>
    </xf>
    <xf numFmtId="2" fontId="0" fillId="5" borderId="131" xfId="0" applyNumberFormat="1" applyFill="1" applyBorder="1" applyAlignment="1" applyProtection="1">
      <alignment horizontal="center"/>
      <protection hidden="1"/>
    </xf>
    <xf numFmtId="165" fontId="0" fillId="4" borderId="35" xfId="0" applyNumberFormat="1" applyFill="1" applyBorder="1" applyAlignment="1" applyProtection="1">
      <alignment horizontal="center"/>
      <protection hidden="1"/>
    </xf>
    <xf numFmtId="2" fontId="0" fillId="0" borderId="132" xfId="0" applyNumberForma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5" borderId="76" xfId="0" applyFill="1" applyBorder="1" applyAlignment="1" applyProtection="1">
      <alignment horizontal="center"/>
      <protection locked="0"/>
    </xf>
    <xf numFmtId="0" fontId="0" fillId="5" borderId="61" xfId="0" applyFill="1" applyBorder="1" applyAlignment="1" applyProtection="1">
      <alignment horizontal="center"/>
      <protection locked="0"/>
    </xf>
    <xf numFmtId="0" fontId="0" fillId="5" borderId="78" xfId="0" applyFill="1" applyBorder="1" applyAlignment="1" applyProtection="1">
      <alignment horizontal="center"/>
      <protection locked="0"/>
    </xf>
    <xf numFmtId="0" fontId="0" fillId="4" borderId="133" xfId="0" applyFill="1" applyBorder="1" applyAlignment="1" applyProtection="1">
      <alignment horizontal="center"/>
      <protection locked="0"/>
    </xf>
    <xf numFmtId="2" fontId="0" fillId="4" borderId="134" xfId="0" applyNumberFormat="1" applyFill="1" applyBorder="1" applyAlignment="1" applyProtection="1">
      <alignment horizontal="center"/>
      <protection locked="0"/>
    </xf>
    <xf numFmtId="1" fontId="0" fillId="4" borderId="134" xfId="0" applyNumberFormat="1" applyFill="1" applyBorder="1" applyAlignment="1" applyProtection="1">
      <alignment horizontal="center"/>
      <protection locked="0"/>
    </xf>
    <xf numFmtId="1" fontId="0" fillId="4" borderId="135" xfId="0" applyNumberFormat="1" applyFill="1" applyBorder="1" applyAlignment="1" applyProtection="1">
      <alignment horizontal="center"/>
      <protection locked="0"/>
    </xf>
    <xf numFmtId="0" fontId="0" fillId="6" borderId="68" xfId="0" applyFill="1" applyBorder="1" applyAlignment="1" applyProtection="1">
      <alignment horizontal="center"/>
      <protection locked="0"/>
    </xf>
    <xf numFmtId="2" fontId="0" fillId="6" borderId="131" xfId="0" applyNumberFormat="1" applyFill="1" applyBorder="1" applyAlignment="1" applyProtection="1">
      <alignment horizontal="center"/>
      <protection locked="0"/>
    </xf>
    <xf numFmtId="1" fontId="0" fillId="6" borderId="131" xfId="0" applyNumberFormat="1" applyFill="1" applyBorder="1" applyAlignment="1" applyProtection="1">
      <alignment horizontal="center"/>
      <protection locked="0"/>
    </xf>
    <xf numFmtId="1" fontId="0" fillId="6" borderId="69" xfId="0" applyNumberFormat="1" applyFill="1" applyBorder="1" applyAlignment="1" applyProtection="1">
      <alignment horizontal="center"/>
      <protection locked="0"/>
    </xf>
    <xf numFmtId="2" fontId="0" fillId="5" borderId="76" xfId="0" applyNumberFormat="1" applyFill="1" applyBorder="1" applyAlignment="1" applyProtection="1">
      <alignment horizontal="center"/>
      <protection locked="0"/>
    </xf>
    <xf numFmtId="0" fontId="0" fillId="0" borderId="136" xfId="0" applyBorder="1" applyAlignment="1" applyProtection="1">
      <alignment horizontal="center"/>
      <protection locked="0"/>
    </xf>
    <xf numFmtId="0" fontId="0" fillId="0" borderId="137" xfId="0" applyBorder="1" applyAlignment="1" applyProtection="1">
      <alignment horizontal="center"/>
      <protection locked="0"/>
    </xf>
    <xf numFmtId="0" fontId="0" fillId="0" borderId="138" xfId="0" applyBorder="1" applyAlignment="1" applyProtection="1">
      <alignment horizontal="center"/>
      <protection locked="0"/>
    </xf>
    <xf numFmtId="2" fontId="0" fillId="0" borderId="68" xfId="0" applyNumberFormat="1" applyBorder="1" applyAlignment="1" applyProtection="1">
      <alignment horizontal="center"/>
      <protection locked="0"/>
    </xf>
    <xf numFmtId="2" fontId="0" fillId="0" borderId="139" xfId="0" applyNumberFormat="1" applyBorder="1" applyAlignment="1" applyProtection="1">
      <alignment horizontal="center"/>
      <protection locked="0"/>
    </xf>
    <xf numFmtId="2" fontId="0" fillId="0" borderId="74" xfId="0" applyNumberFormat="1" applyBorder="1" applyAlignment="1" applyProtection="1">
      <alignment horizontal="center"/>
      <protection locked="0"/>
    </xf>
    <xf numFmtId="2" fontId="0" fillId="0" borderId="140" xfId="0" applyNumberFormat="1" applyBorder="1" applyAlignment="1" applyProtection="1">
      <alignment horizontal="center"/>
      <protection locked="0"/>
    </xf>
    <xf numFmtId="2" fontId="0" fillId="0" borderId="141" xfId="0" applyNumberFormat="1" applyBorder="1" applyAlignment="1" applyProtection="1">
      <alignment horizontal="center"/>
      <protection locked="0"/>
    </xf>
    <xf numFmtId="2" fontId="0" fillId="0" borderId="142" xfId="0" applyNumberFormat="1" applyBorder="1" applyAlignment="1" applyProtection="1">
      <alignment horizontal="center"/>
      <protection locked="0"/>
    </xf>
    <xf numFmtId="2" fontId="0" fillId="0" borderId="143" xfId="0" applyNumberFormat="1" applyBorder="1" applyAlignment="1" applyProtection="1">
      <alignment horizontal="center"/>
      <protection locked="0"/>
    </xf>
    <xf numFmtId="2" fontId="0" fillId="0" borderId="131" xfId="0" applyNumberFormat="1" applyBorder="1" applyAlignment="1" applyProtection="1">
      <alignment horizontal="center"/>
      <protection locked="0"/>
    </xf>
    <xf numFmtId="0" fontId="0" fillId="0" borderId="69" xfId="0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5" borderId="116" xfId="0" applyFill="1" applyBorder="1" applyAlignment="1" applyProtection="1">
      <alignment horizontal="center"/>
      <protection locked="0"/>
    </xf>
    <xf numFmtId="0" fontId="0" fillId="5" borderId="117" xfId="0" applyFill="1" applyBorder="1" applyAlignment="1" applyProtection="1">
      <alignment horizontal="center"/>
      <protection locked="0"/>
    </xf>
    <xf numFmtId="0" fontId="0" fillId="5" borderId="123" xfId="0" applyFill="1" applyBorder="1" applyAlignment="1" applyProtection="1">
      <alignment horizontal="center"/>
      <protection locked="0"/>
    </xf>
    <xf numFmtId="0" fontId="0" fillId="4" borderId="116" xfId="0" applyFill="1" applyBorder="1" applyAlignment="1" applyProtection="1">
      <alignment horizontal="center"/>
      <protection locked="0"/>
    </xf>
    <xf numFmtId="2" fontId="0" fillId="4" borderId="117" xfId="0" applyNumberFormat="1" applyFill="1" applyBorder="1" applyAlignment="1" applyProtection="1">
      <alignment horizontal="center"/>
      <protection locked="0"/>
    </xf>
    <xf numFmtId="1" fontId="0" fillId="4" borderId="117" xfId="0" applyNumberFormat="1" applyFill="1" applyBorder="1" applyAlignment="1" applyProtection="1">
      <alignment horizontal="center"/>
      <protection locked="0"/>
    </xf>
    <xf numFmtId="1" fontId="0" fillId="4" borderId="123" xfId="0" applyNumberFormat="1" applyFill="1" applyBorder="1" applyAlignment="1" applyProtection="1">
      <alignment horizontal="center"/>
      <protection locked="0"/>
    </xf>
    <xf numFmtId="0" fontId="0" fillId="6" borderId="116" xfId="0" applyFill="1" applyBorder="1" applyAlignment="1" applyProtection="1">
      <alignment horizontal="center"/>
      <protection locked="0"/>
    </xf>
    <xf numFmtId="2" fontId="0" fillId="6" borderId="117" xfId="0" applyNumberFormat="1" applyFill="1" applyBorder="1" applyAlignment="1" applyProtection="1">
      <alignment horizontal="center"/>
      <protection locked="0"/>
    </xf>
    <xf numFmtId="1" fontId="0" fillId="6" borderId="117" xfId="0" applyNumberFormat="1" applyFill="1" applyBorder="1" applyAlignment="1" applyProtection="1">
      <alignment horizontal="center"/>
      <protection locked="0"/>
    </xf>
    <xf numFmtId="1" fontId="0" fillId="6" borderId="123" xfId="0" applyNumberFormat="1" applyFill="1" applyBorder="1" applyAlignment="1" applyProtection="1">
      <alignment horizontal="center"/>
      <protection locked="0"/>
    </xf>
    <xf numFmtId="2" fontId="0" fillId="5" borderId="116" xfId="0" applyNumberFormat="1" applyFill="1" applyBorder="1" applyAlignment="1" applyProtection="1">
      <alignment horizontal="center"/>
      <protection locked="0"/>
    </xf>
    <xf numFmtId="0" fontId="0" fillId="4" borderId="61" xfId="0" applyFill="1" applyBorder="1" applyAlignment="1" applyProtection="1">
      <alignment horizontal="center"/>
      <protection locked="0"/>
    </xf>
    <xf numFmtId="2" fontId="0" fillId="4" borderId="61" xfId="0" applyNumberFormat="1" applyFill="1" applyBorder="1" applyAlignment="1" applyProtection="1">
      <alignment horizontal="center"/>
      <protection locked="0"/>
    </xf>
    <xf numFmtId="1" fontId="0" fillId="4" borderId="61" xfId="0" applyNumberFormat="1" applyFill="1" applyBorder="1" applyAlignment="1" applyProtection="1">
      <alignment horizontal="center"/>
      <protection locked="0"/>
    </xf>
    <xf numFmtId="0" fontId="0" fillId="6" borderId="61" xfId="0" applyFill="1" applyBorder="1" applyAlignment="1" applyProtection="1">
      <alignment horizontal="center"/>
      <protection locked="0"/>
    </xf>
    <xf numFmtId="2" fontId="0" fillId="6" borderId="61" xfId="0" applyNumberFormat="1" applyFill="1" applyBorder="1" applyAlignment="1" applyProtection="1">
      <alignment horizontal="center"/>
      <protection locked="0"/>
    </xf>
    <xf numFmtId="1" fontId="0" fillId="6" borderId="61" xfId="0" applyNumberFormat="1" applyFill="1" applyBorder="1" applyAlignment="1" applyProtection="1">
      <alignment horizontal="center"/>
      <protection locked="0"/>
    </xf>
    <xf numFmtId="2" fontId="0" fillId="5" borderId="61" xfId="0" applyNumberFormat="1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2" fontId="0" fillId="0" borderId="127" xfId="0" applyNumberFormat="1" applyBorder="1" applyAlignment="1" applyProtection="1">
      <alignment horizontal="center"/>
      <protection locked="0"/>
    </xf>
    <xf numFmtId="2" fontId="0" fillId="0" borderId="144" xfId="0" applyNumberFormat="1" applyBorder="1" applyAlignment="1" applyProtection="1">
      <alignment horizontal="center"/>
      <protection locked="0"/>
    </xf>
    <xf numFmtId="2" fontId="0" fillId="0" borderId="145" xfId="0" applyNumberFormat="1" applyBorder="1" applyAlignment="1" applyProtection="1">
      <alignment horizontal="center"/>
      <protection locked="0"/>
    </xf>
    <xf numFmtId="2" fontId="0" fillId="0" borderId="146" xfId="0" applyNumberFormat="1" applyBorder="1" applyAlignment="1" applyProtection="1">
      <alignment horizontal="center"/>
      <protection locked="0"/>
    </xf>
    <xf numFmtId="2" fontId="0" fillId="0" borderId="147" xfId="0" applyNumberFormat="1" applyBorder="1" applyAlignment="1" applyProtection="1">
      <alignment horizontal="center"/>
      <protection locked="0"/>
    </xf>
    <xf numFmtId="2" fontId="0" fillId="0" borderId="148" xfId="0" applyNumberFormat="1" applyBorder="1" applyAlignment="1" applyProtection="1">
      <alignment horizontal="center"/>
      <protection locked="0"/>
    </xf>
    <xf numFmtId="2" fontId="0" fillId="0" borderId="149" xfId="0" applyNumberFormat="1" applyBorder="1" applyAlignment="1" applyProtection="1">
      <alignment horizontal="center"/>
      <protection locked="0"/>
    </xf>
    <xf numFmtId="2" fontId="0" fillId="0" borderId="126" xfId="0" applyNumberFormat="1" applyBorder="1" applyAlignment="1" applyProtection="1">
      <alignment horizontal="center"/>
      <protection locked="0"/>
    </xf>
    <xf numFmtId="0" fontId="0" fillId="9" borderId="0" xfId="0" applyFill="1" applyProtection="1">
      <protection locked="0"/>
    </xf>
    <xf numFmtId="2" fontId="0" fillId="0" borderId="150" xfId="0" applyNumberFormat="1" applyBorder="1" applyAlignment="1" applyProtection="1">
      <alignment horizontal="center"/>
      <protection locked="0"/>
    </xf>
    <xf numFmtId="2" fontId="3" fillId="6" borderId="117" xfId="0" applyNumberFormat="1" applyFont="1" applyFill="1" applyBorder="1" applyAlignment="1" applyProtection="1">
      <alignment horizontal="center"/>
      <protection locked="0"/>
    </xf>
    <xf numFmtId="0" fontId="0" fillId="6" borderId="117" xfId="0" applyFill="1" applyBorder="1" applyAlignment="1" applyProtection="1">
      <alignment horizontal="center"/>
      <protection locked="0"/>
    </xf>
    <xf numFmtId="0" fontId="0" fillId="6" borderId="123" xfId="0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2" fontId="3" fillId="6" borderId="61" xfId="0" applyNumberFormat="1" applyFont="1" applyFill="1" applyBorder="1" applyAlignment="1" applyProtection="1">
      <alignment horizontal="center"/>
      <protection locked="0"/>
    </xf>
    <xf numFmtId="0" fontId="0" fillId="0" borderId="131" xfId="0" applyBorder="1" applyAlignment="1">
      <alignment horizontal="center"/>
    </xf>
    <xf numFmtId="0" fontId="5" fillId="4" borderId="131" xfId="0" applyFont="1" applyFill="1" applyBorder="1" applyAlignment="1" applyProtection="1">
      <alignment horizontal="center"/>
      <protection locked="0"/>
    </xf>
    <xf numFmtId="0" fontId="4" fillId="11" borderId="151" xfId="0" applyFont="1" applyFill="1" applyBorder="1" applyAlignment="1" applyProtection="1">
      <alignment horizontal="center"/>
      <protection locked="0"/>
    </xf>
    <xf numFmtId="0" fontId="4" fillId="11" borderId="152" xfId="0" applyFont="1" applyFill="1" applyBorder="1" applyAlignment="1" applyProtection="1">
      <alignment horizontal="center"/>
      <protection locked="0"/>
    </xf>
    <xf numFmtId="0" fontId="0" fillId="12" borderId="153" xfId="0" applyFill="1" applyBorder="1" applyAlignment="1" applyProtection="1">
      <alignment horizontal="center"/>
      <protection locked="0"/>
    </xf>
    <xf numFmtId="0" fontId="0" fillId="12" borderId="154" xfId="0" applyFill="1" applyBorder="1" applyAlignment="1" applyProtection="1">
      <alignment horizontal="center"/>
      <protection locked="0"/>
    </xf>
    <xf numFmtId="1" fontId="0" fillId="0" borderId="0" xfId="0" applyNumberFormat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0" fontId="8" fillId="11" borderId="40" xfId="0" applyFont="1" applyFill="1" applyBorder="1" applyAlignment="1" applyProtection="1">
      <alignment horizontal="center"/>
      <protection hidden="1"/>
    </xf>
    <xf numFmtId="0" fontId="8" fillId="11" borderId="42" xfId="0" applyFont="1" applyFill="1" applyBorder="1" applyAlignment="1" applyProtection="1">
      <alignment horizontal="center"/>
      <protection hidden="1"/>
    </xf>
    <xf numFmtId="0" fontId="8" fillId="2" borderId="42" xfId="0" applyFont="1" applyFill="1" applyBorder="1" applyAlignment="1" applyProtection="1">
      <alignment horizontal="center"/>
      <protection hidden="1"/>
    </xf>
    <xf numFmtId="0" fontId="8" fillId="2" borderId="40" xfId="0" applyFont="1" applyFill="1" applyBorder="1" applyAlignment="1" applyProtection="1">
      <alignment horizontal="center"/>
      <protection hidden="1"/>
    </xf>
    <xf numFmtId="0" fontId="8" fillId="2" borderId="20" xfId="0" applyFont="1" applyFill="1" applyBorder="1" applyAlignment="1" applyProtection="1">
      <alignment horizontal="center"/>
      <protection hidden="1"/>
    </xf>
    <xf numFmtId="2" fontId="22" fillId="13" borderId="40" xfId="0" applyNumberFormat="1" applyFont="1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>
      <alignment horizontal="center"/>
    </xf>
    <xf numFmtId="0" fontId="23" fillId="5" borderId="47" xfId="0" applyFont="1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4" borderId="156" xfId="0" applyFill="1" applyBorder="1" applyAlignment="1" applyProtection="1">
      <alignment horizontal="center"/>
      <protection hidden="1"/>
    </xf>
    <xf numFmtId="0" fontId="0" fillId="6" borderId="155" xfId="0" applyFill="1" applyBorder="1" applyAlignment="1" applyProtection="1">
      <alignment horizontal="center"/>
      <protection hidden="1"/>
    </xf>
    <xf numFmtId="0" fontId="5" fillId="6" borderId="116" xfId="0" applyFont="1" applyFill="1" applyBorder="1" applyAlignment="1" applyProtection="1">
      <alignment horizontal="center"/>
      <protection locked="0"/>
    </xf>
    <xf numFmtId="0" fontId="5" fillId="6" borderId="0" xfId="0" applyFont="1" applyFill="1" applyProtection="1">
      <protection locked="0"/>
    </xf>
    <xf numFmtId="0" fontId="5" fillId="6" borderId="61" xfId="0" applyFont="1" applyFill="1" applyBorder="1" applyAlignment="1" applyProtection="1">
      <alignment horizontal="center"/>
      <protection locked="0"/>
    </xf>
    <xf numFmtId="2" fontId="0" fillId="11" borderId="44" xfId="0" applyNumberFormat="1" applyFill="1" applyBorder="1" applyAlignment="1" applyProtection="1">
      <alignment horizontal="center"/>
      <protection hidden="1"/>
    </xf>
    <xf numFmtId="2" fontId="0" fillId="11" borderId="61" xfId="0" applyNumberFormat="1" applyFill="1" applyBorder="1" applyAlignment="1" applyProtection="1">
      <alignment horizontal="center"/>
      <protection hidden="1"/>
    </xf>
    <xf numFmtId="2" fontId="0" fillId="11" borderId="82" xfId="0" applyNumberFormat="1" applyFill="1" applyBorder="1" applyAlignment="1" applyProtection="1">
      <alignment horizontal="center"/>
      <protection hidden="1"/>
    </xf>
    <xf numFmtId="2" fontId="0" fillId="11" borderId="117" xfId="0" applyNumberFormat="1" applyFill="1" applyBorder="1" applyAlignment="1" applyProtection="1">
      <alignment horizontal="center"/>
      <protection hidden="1"/>
    </xf>
    <xf numFmtId="2" fontId="0" fillId="11" borderId="0" xfId="0" applyNumberFormat="1" applyFill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1" fontId="0" fillId="9" borderId="61" xfId="0" applyNumberFormat="1" applyFill="1" applyBorder="1" applyAlignment="1" applyProtection="1">
      <alignment horizontal="center"/>
      <protection hidden="1"/>
    </xf>
    <xf numFmtId="1" fontId="0" fillId="9" borderId="82" xfId="0" applyNumberFormat="1" applyFill="1" applyBorder="1" applyAlignment="1" applyProtection="1">
      <alignment horizontal="center"/>
      <protection hidden="1"/>
    </xf>
    <xf numFmtId="1" fontId="0" fillId="9" borderId="117" xfId="0" applyNumberFormat="1" applyFill="1" applyBorder="1" applyAlignment="1" applyProtection="1">
      <alignment horizontal="center"/>
      <protection hidden="1"/>
    </xf>
    <xf numFmtId="1" fontId="0" fillId="9" borderId="0" xfId="0" applyNumberFormat="1" applyFill="1" applyProtection="1">
      <protection hidden="1"/>
    </xf>
    <xf numFmtId="2" fontId="0" fillId="0" borderId="57" xfId="0" applyNumberFormat="1" applyBorder="1" applyAlignment="1">
      <alignment horizontal="center"/>
    </xf>
    <xf numFmtId="2" fontId="0" fillId="0" borderId="126" xfId="0" applyNumberFormat="1" applyBorder="1" applyAlignment="1">
      <alignment horizontal="center"/>
    </xf>
    <xf numFmtId="2" fontId="0" fillId="0" borderId="0" xfId="0" applyNumberFormat="1" applyProtection="1">
      <protection locked="0"/>
    </xf>
    <xf numFmtId="2" fontId="0" fillId="0" borderId="57" xfId="0" applyNumberFormat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 applyProtection="1">
      <alignment horizontal="center"/>
      <protection locked="0"/>
    </xf>
    <xf numFmtId="1" fontId="5" fillId="9" borderId="43" xfId="0" applyNumberFormat="1" applyFont="1" applyFill="1" applyBorder="1" applyAlignment="1" applyProtection="1">
      <alignment horizontal="center"/>
      <protection locked="0"/>
    </xf>
    <xf numFmtId="1" fontId="5" fillId="9" borderId="158" xfId="0" applyNumberFormat="1" applyFont="1" applyFill="1" applyBorder="1" applyAlignment="1" applyProtection="1">
      <alignment horizontal="center"/>
      <protection locked="0"/>
    </xf>
    <xf numFmtId="1" fontId="5" fillId="9" borderId="157" xfId="0" applyNumberFormat="1" applyFont="1" applyFill="1" applyBorder="1" applyAlignment="1">
      <alignment horizontal="center"/>
    </xf>
    <xf numFmtId="0" fontId="0" fillId="6" borderId="155" xfId="0" applyFill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3" fontId="3" fillId="11" borderId="39" xfId="0" applyNumberFormat="1" applyFont="1" applyFill="1" applyBorder="1" applyAlignment="1" applyProtection="1">
      <alignment horizontal="center"/>
      <protection hidden="1"/>
    </xf>
    <xf numFmtId="3" fontId="3" fillId="11" borderId="37" xfId="0" applyNumberFormat="1" applyFont="1" applyFill="1" applyBorder="1" applyAlignment="1" applyProtection="1">
      <alignment horizontal="center"/>
      <protection hidden="1"/>
    </xf>
    <xf numFmtId="0" fontId="3" fillId="11" borderId="0" xfId="0" applyFont="1" applyFill="1" applyProtection="1">
      <protection hidden="1"/>
    </xf>
    <xf numFmtId="3" fontId="3" fillId="11" borderId="77" xfId="0" applyNumberFormat="1" applyFont="1" applyFill="1" applyBorder="1" applyAlignment="1" applyProtection="1">
      <alignment horizontal="center"/>
      <protection hidden="1"/>
    </xf>
    <xf numFmtId="3" fontId="3" fillId="11" borderId="36" xfId="0" applyNumberFormat="1" applyFont="1" applyFill="1" applyBorder="1" applyAlignment="1" applyProtection="1">
      <alignment horizontal="center"/>
      <protection hidden="1"/>
    </xf>
    <xf numFmtId="3" fontId="3" fillId="11" borderId="38" xfId="0" applyNumberFormat="1" applyFont="1" applyFill="1" applyBorder="1" applyAlignment="1" applyProtection="1">
      <alignment horizontal="center"/>
      <protection hidden="1"/>
    </xf>
    <xf numFmtId="3" fontId="3" fillId="11" borderId="41" xfId="0" applyNumberFormat="1" applyFont="1" applyFill="1" applyBorder="1" applyAlignment="1" applyProtection="1">
      <alignment horizontal="center"/>
      <protection hidden="1"/>
    </xf>
    <xf numFmtId="3" fontId="3" fillId="11" borderId="0" xfId="0" applyNumberFormat="1" applyFont="1" applyFill="1" applyAlignment="1" applyProtection="1">
      <alignment horizontal="center"/>
      <protection hidden="1"/>
    </xf>
    <xf numFmtId="0" fontId="3" fillId="11" borderId="33" xfId="0" applyFont="1" applyFill="1" applyBorder="1" applyAlignment="1" applyProtection="1">
      <alignment horizontal="center"/>
      <protection hidden="1"/>
    </xf>
    <xf numFmtId="0" fontId="3" fillId="11" borderId="159" xfId="0" applyFont="1" applyFill="1" applyBorder="1" applyAlignment="1" applyProtection="1">
      <alignment horizontal="center"/>
      <protection hidden="1"/>
    </xf>
    <xf numFmtId="0" fontId="3" fillId="11" borderId="160" xfId="0" applyFont="1" applyFill="1" applyBorder="1" applyAlignment="1" applyProtection="1">
      <alignment horizontal="center"/>
      <protection hidden="1"/>
    </xf>
    <xf numFmtId="1" fontId="3" fillId="11" borderId="25" xfId="0" applyNumberFormat="1" applyFont="1" applyFill="1" applyBorder="1" applyAlignment="1" applyProtection="1">
      <alignment horizontal="center"/>
      <protection hidden="1"/>
    </xf>
    <xf numFmtId="1" fontId="3" fillId="11" borderId="1" xfId="0" applyNumberFormat="1" applyFont="1" applyFill="1" applyBorder="1" applyAlignment="1" applyProtection="1">
      <alignment horizontal="center"/>
      <protection hidden="1"/>
    </xf>
    <xf numFmtId="1" fontId="3" fillId="11" borderId="2" xfId="0" applyNumberFormat="1" applyFont="1" applyFill="1" applyBorder="1" applyAlignment="1" applyProtection="1">
      <alignment horizontal="center"/>
      <protection hidden="1"/>
    </xf>
    <xf numFmtId="2" fontId="3" fillId="7" borderId="41" xfId="0" applyNumberFormat="1" applyFont="1" applyFill="1" applyBorder="1" applyAlignment="1" applyProtection="1">
      <alignment horizontal="center" vertical="center"/>
      <protection hidden="1"/>
    </xf>
    <xf numFmtId="2" fontId="3" fillId="7" borderId="0" xfId="0" applyNumberFormat="1" applyFont="1" applyFill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2" fontId="0" fillId="5" borderId="46" xfId="0" applyNumberFormat="1" applyFill="1" applyBorder="1" applyAlignment="1">
      <alignment horizontal="center"/>
    </xf>
    <xf numFmtId="2" fontId="0" fillId="12" borderId="44" xfId="0" applyNumberFormat="1" applyFill="1" applyBorder="1" applyAlignment="1">
      <alignment horizontal="center"/>
    </xf>
    <xf numFmtId="2" fontId="0" fillId="14" borderId="47" xfId="0" applyNumberFormat="1" applyFill="1" applyBorder="1" applyAlignment="1">
      <alignment horizontal="center"/>
    </xf>
    <xf numFmtId="2" fontId="0" fillId="5" borderId="46" xfId="0" applyNumberFormat="1" applyFill="1" applyBorder="1" applyAlignment="1" applyProtection="1">
      <alignment horizontal="center"/>
      <protection locked="0"/>
    </xf>
    <xf numFmtId="2" fontId="0" fillId="12" borderId="44" xfId="0" applyNumberFormat="1" applyFill="1" applyBorder="1" applyAlignment="1" applyProtection="1">
      <alignment horizontal="center"/>
      <protection locked="0"/>
    </xf>
    <xf numFmtId="2" fontId="0" fillId="14" borderId="47" xfId="0" applyNumberFormat="1" applyFill="1" applyBorder="1" applyAlignment="1" applyProtection="1">
      <alignment horizontal="center"/>
      <protection locked="0"/>
    </xf>
    <xf numFmtId="2" fontId="0" fillId="12" borderId="82" xfId="0" applyNumberFormat="1" applyFill="1" applyBorder="1" applyAlignment="1" applyProtection="1">
      <alignment horizontal="center"/>
      <protection hidden="1"/>
    </xf>
    <xf numFmtId="2" fontId="0" fillId="14" borderId="85" xfId="0" applyNumberFormat="1" applyFill="1" applyBorder="1" applyAlignment="1" applyProtection="1">
      <alignment horizontal="center"/>
      <protection hidden="1"/>
    </xf>
    <xf numFmtId="2" fontId="0" fillId="5" borderId="116" xfId="0" applyNumberFormat="1" applyFill="1" applyBorder="1" applyAlignment="1" applyProtection="1">
      <alignment horizontal="center"/>
      <protection hidden="1"/>
    </xf>
    <xf numFmtId="2" fontId="0" fillId="12" borderId="117" xfId="0" applyNumberFormat="1" applyFill="1" applyBorder="1" applyAlignment="1" applyProtection="1">
      <alignment horizontal="center"/>
      <protection hidden="1"/>
    </xf>
    <xf numFmtId="2" fontId="0" fillId="14" borderId="123" xfId="0" applyNumberFormat="1" applyFill="1" applyBorder="1" applyAlignment="1" applyProtection="1">
      <alignment horizontal="center"/>
      <protection hidden="1"/>
    </xf>
    <xf numFmtId="2" fontId="0" fillId="12" borderId="0" xfId="0" applyNumberFormat="1" applyFill="1" applyProtection="1">
      <protection hidden="1"/>
    </xf>
    <xf numFmtId="2" fontId="0" fillId="14" borderId="0" xfId="0" applyNumberFormat="1" applyFill="1" applyProtection="1">
      <protection hidden="1"/>
    </xf>
    <xf numFmtId="2" fontId="0" fillId="5" borderId="61" xfId="0" applyNumberFormat="1" applyFill="1" applyBorder="1" applyAlignment="1" applyProtection="1">
      <alignment horizontal="center"/>
      <protection hidden="1"/>
    </xf>
    <xf numFmtId="2" fontId="0" fillId="12" borderId="61" xfId="0" applyNumberFormat="1" applyFill="1" applyBorder="1" applyAlignment="1" applyProtection="1">
      <alignment horizontal="center"/>
      <protection hidden="1"/>
    </xf>
    <xf numFmtId="2" fontId="0" fillId="14" borderId="34" xfId="0" applyNumberFormat="1" applyFill="1" applyBorder="1" applyAlignment="1" applyProtection="1">
      <alignment horizontal="center"/>
      <protection hidden="1"/>
    </xf>
    <xf numFmtId="0" fontId="0" fillId="0" borderId="161" xfId="0" applyBorder="1" applyAlignment="1" applyProtection="1">
      <alignment horizontal="center"/>
      <protection hidden="1"/>
    </xf>
    <xf numFmtId="2" fontId="0" fillId="0" borderId="162" xfId="0" applyNumberFormat="1" applyBorder="1" applyAlignment="1" applyProtection="1">
      <alignment horizontal="center"/>
      <protection hidden="1"/>
    </xf>
    <xf numFmtId="2" fontId="0" fillId="0" borderId="163" xfId="0" applyNumberFormat="1" applyBorder="1" applyAlignment="1" applyProtection="1">
      <alignment horizontal="center"/>
      <protection hidden="1"/>
    </xf>
    <xf numFmtId="2" fontId="0" fillId="0" borderId="164" xfId="0" applyNumberFormat="1" applyBorder="1" applyAlignment="1" applyProtection="1">
      <alignment horizontal="center"/>
      <protection hidden="1"/>
    </xf>
    <xf numFmtId="2" fontId="0" fillId="0" borderId="165" xfId="0" applyNumberFormat="1" applyBorder="1" applyAlignment="1" applyProtection="1">
      <alignment horizontal="center"/>
      <protection hidden="1"/>
    </xf>
    <xf numFmtId="2" fontId="0" fillId="0" borderId="166" xfId="0" applyNumberFormat="1" applyBorder="1" applyAlignment="1" applyProtection="1">
      <alignment horizontal="center"/>
      <protection hidden="1"/>
    </xf>
    <xf numFmtId="2" fontId="0" fillId="0" borderId="37" xfId="0" applyNumberFormat="1" applyBorder="1" applyAlignment="1" applyProtection="1">
      <alignment horizontal="center"/>
      <protection hidden="1"/>
    </xf>
    <xf numFmtId="2" fontId="0" fillId="0" borderId="167" xfId="0" applyNumberFormat="1" applyBorder="1" applyAlignment="1" applyProtection="1">
      <alignment horizontal="center"/>
      <protection locked="0"/>
    </xf>
    <xf numFmtId="2" fontId="0" fillId="0" borderId="168" xfId="0" applyNumberFormat="1" applyBorder="1" applyAlignment="1" applyProtection="1">
      <alignment horizontal="center"/>
      <protection locked="0"/>
    </xf>
    <xf numFmtId="0" fontId="0" fillId="0" borderId="169" xfId="0" applyBorder="1" applyAlignment="1" applyProtection="1">
      <alignment horizontal="center"/>
      <protection locked="0"/>
    </xf>
    <xf numFmtId="2" fontId="0" fillId="0" borderId="167" xfId="0" applyNumberFormat="1" applyBorder="1" applyAlignment="1">
      <alignment horizontal="center"/>
    </xf>
    <xf numFmtId="2" fontId="0" fillId="0" borderId="168" xfId="0" applyNumberFormat="1" applyBorder="1" applyAlignment="1">
      <alignment horizontal="center"/>
    </xf>
    <xf numFmtId="0" fontId="0" fillId="0" borderId="169" xfId="0" applyBorder="1" applyAlignment="1">
      <alignment horizontal="center"/>
    </xf>
    <xf numFmtId="0" fontId="5" fillId="15" borderId="39" xfId="0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0" fillId="15" borderId="20" xfId="0" applyFill="1" applyBorder="1" applyProtection="1">
      <protection hidden="1"/>
    </xf>
    <xf numFmtId="0" fontId="0" fillId="15" borderId="40" xfId="0" applyFill="1" applyBorder="1" applyProtection="1">
      <protection hidden="1"/>
    </xf>
    <xf numFmtId="0" fontId="0" fillId="15" borderId="40" xfId="0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/>
      <protection hidden="1"/>
    </xf>
    <xf numFmtId="0" fontId="0" fillId="15" borderId="42" xfId="0" applyFill="1" applyBorder="1" applyAlignment="1" applyProtection="1">
      <alignment horizontal="center"/>
      <protection hidden="1"/>
    </xf>
    <xf numFmtId="0" fontId="0" fillId="15" borderId="40" xfId="0" applyFill="1" applyBorder="1" applyAlignment="1" applyProtection="1">
      <alignment horizontal="center"/>
      <protection locked="0"/>
    </xf>
    <xf numFmtId="0" fontId="0" fillId="15" borderId="41" xfId="0" applyFill="1" applyBorder="1" applyAlignment="1" applyProtection="1">
      <alignment horizontal="center"/>
      <protection locked="0"/>
    </xf>
    <xf numFmtId="2" fontId="0" fillId="15" borderId="43" xfId="0" applyNumberFormat="1" applyFill="1" applyBorder="1" applyAlignment="1" applyProtection="1">
      <alignment horizontal="center"/>
      <protection hidden="1"/>
    </xf>
    <xf numFmtId="2" fontId="0" fillId="15" borderId="36" xfId="0" applyNumberFormat="1" applyFill="1" applyBorder="1" applyAlignment="1" applyProtection="1">
      <alignment horizontal="center"/>
      <protection hidden="1"/>
    </xf>
    <xf numFmtId="0" fontId="0" fillId="15" borderId="171" xfId="0" applyFill="1" applyBorder="1" applyProtection="1">
      <protection hidden="1"/>
    </xf>
    <xf numFmtId="0" fontId="0" fillId="15" borderId="170" xfId="0" applyFill="1" applyBorder="1" applyProtection="1">
      <protection hidden="1"/>
    </xf>
    <xf numFmtId="0" fontId="0" fillId="15" borderId="41" xfId="0" applyFill="1" applyBorder="1" applyProtection="1"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left"/>
      <protection hidden="1"/>
    </xf>
    <xf numFmtId="0" fontId="0" fillId="15" borderId="0" xfId="0" applyFill="1" applyAlignment="1" applyProtection="1">
      <alignment horizontal="center"/>
      <protection hidden="1"/>
    </xf>
    <xf numFmtId="0" fontId="2" fillId="15" borderId="0" xfId="0" applyFont="1" applyFill="1" applyAlignment="1" applyProtection="1">
      <alignment horizontal="right"/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172" xfId="0" applyFill="1" applyBorder="1" applyProtection="1">
      <protection hidden="1"/>
    </xf>
    <xf numFmtId="0" fontId="0" fillId="15" borderId="173" xfId="0" applyFill="1" applyBorder="1" applyProtection="1">
      <protection hidden="1"/>
    </xf>
    <xf numFmtId="0" fontId="2" fillId="15" borderId="173" xfId="0" applyFont="1" applyFill="1" applyBorder="1" applyAlignment="1" applyProtection="1">
      <alignment horizontal="right"/>
      <protection hidden="1"/>
    </xf>
    <xf numFmtId="0" fontId="0" fillId="15" borderId="174" xfId="0" applyFill="1" applyBorder="1" applyProtection="1">
      <protection hidden="1"/>
    </xf>
    <xf numFmtId="0" fontId="0" fillId="15" borderId="39" xfId="0" applyFill="1" applyBorder="1" applyProtection="1">
      <protection hidden="1"/>
    </xf>
    <xf numFmtId="0" fontId="5" fillId="0" borderId="36" xfId="0" applyFont="1" applyBorder="1" applyProtection="1">
      <protection hidden="1"/>
    </xf>
    <xf numFmtId="0" fontId="5" fillId="15" borderId="40" xfId="0" applyFont="1" applyFill="1" applyBorder="1" applyProtection="1">
      <protection hidden="1"/>
    </xf>
    <xf numFmtId="0" fontId="5" fillId="15" borderId="42" xfId="0" applyFont="1" applyFill="1" applyBorder="1" applyAlignment="1" applyProtection="1">
      <alignment horizontal="center"/>
      <protection hidden="1"/>
    </xf>
    <xf numFmtId="0" fontId="7" fillId="15" borderId="42" xfId="0" applyFont="1" applyFill="1" applyBorder="1" applyAlignment="1" applyProtection="1">
      <alignment horizontal="center"/>
      <protection hidden="1"/>
    </xf>
    <xf numFmtId="0" fontId="8" fillId="11" borderId="151" xfId="0" applyFont="1" applyFill="1" applyBorder="1" applyAlignment="1" applyProtection="1">
      <alignment horizontal="center"/>
      <protection hidden="1"/>
    </xf>
    <xf numFmtId="0" fontId="5" fillId="9" borderId="153" xfId="0" applyFont="1" applyFill="1" applyBorder="1" applyAlignment="1" applyProtection="1">
      <alignment horizontal="center"/>
      <protection hidden="1"/>
    </xf>
    <xf numFmtId="0" fontId="5" fillId="12" borderId="153" xfId="0" applyFont="1" applyFill="1" applyBorder="1" applyAlignment="1" applyProtection="1">
      <alignment horizontal="center"/>
      <protection hidden="1"/>
    </xf>
    <xf numFmtId="0" fontId="5" fillId="12" borderId="176" xfId="0" applyFont="1" applyFill="1" applyBorder="1" applyAlignment="1" applyProtection="1">
      <alignment horizontal="center"/>
      <protection hidden="1"/>
    </xf>
    <xf numFmtId="0" fontId="5" fillId="15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Protection="1">
      <protection hidden="1"/>
    </xf>
    <xf numFmtId="0" fontId="5" fillId="8" borderId="170" xfId="0" applyFont="1" applyFill="1" applyBorder="1" applyProtection="1">
      <protection hidden="1"/>
    </xf>
    <xf numFmtId="0" fontId="5" fillId="8" borderId="170" xfId="0" applyFont="1" applyFill="1" applyBorder="1" applyAlignment="1" applyProtection="1">
      <alignment horizontal="center"/>
      <protection hidden="1"/>
    </xf>
    <xf numFmtId="0" fontId="5" fillId="8" borderId="174" xfId="0" applyFont="1" applyFill="1" applyBorder="1" applyProtection="1">
      <protection hidden="1"/>
    </xf>
    <xf numFmtId="0" fontId="5" fillId="9" borderId="171" xfId="0" applyFont="1" applyFill="1" applyBorder="1" applyProtection="1">
      <protection hidden="1"/>
    </xf>
    <xf numFmtId="0" fontId="5" fillId="9" borderId="170" xfId="0" applyFont="1" applyFill="1" applyBorder="1" applyProtection="1">
      <protection hidden="1"/>
    </xf>
    <xf numFmtId="0" fontId="5" fillId="9" borderId="170" xfId="0" applyFont="1" applyFill="1" applyBorder="1" applyAlignment="1" applyProtection="1">
      <alignment horizontal="center"/>
      <protection hidden="1"/>
    </xf>
    <xf numFmtId="0" fontId="5" fillId="9" borderId="174" xfId="0" applyFont="1" applyFill="1" applyBorder="1" applyProtection="1">
      <protection hidden="1"/>
    </xf>
    <xf numFmtId="0" fontId="5" fillId="15" borderId="171" xfId="0" applyFont="1" applyFill="1" applyBorder="1" applyProtection="1">
      <protection hidden="1"/>
    </xf>
    <xf numFmtId="0" fontId="5" fillId="15" borderId="170" xfId="0" applyFont="1" applyFill="1" applyBorder="1" applyProtection="1">
      <protection hidden="1"/>
    </xf>
    <xf numFmtId="0" fontId="5" fillId="15" borderId="20" xfId="0" applyFont="1" applyFill="1" applyBorder="1" applyProtection="1">
      <protection hidden="1"/>
    </xf>
    <xf numFmtId="2" fontId="5" fillId="15" borderId="20" xfId="0" applyNumberFormat="1" applyFont="1" applyFill="1" applyBorder="1" applyProtection="1"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9" borderId="41" xfId="0" applyFont="1" applyFill="1" applyBorder="1" applyProtection="1">
      <protection hidden="1"/>
    </xf>
    <xf numFmtId="0" fontId="5" fillId="9" borderId="0" xfId="0" applyFont="1" applyFill="1" applyProtection="1">
      <protection hidden="1"/>
    </xf>
    <xf numFmtId="0" fontId="5" fillId="9" borderId="0" xfId="0" applyFont="1" applyFill="1" applyAlignment="1" applyProtection="1">
      <alignment horizontal="center"/>
      <protection hidden="1"/>
    </xf>
    <xf numFmtId="0" fontId="5" fillId="9" borderId="39" xfId="0" applyFont="1" applyFill="1" applyBorder="1" applyProtection="1">
      <protection hidden="1"/>
    </xf>
    <xf numFmtId="0" fontId="5" fillId="15" borderId="41" xfId="0" applyFont="1" applyFill="1" applyBorder="1" applyProtection="1">
      <protection hidden="1"/>
    </xf>
    <xf numFmtId="0" fontId="5" fillId="15" borderId="0" xfId="0" applyFont="1" applyFill="1" applyProtection="1">
      <protection hidden="1"/>
    </xf>
    <xf numFmtId="2" fontId="5" fillId="15" borderId="40" xfId="0" applyNumberFormat="1" applyFont="1" applyFill="1" applyBorder="1" applyProtection="1"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0" fontId="5" fillId="9" borderId="41" xfId="0" applyFont="1" applyFill="1" applyBorder="1" applyAlignment="1" applyProtection="1">
      <alignment horizontal="center"/>
      <protection hidden="1"/>
    </xf>
    <xf numFmtId="0" fontId="5" fillId="9" borderId="39" xfId="0" applyFont="1" applyFill="1" applyBorder="1" applyAlignment="1" applyProtection="1">
      <alignment horizontal="center"/>
      <protection hidden="1"/>
    </xf>
    <xf numFmtId="2" fontId="5" fillId="8" borderId="36" xfId="0" applyNumberFormat="1" applyFont="1" applyFill="1" applyBorder="1" applyAlignment="1" applyProtection="1">
      <alignment horizontal="center"/>
      <protection hidden="1"/>
    </xf>
    <xf numFmtId="2" fontId="5" fillId="8" borderId="43" xfId="0" applyNumberFormat="1" applyFont="1" applyFill="1" applyBorder="1" applyAlignment="1" applyProtection="1">
      <alignment horizontal="center"/>
      <protection hidden="1"/>
    </xf>
    <xf numFmtId="0" fontId="5" fillId="9" borderId="36" xfId="0" applyFont="1" applyFill="1" applyBorder="1" applyAlignment="1" applyProtection="1">
      <alignment horizontal="center"/>
      <protection hidden="1"/>
    </xf>
    <xf numFmtId="0" fontId="5" fillId="9" borderId="43" xfId="0" applyFont="1" applyFill="1" applyBorder="1" applyAlignment="1" applyProtection="1">
      <alignment horizontal="center"/>
      <protection hidden="1"/>
    </xf>
    <xf numFmtId="2" fontId="5" fillId="9" borderId="36" xfId="0" applyNumberFormat="1" applyFont="1" applyFill="1" applyBorder="1" applyAlignment="1" applyProtection="1">
      <alignment horizontal="center"/>
      <protection hidden="1"/>
    </xf>
    <xf numFmtId="2" fontId="5" fillId="9" borderId="43" xfId="0" applyNumberFormat="1" applyFont="1" applyFill="1" applyBorder="1" applyAlignment="1" applyProtection="1">
      <alignment horizontal="center"/>
      <protection hidden="1"/>
    </xf>
    <xf numFmtId="0" fontId="5" fillId="15" borderId="41" xfId="0" applyFont="1" applyFill="1" applyBorder="1" applyAlignment="1" applyProtection="1">
      <alignment horizontal="left"/>
      <protection hidden="1"/>
    </xf>
    <xf numFmtId="0" fontId="5" fillId="15" borderId="0" xfId="0" applyFont="1" applyFill="1" applyAlignment="1" applyProtection="1">
      <alignment horizontal="left"/>
      <protection hidden="1"/>
    </xf>
    <xf numFmtId="2" fontId="5" fillId="15" borderId="40" xfId="0" applyNumberFormat="1" applyFont="1" applyFill="1" applyBorder="1" applyAlignment="1" applyProtection="1">
      <alignment horizontal="center"/>
      <protection hidden="1"/>
    </xf>
    <xf numFmtId="2" fontId="5" fillId="8" borderId="171" xfId="0" applyNumberFormat="1" applyFont="1" applyFill="1" applyBorder="1" applyAlignment="1" applyProtection="1">
      <alignment horizontal="center"/>
      <protection hidden="1"/>
    </xf>
    <xf numFmtId="2" fontId="5" fillId="8" borderId="20" xfId="0" applyNumberFormat="1" applyFont="1" applyFill="1" applyBorder="1" applyAlignment="1" applyProtection="1">
      <alignment horizontal="center"/>
      <protection hidden="1"/>
    </xf>
    <xf numFmtId="0" fontId="5" fillId="9" borderId="171" xfId="0" applyFont="1" applyFill="1" applyBorder="1" applyAlignment="1" applyProtection="1">
      <alignment horizontal="center"/>
      <protection hidden="1"/>
    </xf>
    <xf numFmtId="0" fontId="5" fillId="9" borderId="20" xfId="0" applyFont="1" applyFill="1" applyBorder="1" applyAlignment="1" applyProtection="1">
      <alignment horizontal="center"/>
      <protection hidden="1"/>
    </xf>
    <xf numFmtId="0" fontId="5" fillId="8" borderId="171" xfId="0" applyFont="1" applyFill="1" applyBorder="1" applyAlignment="1" applyProtection="1">
      <alignment horizontal="center"/>
      <protection hidden="1"/>
    </xf>
    <xf numFmtId="0" fontId="5" fillId="8" borderId="170" xfId="0" applyFont="1" applyFill="1" applyBorder="1" applyAlignment="1" applyProtection="1">
      <alignment horizontal="right"/>
      <protection hidden="1"/>
    </xf>
    <xf numFmtId="2" fontId="5" fillId="8" borderId="170" xfId="0" applyNumberFormat="1" applyFont="1" applyFill="1" applyBorder="1" applyAlignment="1" applyProtection="1">
      <alignment horizontal="center"/>
      <protection hidden="1"/>
    </xf>
    <xf numFmtId="2" fontId="5" fillId="8" borderId="174" xfId="0" applyNumberFormat="1" applyFont="1" applyFill="1" applyBorder="1" applyAlignment="1" applyProtection="1">
      <alignment horizontal="center"/>
      <protection hidden="1"/>
    </xf>
    <xf numFmtId="0" fontId="5" fillId="9" borderId="170" xfId="0" applyFont="1" applyFill="1" applyBorder="1" applyAlignment="1" applyProtection="1">
      <alignment horizontal="right"/>
      <protection hidden="1"/>
    </xf>
    <xf numFmtId="2" fontId="5" fillId="9" borderId="174" xfId="0" applyNumberFormat="1" applyFont="1" applyFill="1" applyBorder="1" applyAlignment="1" applyProtection="1">
      <alignment horizontal="center"/>
      <protection hidden="1"/>
    </xf>
    <xf numFmtId="2" fontId="5" fillId="8" borderId="172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center"/>
      <protection hidden="1"/>
    </xf>
    <xf numFmtId="2" fontId="5" fillId="8" borderId="173" xfId="0" applyNumberFormat="1" applyFont="1" applyFill="1" applyBorder="1" applyAlignment="1" applyProtection="1">
      <alignment horizontal="right"/>
      <protection hidden="1"/>
    </xf>
    <xf numFmtId="2" fontId="5" fillId="8" borderId="175" xfId="0" applyNumberFormat="1" applyFont="1" applyFill="1" applyBorder="1" applyAlignment="1" applyProtection="1">
      <alignment horizontal="center"/>
      <protection hidden="1"/>
    </xf>
    <xf numFmtId="0" fontId="5" fillId="9" borderId="172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center"/>
      <protection hidden="1"/>
    </xf>
    <xf numFmtId="0" fontId="5" fillId="9" borderId="173" xfId="0" applyFont="1" applyFill="1" applyBorder="1" applyAlignment="1" applyProtection="1">
      <alignment horizontal="right"/>
      <protection hidden="1"/>
    </xf>
    <xf numFmtId="0" fontId="5" fillId="9" borderId="175" xfId="0" applyFont="1" applyFill="1" applyBorder="1" applyAlignment="1" applyProtection="1">
      <alignment horizontal="center"/>
      <protection hidden="1"/>
    </xf>
    <xf numFmtId="0" fontId="5" fillId="15" borderId="172" xfId="0" applyFont="1" applyFill="1" applyBorder="1" applyAlignment="1" applyProtection="1">
      <alignment horizontal="center"/>
      <protection hidden="1"/>
    </xf>
    <xf numFmtId="0" fontId="5" fillId="15" borderId="173" xfId="0" applyFont="1" applyFill="1" applyBorder="1" applyAlignment="1" applyProtection="1">
      <alignment horizontal="center"/>
      <protection hidden="1"/>
    </xf>
    <xf numFmtId="2" fontId="5" fillId="15" borderId="42" xfId="0" applyNumberFormat="1" applyFont="1" applyFill="1" applyBorder="1" applyAlignment="1" applyProtection="1">
      <alignment horizontal="center"/>
      <protection hidden="1"/>
    </xf>
    <xf numFmtId="0" fontId="12" fillId="15" borderId="170" xfId="0" applyFont="1" applyFill="1" applyBorder="1" applyAlignment="1" applyProtection="1">
      <alignment horizontal="center" vertical="center" wrapText="1"/>
      <protection hidden="1"/>
    </xf>
    <xf numFmtId="2" fontId="12" fillId="15" borderId="0" xfId="0" applyNumberFormat="1" applyFont="1" applyFill="1" applyAlignment="1" applyProtection="1">
      <alignment horizontal="center" vertical="center"/>
      <protection hidden="1"/>
    </xf>
    <xf numFmtId="3" fontId="12" fillId="15" borderId="0" xfId="0" applyNumberFormat="1" applyFont="1" applyFill="1" applyAlignment="1" applyProtection="1">
      <alignment horizontal="center" vertical="center"/>
      <protection hidden="1"/>
    </xf>
    <xf numFmtId="0" fontId="5" fillId="15" borderId="174" xfId="0" applyFont="1" applyFill="1" applyBorder="1" applyProtection="1">
      <protection hidden="1"/>
    </xf>
    <xf numFmtId="1" fontId="5" fillId="15" borderId="20" xfId="0" applyNumberFormat="1" applyFont="1" applyFill="1" applyBorder="1" applyProtection="1">
      <protection hidden="1"/>
    </xf>
    <xf numFmtId="0" fontId="5" fillId="15" borderId="171" xfId="0" applyFont="1" applyFill="1" applyBorder="1" applyAlignment="1" applyProtection="1">
      <alignment horizontal="center"/>
      <protection hidden="1"/>
    </xf>
    <xf numFmtId="2" fontId="5" fillId="15" borderId="20" xfId="0" applyNumberFormat="1" applyFont="1" applyFill="1" applyBorder="1" applyAlignment="1" applyProtection="1">
      <alignment horizontal="center"/>
      <protection hidden="1"/>
    </xf>
    <xf numFmtId="0" fontId="5" fillId="15" borderId="39" xfId="0" applyFont="1" applyFill="1" applyBorder="1" applyProtection="1">
      <protection hidden="1"/>
    </xf>
    <xf numFmtId="1" fontId="5" fillId="15" borderId="40" xfId="0" applyNumberFormat="1" applyFont="1" applyFill="1" applyBorder="1" applyProtection="1">
      <protection hidden="1"/>
    </xf>
    <xf numFmtId="1" fontId="5" fillId="15" borderId="40" xfId="0" applyNumberFormat="1" applyFont="1" applyFill="1" applyBorder="1" applyAlignment="1" applyProtection="1">
      <alignment horizontal="center"/>
      <protection hidden="1"/>
    </xf>
    <xf numFmtId="3" fontId="5" fillId="15" borderId="0" xfId="0" applyNumberFormat="1" applyFont="1" applyFill="1" applyAlignment="1" applyProtection="1">
      <alignment horizontal="center" vertical="center"/>
      <protection hidden="1"/>
    </xf>
    <xf numFmtId="3" fontId="5" fillId="15" borderId="39" xfId="0" applyNumberFormat="1" applyFont="1" applyFill="1" applyBorder="1" applyAlignment="1" applyProtection="1">
      <alignment horizontal="center"/>
      <protection hidden="1"/>
    </xf>
    <xf numFmtId="1" fontId="5" fillId="15" borderId="42" xfId="0" applyNumberFormat="1" applyFont="1" applyFill="1" applyBorder="1" applyAlignment="1" applyProtection="1">
      <alignment horizontal="center"/>
      <protection hidden="1"/>
    </xf>
    <xf numFmtId="0" fontId="5" fillId="15" borderId="175" xfId="0" applyFont="1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2" fontId="0" fillId="10" borderId="0" xfId="0" applyNumberFormat="1" applyFill="1" applyAlignment="1" applyProtection="1">
      <alignment horizontal="center"/>
      <protection hidden="1"/>
    </xf>
    <xf numFmtId="2" fontId="0" fillId="3" borderId="0" xfId="0" applyNumberFormat="1" applyFill="1" applyProtection="1">
      <protection hidden="1"/>
    </xf>
    <xf numFmtId="1" fontId="0" fillId="3" borderId="0" xfId="0" applyNumberFormat="1" applyFill="1" applyProtection="1">
      <protection hidden="1"/>
    </xf>
    <xf numFmtId="4" fontId="0" fillId="16" borderId="43" xfId="0" applyNumberFormat="1" applyFill="1" applyBorder="1" applyAlignment="1" applyProtection="1">
      <alignment horizontal="center"/>
      <protection hidden="1"/>
    </xf>
    <xf numFmtId="2" fontId="8" fillId="2" borderId="39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131" xfId="0" applyFill="1" applyBorder="1" applyAlignment="1" applyProtection="1">
      <alignment horizontal="center"/>
      <protection locked="0"/>
    </xf>
    <xf numFmtId="1" fontId="0" fillId="0" borderId="6" xfId="0" applyNumberFormat="1" applyBorder="1" applyAlignment="1" applyProtection="1">
      <alignment horizontal="center"/>
      <protection hidden="1"/>
    </xf>
    <xf numFmtId="164" fontId="0" fillId="0" borderId="6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177" xfId="0" applyBorder="1" applyAlignment="1" applyProtection="1">
      <alignment horizontal="center"/>
      <protection hidden="1"/>
    </xf>
    <xf numFmtId="1" fontId="0" fillId="0" borderId="177" xfId="0" applyNumberFormat="1" applyBorder="1" applyAlignment="1" applyProtection="1">
      <alignment horizontal="center"/>
      <protection hidden="1"/>
    </xf>
    <xf numFmtId="2" fontId="0" fillId="0" borderId="177" xfId="0" applyNumberFormat="1" applyBorder="1" applyAlignment="1" applyProtection="1">
      <alignment horizontal="center"/>
      <protection hidden="1"/>
    </xf>
    <xf numFmtId="164" fontId="0" fillId="0" borderId="177" xfId="0" applyNumberFormat="1" applyBorder="1" applyAlignment="1" applyProtection="1">
      <alignment horizontal="center"/>
      <protection hidden="1"/>
    </xf>
    <xf numFmtId="2" fontId="6" fillId="15" borderId="7" xfId="0" applyNumberFormat="1" applyFont="1" applyFill="1" applyBorder="1" applyAlignment="1" applyProtection="1">
      <alignment horizontal="center"/>
      <protection hidden="1"/>
    </xf>
    <xf numFmtId="2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" xfId="0" applyNumberFormat="1" applyFont="1" applyFill="1" applyBorder="1" applyAlignment="1" applyProtection="1">
      <alignment horizontal="center"/>
      <protection hidden="1"/>
    </xf>
    <xf numFmtId="2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29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164" fontId="6" fillId="15" borderId="9" xfId="0" applyNumberFormat="1" applyFont="1" applyFill="1" applyBorder="1" applyAlignment="1" applyProtection="1">
      <alignment horizontal="center"/>
      <protection hidden="1"/>
    </xf>
    <xf numFmtId="2" fontId="6" fillId="15" borderId="178" xfId="0" applyNumberFormat="1" applyFont="1" applyFill="1" applyBorder="1" applyAlignment="1" applyProtection="1">
      <alignment horizontal="center"/>
      <protection hidden="1"/>
    </xf>
    <xf numFmtId="164" fontId="6" fillId="15" borderId="18" xfId="0" applyNumberFormat="1" applyFont="1" applyFill="1" applyBorder="1" applyAlignment="1" applyProtection="1">
      <alignment horizontal="center"/>
      <protection hidden="1"/>
    </xf>
    <xf numFmtId="2" fontId="6" fillId="15" borderId="179" xfId="0" applyNumberFormat="1" applyFont="1" applyFill="1" applyBorder="1" applyAlignment="1" applyProtection="1">
      <alignment horizontal="center"/>
      <protection hidden="1"/>
    </xf>
    <xf numFmtId="2" fontId="5" fillId="15" borderId="171" xfId="0" applyNumberFormat="1" applyFont="1" applyFill="1" applyBorder="1" applyProtection="1">
      <protection hidden="1"/>
    </xf>
    <xf numFmtId="2" fontId="5" fillId="15" borderId="41" xfId="0" applyNumberFormat="1" applyFont="1" applyFill="1" applyBorder="1" applyProtection="1">
      <protection hidden="1"/>
    </xf>
    <xf numFmtId="2" fontId="5" fillId="15" borderId="41" xfId="0" applyNumberFormat="1" applyFont="1" applyFill="1" applyBorder="1" applyAlignment="1" applyProtection="1">
      <alignment horizontal="center"/>
      <protection hidden="1"/>
    </xf>
    <xf numFmtId="2" fontId="0" fillId="0" borderId="152" xfId="0" applyNumberFormat="1" applyBorder="1" applyAlignment="1" applyProtection="1">
      <alignment horizontal="center"/>
      <protection hidden="1"/>
    </xf>
    <xf numFmtId="2" fontId="0" fillId="0" borderId="154" xfId="0" applyNumberFormat="1" applyBorder="1" applyAlignment="1" applyProtection="1">
      <alignment horizontal="center"/>
      <protection hidden="1"/>
    </xf>
    <xf numFmtId="2" fontId="0" fillId="0" borderId="180" xfId="0" applyNumberFormat="1" applyBorder="1" applyProtection="1">
      <protection hidden="1"/>
    </xf>
    <xf numFmtId="2" fontId="0" fillId="0" borderId="36" xfId="0" applyNumberFormat="1" applyBorder="1" applyProtection="1">
      <protection hidden="1"/>
    </xf>
    <xf numFmtId="2" fontId="0" fillId="0" borderId="41" xfId="0" applyNumberFormat="1" applyBorder="1" applyProtection="1">
      <protection hidden="1"/>
    </xf>
    <xf numFmtId="2" fontId="0" fillId="17" borderId="1" xfId="0" applyNumberFormat="1" applyFill="1" applyBorder="1" applyAlignment="1" applyProtection="1">
      <alignment horizontal="center"/>
      <protection hidden="1"/>
    </xf>
    <xf numFmtId="0" fontId="0" fillId="0" borderId="160" xfId="0" applyBorder="1" applyProtection="1">
      <protection hidden="1"/>
    </xf>
    <xf numFmtId="2" fontId="0" fillId="0" borderId="25" xfId="0" applyNumberFormat="1" applyBorder="1" applyProtection="1">
      <protection hidden="1"/>
    </xf>
    <xf numFmtId="0" fontId="0" fillId="0" borderId="2" xfId="0" applyBorder="1" applyProtection="1">
      <protection hidden="1"/>
    </xf>
    <xf numFmtId="2" fontId="0" fillId="0" borderId="25" xfId="0" applyNumberForma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2" fontId="0" fillId="0" borderId="28" xfId="0" applyNumberFormat="1" applyBorder="1" applyAlignment="1" applyProtection="1">
      <alignment horizontal="center"/>
      <protection hidden="1"/>
    </xf>
    <xf numFmtId="2" fontId="0" fillId="0" borderId="29" xfId="0" applyNumberFormat="1" applyBorder="1" applyProtection="1">
      <protection hidden="1"/>
    </xf>
    <xf numFmtId="0" fontId="0" fillId="0" borderId="179" xfId="0" applyBorder="1" applyProtection="1">
      <protection hidden="1"/>
    </xf>
    <xf numFmtId="2" fontId="0" fillId="0" borderId="181" xfId="0" applyNumberFormat="1" applyBorder="1" applyAlignment="1" applyProtection="1">
      <alignment horizontal="center"/>
      <protection hidden="1"/>
    </xf>
    <xf numFmtId="0" fontId="0" fillId="0" borderId="179" xfId="0" applyBorder="1" applyAlignment="1" applyProtection="1">
      <alignment horizontal="center"/>
      <protection hidden="1"/>
    </xf>
    <xf numFmtId="2" fontId="3" fillId="4" borderId="134" xfId="0" applyNumberFormat="1" applyFont="1" applyFill="1" applyBorder="1" applyAlignment="1" applyProtection="1">
      <alignment horizontal="center"/>
      <protection locked="0"/>
    </xf>
    <xf numFmtId="0" fontId="0" fillId="4" borderId="135" xfId="0" applyFill="1" applyBorder="1" applyAlignment="1" applyProtection="1">
      <alignment horizontal="center"/>
      <protection locked="0"/>
    </xf>
    <xf numFmtId="2" fontId="3" fillId="6" borderId="131" xfId="0" applyNumberFormat="1" applyFont="1" applyFill="1" applyBorder="1" applyAlignment="1" applyProtection="1">
      <alignment horizontal="center"/>
      <protection locked="0"/>
    </xf>
    <xf numFmtId="0" fontId="0" fillId="6" borderId="69" xfId="0" applyFill="1" applyBorder="1" applyAlignment="1" applyProtection="1">
      <alignment horizontal="center"/>
      <protection locked="0"/>
    </xf>
    <xf numFmtId="2" fontId="0" fillId="10" borderId="153" xfId="0" applyNumberFormat="1" applyFill="1" applyBorder="1" applyAlignment="1" applyProtection="1">
      <alignment horizontal="center"/>
      <protection locked="0"/>
    </xf>
    <xf numFmtId="0" fontId="29" fillId="4" borderId="58" xfId="0" applyFont="1" applyFill="1" applyBorder="1" applyAlignment="1">
      <alignment horizontal="center"/>
    </xf>
    <xf numFmtId="0" fontId="29" fillId="4" borderId="59" xfId="0" applyFont="1" applyFill="1" applyBorder="1" applyAlignment="1">
      <alignment horizontal="center"/>
    </xf>
    <xf numFmtId="0" fontId="0" fillId="6" borderId="57" xfId="0" applyFill="1" applyBorder="1" applyAlignment="1">
      <alignment horizontal="center"/>
    </xf>
    <xf numFmtId="0" fontId="0" fillId="6" borderId="60" xfId="0" applyFill="1" applyBorder="1" applyAlignment="1">
      <alignment horizontal="center"/>
    </xf>
    <xf numFmtId="0" fontId="0" fillId="10" borderId="157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 vertical="center"/>
      <protection hidden="1"/>
    </xf>
    <xf numFmtId="1" fontId="0" fillId="0" borderId="26" xfId="0" applyNumberFormat="1" applyBorder="1" applyAlignment="1" applyProtection="1">
      <alignment vertical="center"/>
      <protection hidden="1"/>
    </xf>
    <xf numFmtId="1" fontId="0" fillId="0" borderId="31" xfId="0" applyNumberFormat="1" applyBorder="1" applyAlignment="1" applyProtection="1">
      <alignment vertical="center"/>
      <protection hidden="1"/>
    </xf>
    <xf numFmtId="1" fontId="0" fillId="0" borderId="1" xfId="0" applyNumberFormat="1" applyBorder="1" applyAlignment="1" applyProtection="1">
      <alignment vertical="center"/>
      <protection hidden="1"/>
    </xf>
    <xf numFmtId="2" fontId="0" fillId="0" borderId="0" xfId="0" applyNumberFormat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vertical="center"/>
      <protection hidden="1"/>
    </xf>
    <xf numFmtId="2" fontId="0" fillId="0" borderId="2" xfId="0" applyNumberFormat="1" applyBorder="1" applyAlignment="1" applyProtection="1">
      <alignment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right" vertic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0" fontId="0" fillId="0" borderId="184" xfId="0" applyBorder="1" applyAlignment="1" applyProtection="1">
      <alignment horizontal="center"/>
      <protection hidden="1"/>
    </xf>
    <xf numFmtId="0" fontId="0" fillId="0" borderId="185" xfId="0" applyBorder="1" applyAlignment="1" applyProtection="1">
      <alignment horizontal="center"/>
      <protection hidden="1"/>
    </xf>
    <xf numFmtId="2" fontId="3" fillId="0" borderId="170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vertical="center"/>
      <protection hidden="1"/>
    </xf>
    <xf numFmtId="2" fontId="1" fillId="0" borderId="1" xfId="0" applyNumberFormat="1" applyFont="1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3" fontId="0" fillId="0" borderId="26" xfId="0" applyNumberFormat="1" applyBorder="1" applyAlignment="1" applyProtection="1">
      <alignment horizontal="center" vertical="center"/>
      <protection hidden="1"/>
    </xf>
    <xf numFmtId="0" fontId="0" fillId="0" borderId="182" xfId="0" applyBorder="1" applyAlignment="1" applyProtection="1">
      <alignment vertical="center"/>
      <protection hidden="1"/>
    </xf>
    <xf numFmtId="2" fontId="3" fillId="0" borderId="170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2" fontId="1" fillId="0" borderId="182" xfId="0" applyNumberFormat="1" applyFont="1" applyBorder="1" applyAlignment="1" applyProtection="1">
      <alignment horizontal="center" vertical="center"/>
      <protection hidden="1"/>
    </xf>
    <xf numFmtId="2" fontId="3" fillId="0" borderId="8" xfId="0" applyNumberFormat="1" applyFont="1" applyBorder="1" applyAlignment="1" applyProtection="1">
      <alignment vertical="center"/>
      <protection hidden="1"/>
    </xf>
    <xf numFmtId="0" fontId="32" fillId="0" borderId="0" xfId="0" applyFont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0" fontId="33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right"/>
      <protection hidden="1"/>
    </xf>
    <xf numFmtId="0" fontId="34" fillId="0" borderId="177" xfId="0" applyFont="1" applyBorder="1" applyAlignment="1" applyProtection="1">
      <alignment horizontal="right"/>
      <protection hidden="1"/>
    </xf>
    <xf numFmtId="0" fontId="35" fillId="0" borderId="23" xfId="0" applyFont="1" applyBorder="1" applyAlignment="1" applyProtection="1">
      <alignment horizontal="center"/>
      <protection hidden="1"/>
    </xf>
    <xf numFmtId="0" fontId="34" fillId="0" borderId="177" xfId="0" applyFont="1" applyBorder="1" applyAlignment="1" applyProtection="1">
      <alignment horizontal="center"/>
      <protection hidden="1"/>
    </xf>
    <xf numFmtId="0" fontId="34" fillId="0" borderId="187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Continuous"/>
      <protection hidden="1"/>
    </xf>
    <xf numFmtId="0" fontId="34" fillId="0" borderId="23" xfId="0" applyFont="1" applyBorder="1" applyAlignment="1" applyProtection="1">
      <alignment horizontal="center"/>
      <protection hidden="1"/>
    </xf>
    <xf numFmtId="0" fontId="35" fillId="0" borderId="177" xfId="0" applyFont="1" applyBorder="1" applyAlignment="1" applyProtection="1">
      <alignment horizontal="center"/>
      <protection locked="0"/>
    </xf>
    <xf numFmtId="0" fontId="35" fillId="0" borderId="187" xfId="0" applyFont="1" applyBorder="1" applyAlignment="1" applyProtection="1">
      <alignment horizontal="left"/>
      <protection locked="0"/>
    </xf>
    <xf numFmtId="0" fontId="35" fillId="0" borderId="23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right"/>
      <protection hidden="1"/>
    </xf>
    <xf numFmtId="0" fontId="35" fillId="0" borderId="183" xfId="0" applyFont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82" xfId="0" applyFont="1" applyBorder="1" applyAlignment="1" applyProtection="1">
      <alignment horizontal="left"/>
      <protection locked="0"/>
    </xf>
    <xf numFmtId="0" fontId="35" fillId="0" borderId="183" xfId="0" applyFont="1" applyBorder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quotePrefix="1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right"/>
      <protection hidden="1"/>
    </xf>
    <xf numFmtId="1" fontId="34" fillId="0" borderId="0" xfId="0" applyNumberFormat="1" applyFont="1" applyAlignment="1" applyProtection="1">
      <alignment horizontal="right"/>
      <protection hidden="1"/>
    </xf>
    <xf numFmtId="0" fontId="38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2" fontId="33" fillId="0" borderId="0" xfId="0" applyNumberFormat="1" applyFont="1" applyAlignment="1" applyProtection="1">
      <alignment horizontal="center"/>
      <protection hidden="1"/>
    </xf>
    <xf numFmtId="0" fontId="37" fillId="0" borderId="0" xfId="0" applyFont="1" applyProtection="1">
      <protection hidden="1"/>
    </xf>
    <xf numFmtId="1" fontId="37" fillId="0" borderId="0" xfId="0" applyNumberFormat="1" applyFont="1" applyAlignment="1" applyProtection="1">
      <alignment horizontal="center"/>
      <protection hidden="1"/>
    </xf>
    <xf numFmtId="164" fontId="33" fillId="0" borderId="0" xfId="0" applyNumberFormat="1" applyFont="1" applyAlignment="1" applyProtection="1">
      <alignment horizontal="center"/>
      <protection hidden="1"/>
    </xf>
    <xf numFmtId="0" fontId="32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center"/>
      <protection hidden="1"/>
    </xf>
    <xf numFmtId="1" fontId="33" fillId="0" borderId="0" xfId="0" applyNumberFormat="1" applyFont="1" applyProtection="1">
      <protection hidden="1"/>
    </xf>
    <xf numFmtId="0" fontId="39" fillId="0" borderId="0" xfId="0" applyFont="1" applyAlignment="1" applyProtection="1">
      <alignment horizontal="centerContinuous"/>
      <protection hidden="1"/>
    </xf>
    <xf numFmtId="0" fontId="40" fillId="0" borderId="0" xfId="0" applyFont="1" applyAlignment="1" applyProtection="1">
      <alignment horizontal="centerContinuous"/>
      <protection hidden="1"/>
    </xf>
    <xf numFmtId="0" fontId="32" fillId="13" borderId="0" xfId="0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Continuous"/>
      <protection hidden="1"/>
    </xf>
    <xf numFmtId="0" fontId="32" fillId="0" borderId="0" xfId="0" applyFont="1" applyAlignment="1" applyProtection="1">
      <alignment horizontal="centerContinuous"/>
      <protection hidden="1"/>
    </xf>
    <xf numFmtId="0" fontId="43" fillId="0" borderId="0" xfId="0" applyFont="1" applyProtection="1">
      <protection hidden="1"/>
    </xf>
    <xf numFmtId="0" fontId="41" fillId="0" borderId="0" xfId="0" applyFont="1" applyProtection="1">
      <protection locked="0"/>
    </xf>
    <xf numFmtId="0" fontId="32" fillId="0" borderId="0" xfId="0" quotePrefix="1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left"/>
      <protection hidden="1"/>
    </xf>
    <xf numFmtId="2" fontId="37" fillId="0" borderId="0" xfId="0" applyNumberFormat="1" applyFont="1" applyAlignment="1" applyProtection="1">
      <alignment horizontal="center"/>
      <protection hidden="1"/>
    </xf>
    <xf numFmtId="1" fontId="44" fillId="0" borderId="0" xfId="0" applyNumberFormat="1" applyFont="1" applyAlignment="1" applyProtection="1">
      <alignment horizontal="center"/>
      <protection hidden="1"/>
    </xf>
    <xf numFmtId="1" fontId="37" fillId="0" borderId="0" xfId="0" applyNumberFormat="1" applyFont="1" applyAlignment="1" applyProtection="1">
      <alignment horizontal="left"/>
      <protection hidden="1"/>
    </xf>
    <xf numFmtId="2" fontId="45" fillId="0" borderId="0" xfId="0" applyNumberFormat="1" applyFont="1" applyAlignment="1" applyProtection="1">
      <alignment horizontal="center"/>
      <protection hidden="1"/>
    </xf>
    <xf numFmtId="1" fontId="45" fillId="0" borderId="0" xfId="0" applyNumberFormat="1" applyFont="1" applyAlignment="1" applyProtection="1">
      <alignment horizontal="center"/>
      <protection hidden="1"/>
    </xf>
    <xf numFmtId="1" fontId="36" fillId="0" borderId="0" xfId="0" applyNumberFormat="1" applyFont="1" applyProtection="1">
      <protection locked="0"/>
    </xf>
    <xf numFmtId="0" fontId="45" fillId="0" borderId="0" xfId="0" applyFont="1" applyAlignment="1" applyProtection="1">
      <alignment horizontal="center"/>
      <protection hidden="1"/>
    </xf>
    <xf numFmtId="1" fontId="36" fillId="0" borderId="0" xfId="0" applyNumberFormat="1" applyFont="1" applyAlignment="1" applyProtection="1">
      <alignment horizontal="center"/>
      <protection locked="0" hidden="1"/>
    </xf>
    <xf numFmtId="0" fontId="40" fillId="0" borderId="0" xfId="0" applyFont="1" applyProtection="1">
      <protection hidden="1"/>
    </xf>
    <xf numFmtId="0" fontId="41" fillId="0" borderId="0" xfId="0" applyFont="1" applyAlignment="1" applyProtection="1">
      <alignment horizontal="centerContinuous"/>
      <protection hidden="1"/>
    </xf>
    <xf numFmtId="0" fontId="41" fillId="0" borderId="0" xfId="0" applyFont="1" applyProtection="1">
      <protection hidden="1"/>
    </xf>
    <xf numFmtId="0" fontId="33" fillId="0" borderId="0" xfId="0" applyFont="1" applyProtection="1">
      <protection locked="0"/>
    </xf>
    <xf numFmtId="2" fontId="37" fillId="0" borderId="0" xfId="0" applyNumberFormat="1" applyFont="1" applyAlignment="1" applyProtection="1">
      <alignment horizontal="right"/>
      <protection hidden="1"/>
    </xf>
    <xf numFmtId="1" fontId="37" fillId="0" borderId="0" xfId="0" applyNumberFormat="1" applyFont="1" applyAlignment="1" applyProtection="1">
      <alignment horizontal="right"/>
      <protection hidden="1"/>
    </xf>
    <xf numFmtId="0" fontId="36" fillId="0" borderId="0" xfId="0" applyFont="1" applyAlignment="1" applyProtection="1">
      <alignment horizontal="left"/>
      <protection locked="0"/>
    </xf>
    <xf numFmtId="2" fontId="37" fillId="0" borderId="0" xfId="0" applyNumberFormat="1" applyFont="1" applyProtection="1">
      <protection hidden="1"/>
    </xf>
    <xf numFmtId="2" fontId="36" fillId="0" borderId="0" xfId="0" applyNumberFormat="1" applyFont="1" applyProtection="1">
      <protection hidden="1"/>
    </xf>
    <xf numFmtId="2" fontId="33" fillId="0" borderId="0" xfId="0" applyNumberFormat="1" applyFont="1" applyProtection="1">
      <protection hidden="1"/>
    </xf>
    <xf numFmtId="0" fontId="47" fillId="0" borderId="0" xfId="0" applyFont="1" applyProtection="1">
      <protection hidden="1"/>
    </xf>
    <xf numFmtId="1" fontId="45" fillId="0" borderId="0" xfId="0" applyNumberFormat="1" applyFont="1" applyAlignment="1" applyProtection="1">
      <alignment horizontal="right"/>
      <protection hidden="1"/>
    </xf>
    <xf numFmtId="0" fontId="48" fillId="0" borderId="0" xfId="0" applyFont="1" applyAlignment="1" applyProtection="1">
      <alignment horizontal="center"/>
      <protection hidden="1"/>
    </xf>
    <xf numFmtId="2" fontId="34" fillId="0" borderId="0" xfId="0" applyNumberFormat="1" applyFont="1" applyProtection="1">
      <protection hidden="1"/>
    </xf>
    <xf numFmtId="2" fontId="34" fillId="0" borderId="0" xfId="0" applyNumberFormat="1" applyFont="1" applyAlignment="1" applyProtection="1">
      <alignment horizontal="center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0" borderId="0" xfId="0" applyNumberFormat="1" applyFont="1" applyAlignment="1" applyProtection="1">
      <alignment horizontal="right"/>
      <protection hidden="1"/>
    </xf>
    <xf numFmtId="2" fontId="34" fillId="0" borderId="1" xfId="0" applyNumberFormat="1" applyFont="1" applyBorder="1" applyAlignment="1" applyProtection="1">
      <alignment horizontal="center"/>
      <protection hidden="1"/>
    </xf>
    <xf numFmtId="2" fontId="34" fillId="0" borderId="1" xfId="0" applyNumberFormat="1" applyFont="1" applyBorder="1" applyProtection="1">
      <protection hidden="1"/>
    </xf>
    <xf numFmtId="2" fontId="34" fillId="15" borderId="20" xfId="0" applyNumberFormat="1" applyFont="1" applyFill="1" applyBorder="1" applyProtection="1"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0" xfId="0" applyNumberFormat="1" applyFont="1" applyFill="1" applyBorder="1" applyAlignment="1" applyProtection="1">
      <alignment horizontal="center"/>
      <protection hidden="1"/>
    </xf>
    <xf numFmtId="2" fontId="34" fillId="15" borderId="42" xfId="0" applyNumberFormat="1" applyFont="1" applyFill="1" applyBorder="1" applyAlignment="1" applyProtection="1">
      <alignment horizontal="center"/>
      <protection hidden="1"/>
    </xf>
    <xf numFmtId="2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29" xfId="0" applyNumberFormat="1" applyFont="1" applyFill="1" applyBorder="1" applyAlignment="1" applyProtection="1">
      <alignment horizontal="center"/>
      <protection hidden="1"/>
    </xf>
    <xf numFmtId="2" fontId="34" fillId="15" borderId="189" xfId="0" applyNumberFormat="1" applyFont="1" applyFill="1" applyBorder="1" applyAlignment="1" applyProtection="1">
      <alignment horizontal="center"/>
      <protection hidden="1"/>
    </xf>
    <xf numFmtId="2" fontId="34" fillId="15" borderId="19" xfId="0" applyNumberFormat="1" applyFont="1" applyFill="1" applyBorder="1" applyAlignment="1" applyProtection="1">
      <alignment horizontal="center"/>
      <protection hidden="1"/>
    </xf>
    <xf numFmtId="2" fontId="34" fillId="0" borderId="7" xfId="0" applyNumberFormat="1" applyFont="1" applyBorder="1" applyProtection="1">
      <protection hidden="1"/>
    </xf>
    <xf numFmtId="2" fontId="34" fillId="0" borderId="9" xfId="0" applyNumberFormat="1" applyFont="1" applyBorder="1" applyProtection="1">
      <protection hidden="1"/>
    </xf>
    <xf numFmtId="2" fontId="34" fillId="0" borderId="188" xfId="0" applyNumberFormat="1" applyFont="1" applyBorder="1" applyProtection="1">
      <protection hidden="1"/>
    </xf>
    <xf numFmtId="2" fontId="34" fillId="0" borderId="10" xfId="0" applyNumberFormat="1" applyFont="1" applyBorder="1" applyProtection="1">
      <protection hidden="1"/>
    </xf>
    <xf numFmtId="0" fontId="33" fillId="0" borderId="11" xfId="0" applyFont="1" applyBorder="1" applyAlignment="1" applyProtection="1">
      <alignment horizontal="center"/>
      <protection hidden="1"/>
    </xf>
    <xf numFmtId="0" fontId="33" fillId="0" borderId="12" xfId="0" applyFont="1" applyBorder="1" applyAlignment="1" applyProtection="1">
      <alignment horizontal="center"/>
      <protection hidden="1"/>
    </xf>
    <xf numFmtId="2" fontId="33" fillId="0" borderId="12" xfId="0" applyNumberFormat="1" applyFont="1" applyBorder="1" applyAlignment="1" applyProtection="1">
      <alignment horizontal="center"/>
      <protection hidden="1"/>
    </xf>
    <xf numFmtId="2" fontId="33" fillId="0" borderId="185" xfId="0" applyNumberFormat="1" applyFont="1" applyBorder="1" applyAlignment="1" applyProtection="1">
      <alignment horizontal="center"/>
      <protection hidden="1"/>
    </xf>
    <xf numFmtId="2" fontId="33" fillId="0" borderId="13" xfId="0" applyNumberFormat="1" applyFont="1" applyBorder="1" applyAlignment="1" applyProtection="1">
      <alignment horizontal="center"/>
      <protection hidden="1"/>
    </xf>
    <xf numFmtId="0" fontId="33" fillId="0" borderId="181" xfId="0" applyFont="1" applyBorder="1" applyAlignment="1" applyProtection="1">
      <alignment horizontal="center"/>
      <protection hidden="1"/>
    </xf>
    <xf numFmtId="0" fontId="33" fillId="0" borderId="6" xfId="0" applyFont="1" applyBorder="1" applyAlignment="1" applyProtection="1">
      <alignment horizontal="center"/>
      <protection hidden="1"/>
    </xf>
    <xf numFmtId="2" fontId="33" fillId="0" borderId="6" xfId="0" applyNumberFormat="1" applyFont="1" applyBorder="1" applyAlignment="1" applyProtection="1">
      <alignment horizontal="center"/>
      <protection hidden="1"/>
    </xf>
    <xf numFmtId="2" fontId="33" fillId="0" borderId="3" xfId="0" applyNumberFormat="1" applyFont="1" applyBorder="1" applyAlignment="1" applyProtection="1">
      <alignment horizontal="center"/>
      <protection hidden="1"/>
    </xf>
    <xf numFmtId="2" fontId="33" fillId="0" borderId="190" xfId="0" applyNumberFormat="1" applyFont="1" applyBorder="1" applyAlignment="1" applyProtection="1">
      <alignment horizontal="center"/>
      <protection hidden="1"/>
    </xf>
    <xf numFmtId="2" fontId="33" fillId="0" borderId="1" xfId="0" applyNumberFormat="1" applyFont="1" applyBorder="1" applyAlignment="1" applyProtection="1">
      <alignment horizontal="center"/>
      <protection hidden="1"/>
    </xf>
    <xf numFmtId="0" fontId="33" fillId="0" borderId="171" xfId="0" applyFont="1" applyBorder="1" applyProtection="1">
      <protection hidden="1"/>
    </xf>
    <xf numFmtId="0" fontId="33" fillId="0" borderId="170" xfId="0" applyFont="1" applyBorder="1" applyProtection="1">
      <protection hidden="1"/>
    </xf>
    <xf numFmtId="0" fontId="33" fillId="0" borderId="174" xfId="0" applyFont="1" applyBorder="1" applyProtection="1">
      <protection hidden="1"/>
    </xf>
    <xf numFmtId="0" fontId="33" fillId="0" borderId="43" xfId="0" applyFont="1" applyBorder="1" applyAlignment="1" applyProtection="1">
      <alignment horizontal="center"/>
      <protection hidden="1"/>
    </xf>
    <xf numFmtId="2" fontId="33" fillId="0" borderId="43" xfId="0" applyNumberFormat="1" applyFont="1" applyBorder="1" applyAlignment="1" applyProtection="1">
      <alignment horizontal="center"/>
      <protection hidden="1"/>
    </xf>
    <xf numFmtId="2" fontId="33" fillId="0" borderId="39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Alignment="1" applyProtection="1">
      <alignment horizontal="center"/>
      <protection hidden="1"/>
    </xf>
    <xf numFmtId="2" fontId="33" fillId="0" borderId="40" xfId="0" applyNumberFormat="1" applyFont="1" applyBorder="1" applyProtection="1">
      <protection hidden="1"/>
    </xf>
    <xf numFmtId="2" fontId="33" fillId="0" borderId="38" xfId="0" applyNumberFormat="1" applyFont="1" applyBorder="1" applyAlignment="1" applyProtection="1">
      <alignment horizontal="center"/>
      <protection hidden="1"/>
    </xf>
    <xf numFmtId="2" fontId="33" fillId="0" borderId="43" xfId="0" applyNumberFormat="1" applyFont="1" applyBorder="1" applyProtection="1">
      <protection hidden="1"/>
    </xf>
    <xf numFmtId="2" fontId="44" fillId="2" borderId="0" xfId="0" applyNumberFormat="1" applyFont="1" applyFill="1" applyProtection="1">
      <protection hidden="1"/>
    </xf>
    <xf numFmtId="2" fontId="44" fillId="2" borderId="0" xfId="0" applyNumberFormat="1" applyFont="1" applyFill="1" applyAlignment="1" applyProtection="1">
      <alignment horizontal="right"/>
      <protection hidden="1"/>
    </xf>
    <xf numFmtId="2" fontId="44" fillId="2" borderId="0" xfId="0" applyNumberFormat="1" applyFont="1" applyFill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right"/>
      <protection hidden="1"/>
    </xf>
    <xf numFmtId="164" fontId="33" fillId="0" borderId="0" xfId="0" applyNumberFormat="1" applyFont="1" applyProtection="1">
      <protection hidden="1"/>
    </xf>
    <xf numFmtId="164" fontId="34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center"/>
      <protection hidden="1"/>
    </xf>
    <xf numFmtId="164" fontId="50" fillId="0" borderId="0" xfId="0" applyNumberFormat="1" applyFont="1" applyProtection="1">
      <protection hidden="1"/>
    </xf>
    <xf numFmtId="164" fontId="34" fillId="0" borderId="0" xfId="0" applyNumberFormat="1" applyFont="1" applyAlignment="1" applyProtection="1">
      <alignment horizontal="right"/>
      <protection hidden="1"/>
    </xf>
    <xf numFmtId="0" fontId="34" fillId="0" borderId="0" xfId="0" applyFont="1" applyProtection="1">
      <protection hidden="1"/>
    </xf>
    <xf numFmtId="2" fontId="34" fillId="15" borderId="7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164" fontId="34" fillId="15" borderId="9" xfId="0" applyNumberFormat="1" applyFont="1" applyFill="1" applyBorder="1" applyAlignment="1" applyProtection="1">
      <alignment horizontal="center"/>
      <protection hidden="1"/>
    </xf>
    <xf numFmtId="2" fontId="34" fillId="15" borderId="17" xfId="0" applyNumberFormat="1" applyFont="1" applyFill="1" applyBorder="1" applyAlignment="1" applyProtection="1">
      <alignment horizontal="center"/>
      <protection hidden="1"/>
    </xf>
    <xf numFmtId="2" fontId="34" fillId="15" borderId="178" xfId="0" applyNumberFormat="1" applyFont="1" applyFill="1" applyBorder="1" applyAlignment="1" applyProtection="1">
      <alignment horizontal="center"/>
      <protection hidden="1"/>
    </xf>
    <xf numFmtId="164" fontId="34" fillId="15" borderId="18" xfId="0" applyNumberFormat="1" applyFont="1" applyFill="1" applyBorder="1" applyAlignment="1" applyProtection="1">
      <alignment horizontal="center"/>
      <protection hidden="1"/>
    </xf>
    <xf numFmtId="2" fontId="34" fillId="15" borderId="179" xfId="0" applyNumberFormat="1" applyFont="1" applyFill="1" applyBorder="1" applyAlignment="1" applyProtection="1">
      <alignment horizontal="center"/>
      <protection hidden="1"/>
    </xf>
    <xf numFmtId="2" fontId="34" fillId="0" borderId="8" xfId="0" applyNumberFormat="1" applyFont="1" applyBorder="1" applyProtection="1">
      <protection hidden="1"/>
    </xf>
    <xf numFmtId="164" fontId="34" fillId="0" borderId="9" xfId="0" applyNumberFormat="1" applyFont="1" applyBorder="1" applyProtection="1">
      <protection hidden="1"/>
    </xf>
    <xf numFmtId="1" fontId="33" fillId="0" borderId="12" xfId="0" applyNumberFormat="1" applyFont="1" applyBorder="1" applyAlignment="1" applyProtection="1">
      <alignment horizontal="center"/>
      <protection hidden="1"/>
    </xf>
    <xf numFmtId="164" fontId="33" fillId="0" borderId="12" xfId="0" applyNumberFormat="1" applyFont="1" applyBorder="1" applyAlignment="1" applyProtection="1">
      <alignment horizontal="center"/>
      <protection hidden="1"/>
    </xf>
    <xf numFmtId="0" fontId="33" fillId="0" borderId="13" xfId="0" applyFont="1" applyBorder="1" applyAlignment="1" applyProtection="1">
      <alignment horizontal="center"/>
      <protection hidden="1"/>
    </xf>
    <xf numFmtId="0" fontId="33" fillId="0" borderId="14" xfId="0" applyFont="1" applyBorder="1" applyAlignment="1" applyProtection="1">
      <alignment horizontal="center"/>
      <protection hidden="1"/>
    </xf>
    <xf numFmtId="1" fontId="33" fillId="0" borderId="15" xfId="0" applyNumberFormat="1" applyFont="1" applyBorder="1" applyAlignment="1" applyProtection="1">
      <alignment horizontal="center"/>
      <protection hidden="1"/>
    </xf>
    <xf numFmtId="2" fontId="33" fillId="0" borderId="15" xfId="0" applyNumberFormat="1" applyFont="1" applyBorder="1" applyAlignment="1" applyProtection="1">
      <alignment horizontal="center"/>
      <protection hidden="1"/>
    </xf>
    <xf numFmtId="2" fontId="50" fillId="0" borderId="0" xfId="0" applyNumberFormat="1" applyFont="1" applyProtection="1">
      <protection hidden="1"/>
    </xf>
    <xf numFmtId="0" fontId="34" fillId="0" borderId="1" xfId="0" applyFont="1" applyBorder="1" applyAlignment="1" applyProtection="1">
      <alignment horizontal="center"/>
      <protection hidden="1"/>
    </xf>
    <xf numFmtId="0" fontId="34" fillId="0" borderId="1" xfId="0" applyFont="1" applyBorder="1" applyProtection="1">
      <protection hidden="1"/>
    </xf>
    <xf numFmtId="2" fontId="36" fillId="0" borderId="0" xfId="0" applyNumberFormat="1" applyFont="1" applyAlignment="1" applyProtection="1">
      <alignment horizontal="right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0" fontId="34" fillId="0" borderId="29" xfId="0" applyFont="1" applyBorder="1" applyAlignment="1" applyProtection="1">
      <alignment horizontal="center"/>
      <protection hidden="1"/>
    </xf>
    <xf numFmtId="2" fontId="35" fillId="15" borderId="9" xfId="0" applyNumberFormat="1" applyFont="1" applyFill="1" applyBorder="1" applyAlignment="1" applyProtection="1">
      <alignment horizontal="center"/>
      <protection hidden="1"/>
    </xf>
    <xf numFmtId="0" fontId="34" fillId="15" borderId="18" xfId="0" applyFont="1" applyFill="1" applyBorder="1" applyAlignment="1" applyProtection="1">
      <alignment horizontal="center"/>
      <protection hidden="1"/>
    </xf>
    <xf numFmtId="1" fontId="34" fillId="15" borderId="18" xfId="0" applyNumberFormat="1" applyFont="1" applyFill="1" applyBorder="1" applyAlignment="1" applyProtection="1">
      <alignment horizontal="center"/>
      <protection hidden="1"/>
    </xf>
    <xf numFmtId="2" fontId="35" fillId="15" borderId="18" xfId="0" applyNumberFormat="1" applyFont="1" applyFill="1" applyBorder="1" applyAlignment="1" applyProtection="1">
      <alignment horizontal="center"/>
      <protection hidden="1"/>
    </xf>
    <xf numFmtId="2" fontId="34" fillId="0" borderId="11" xfId="0" applyNumberFormat="1" applyFont="1" applyBorder="1" applyProtection="1">
      <protection hidden="1"/>
    </xf>
    <xf numFmtId="2" fontId="34" fillId="0" borderId="12" xfId="0" applyNumberFormat="1" applyFont="1" applyBorder="1" applyProtection="1">
      <protection hidden="1"/>
    </xf>
    <xf numFmtId="0" fontId="33" fillId="0" borderId="12" xfId="0" applyFont="1" applyBorder="1" applyProtection="1">
      <protection hidden="1"/>
    </xf>
    <xf numFmtId="0" fontId="33" fillId="0" borderId="13" xfId="0" applyFont="1" applyBorder="1" applyProtection="1">
      <protection hidden="1"/>
    </xf>
    <xf numFmtId="3" fontId="33" fillId="0" borderId="12" xfId="0" applyNumberFormat="1" applyFont="1" applyBorder="1" applyAlignment="1" applyProtection="1">
      <alignment horizontal="center"/>
      <protection hidden="1"/>
    </xf>
    <xf numFmtId="3" fontId="33" fillId="0" borderId="15" xfId="0" applyNumberFormat="1" applyFont="1" applyBorder="1" applyAlignment="1" applyProtection="1">
      <alignment horizontal="center"/>
      <protection hidden="1"/>
    </xf>
    <xf numFmtId="0" fontId="33" fillId="0" borderId="15" xfId="0" applyFont="1" applyBorder="1" applyAlignment="1" applyProtection="1">
      <alignment horizontal="center"/>
      <protection hidden="1"/>
    </xf>
    <xf numFmtId="0" fontId="33" fillId="0" borderId="16" xfId="0" applyFont="1" applyBorder="1" applyAlignment="1" applyProtection="1">
      <alignment horizontal="center"/>
      <protection hidden="1"/>
    </xf>
    <xf numFmtId="2" fontId="34" fillId="0" borderId="177" xfId="0" applyNumberFormat="1" applyFont="1" applyBorder="1" applyAlignment="1" applyProtection="1">
      <alignment horizontal="center"/>
      <protection hidden="1"/>
    </xf>
    <xf numFmtId="2" fontId="34" fillId="0" borderId="191" xfId="0" applyNumberFormat="1" applyFont="1" applyBorder="1" applyAlignment="1" applyProtection="1">
      <alignment horizontal="center"/>
      <protection hidden="1"/>
    </xf>
    <xf numFmtId="2" fontId="34" fillId="0" borderId="6" xfId="0" applyNumberFormat="1" applyFont="1" applyBorder="1" applyAlignment="1" applyProtection="1">
      <alignment horizontal="center"/>
      <protection hidden="1"/>
    </xf>
    <xf numFmtId="2" fontId="34" fillId="0" borderId="5" xfId="0" applyNumberFormat="1" applyFont="1" applyBorder="1" applyAlignment="1" applyProtection="1">
      <alignment horizontal="center"/>
      <protection hidden="1"/>
    </xf>
    <xf numFmtId="4" fontId="34" fillId="0" borderId="12" xfId="0" applyNumberFormat="1" applyFont="1" applyBorder="1" applyProtection="1">
      <protection hidden="1"/>
    </xf>
    <xf numFmtId="0" fontId="33" fillId="0" borderId="6" xfId="0" applyFont="1" applyBorder="1" applyProtection="1">
      <protection hidden="1"/>
    </xf>
    <xf numFmtId="4" fontId="34" fillId="0" borderId="1" xfId="0" applyNumberFormat="1" applyFont="1" applyBorder="1" applyProtection="1">
      <protection hidden="1"/>
    </xf>
    <xf numFmtId="2" fontId="34" fillId="15" borderId="11" xfId="0" applyNumberFormat="1" applyFont="1" applyFill="1" applyBorder="1" applyAlignment="1" applyProtection="1">
      <alignment horizontal="center"/>
      <protection hidden="1"/>
    </xf>
    <xf numFmtId="2" fontId="34" fillId="15" borderId="12" xfId="0" applyNumberFormat="1" applyFont="1" applyFill="1" applyBorder="1" applyAlignment="1" applyProtection="1">
      <alignment horizontal="center"/>
      <protection hidden="1"/>
    </xf>
    <xf numFmtId="2" fontId="34" fillId="15" borderId="177" xfId="0" applyNumberFormat="1" applyFont="1" applyFill="1" applyBorder="1" applyAlignment="1" applyProtection="1">
      <alignment horizontal="center"/>
      <protection hidden="1"/>
    </xf>
    <xf numFmtId="2" fontId="34" fillId="15" borderId="192" xfId="0" applyNumberFormat="1" applyFont="1" applyFill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34" fillId="0" borderId="12" xfId="0" applyFont="1" applyBorder="1" applyAlignment="1" applyProtection="1">
      <alignment horizontal="center"/>
      <protection hidden="1"/>
    </xf>
    <xf numFmtId="3" fontId="34" fillId="0" borderId="12" xfId="0" applyNumberFormat="1" applyFont="1" applyBorder="1" applyAlignment="1" applyProtection="1">
      <alignment horizontal="center"/>
      <protection hidden="1"/>
    </xf>
    <xf numFmtId="2" fontId="34" fillId="0" borderId="12" xfId="0" applyNumberFormat="1" applyFont="1" applyBorder="1" applyAlignment="1" applyProtection="1">
      <alignment horizontal="center"/>
      <protection hidden="1"/>
    </xf>
    <xf numFmtId="171" fontId="34" fillId="0" borderId="12" xfId="0" applyNumberFormat="1" applyFont="1" applyBorder="1" applyAlignment="1" applyProtection="1">
      <alignment horizontal="center"/>
      <protection hidden="1"/>
    </xf>
    <xf numFmtId="2" fontId="34" fillId="0" borderId="13" xfId="0" applyNumberFormat="1" applyFont="1" applyBorder="1" applyAlignment="1" applyProtection="1">
      <alignment horizontal="center"/>
      <protection hidden="1"/>
    </xf>
    <xf numFmtId="0" fontId="34" fillId="0" borderId="25" xfId="0" applyFont="1" applyBorder="1" applyAlignment="1" applyProtection="1">
      <alignment horizontal="center"/>
      <protection hidden="1"/>
    </xf>
    <xf numFmtId="3" fontId="34" fillId="0" borderId="1" xfId="0" applyNumberFormat="1" applyFont="1" applyBorder="1" applyAlignment="1" applyProtection="1">
      <alignment horizontal="center"/>
      <protection hidden="1"/>
    </xf>
    <xf numFmtId="2" fontId="34" fillId="0" borderId="2" xfId="0" applyNumberFormat="1" applyFont="1" applyBorder="1" applyAlignment="1" applyProtection="1">
      <alignment horizontal="center"/>
      <protection hidden="1"/>
    </xf>
    <xf numFmtId="0" fontId="34" fillId="0" borderId="186" xfId="0" applyFont="1" applyBorder="1" applyAlignment="1" applyProtection="1">
      <alignment horizontal="center"/>
      <protection hidden="1"/>
    </xf>
    <xf numFmtId="2" fontId="34" fillId="0" borderId="192" xfId="0" applyNumberFormat="1" applyFont="1" applyBorder="1" applyAlignment="1" applyProtection="1">
      <alignment horizontal="center"/>
      <protection hidden="1"/>
    </xf>
    <xf numFmtId="0" fontId="34" fillId="0" borderId="14" xfId="0" applyFont="1" applyBorder="1" applyAlignment="1" applyProtection="1">
      <alignment horizontal="center"/>
      <protection hidden="1"/>
    </xf>
    <xf numFmtId="0" fontId="34" fillId="0" borderId="15" xfId="0" applyFont="1" applyBorder="1" applyAlignment="1" applyProtection="1">
      <alignment horizontal="center"/>
      <protection hidden="1"/>
    </xf>
    <xf numFmtId="2" fontId="34" fillId="0" borderId="15" xfId="0" applyNumberFormat="1" applyFont="1" applyBorder="1" applyAlignment="1" applyProtection="1">
      <alignment horizontal="center"/>
      <protection hidden="1"/>
    </xf>
    <xf numFmtId="171" fontId="34" fillId="0" borderId="15" xfId="0" applyNumberFormat="1" applyFont="1" applyBorder="1" applyAlignment="1" applyProtection="1">
      <alignment horizontal="center"/>
      <protection hidden="1"/>
    </xf>
    <xf numFmtId="3" fontId="33" fillId="0" borderId="0" xfId="0" applyNumberFormat="1" applyFont="1" applyAlignment="1" applyProtection="1">
      <alignment horizontal="center"/>
      <protection hidden="1"/>
    </xf>
    <xf numFmtId="0" fontId="47" fillId="0" borderId="0" xfId="0" quotePrefix="1" applyFont="1" applyAlignment="1" applyProtection="1">
      <alignment horizontal="center"/>
      <protection hidden="1"/>
    </xf>
    <xf numFmtId="0" fontId="47" fillId="0" borderId="0" xfId="0" applyFont="1" applyAlignment="1" applyProtection="1">
      <alignment horizontal="center"/>
      <protection hidden="1"/>
    </xf>
    <xf numFmtId="0" fontId="51" fillId="0" borderId="0" xfId="0" applyFont="1" applyProtection="1">
      <protection hidden="1"/>
    </xf>
    <xf numFmtId="0" fontId="52" fillId="0" borderId="0" xfId="0" applyFont="1" applyProtection="1">
      <protection hidden="1"/>
    </xf>
    <xf numFmtId="1" fontId="47" fillId="0" borderId="0" xfId="0" applyNumberFormat="1" applyFont="1" applyAlignment="1" applyProtection="1">
      <alignment horizontal="center"/>
      <protection hidden="1"/>
    </xf>
    <xf numFmtId="1" fontId="53" fillId="0" borderId="0" xfId="0" applyNumberFormat="1" applyFont="1" applyAlignment="1" applyProtection="1">
      <alignment horizontal="center"/>
      <protection hidden="1"/>
    </xf>
    <xf numFmtId="0" fontId="51" fillId="0" borderId="0" xfId="0" applyFont="1" applyAlignment="1" applyProtection="1">
      <alignment horizontal="centerContinuous"/>
      <protection hidden="1"/>
    </xf>
    <xf numFmtId="0" fontId="54" fillId="0" borderId="0" xfId="0" applyFont="1" applyAlignment="1" applyProtection="1">
      <alignment horizontal="centerContinuous"/>
      <protection hidden="1"/>
    </xf>
    <xf numFmtId="0" fontId="55" fillId="0" borderId="0" xfId="0" applyFont="1" applyProtection="1">
      <protection hidden="1"/>
    </xf>
    <xf numFmtId="0" fontId="55" fillId="0" borderId="0" xfId="0" applyFont="1" applyAlignment="1" applyProtection="1">
      <alignment horizontal="centerContinuous"/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2" fontId="58" fillId="0" borderId="0" xfId="0" applyNumberFormat="1" applyFont="1" applyAlignment="1" applyProtection="1">
      <alignment horizontal="center"/>
      <protection hidden="1"/>
    </xf>
    <xf numFmtId="1" fontId="55" fillId="0" borderId="0" xfId="0" applyNumberFormat="1" applyFont="1" applyAlignment="1" applyProtection="1">
      <alignment horizontal="center"/>
      <protection hidden="1"/>
    </xf>
    <xf numFmtId="1" fontId="58" fillId="0" borderId="0" xfId="0" applyNumberFormat="1" applyFont="1" applyAlignment="1" applyProtection="1">
      <alignment horizontal="center"/>
      <protection hidden="1"/>
    </xf>
    <xf numFmtId="0" fontId="4" fillId="11" borderId="171" xfId="0" applyFont="1" applyFill="1" applyBorder="1" applyProtection="1">
      <protection hidden="1"/>
    </xf>
    <xf numFmtId="0" fontId="4" fillId="11" borderId="170" xfId="0" applyFont="1" applyFill="1" applyBorder="1" applyProtection="1">
      <protection hidden="1"/>
    </xf>
    <xf numFmtId="0" fontId="4" fillId="11" borderId="174" xfId="0" applyFont="1" applyFill="1" applyBorder="1" applyProtection="1">
      <protection hidden="1"/>
    </xf>
    <xf numFmtId="0" fontId="4" fillId="11" borderId="20" xfId="0" applyFont="1" applyFill="1" applyBorder="1" applyProtection="1">
      <protection hidden="1"/>
    </xf>
    <xf numFmtId="0" fontId="4" fillId="11" borderId="41" xfId="0" applyFont="1" applyFill="1" applyBorder="1" applyProtection="1">
      <protection hidden="1"/>
    </xf>
    <xf numFmtId="0" fontId="4" fillId="11" borderId="0" xfId="0" applyFont="1" applyFill="1" applyProtection="1">
      <protection hidden="1"/>
    </xf>
    <xf numFmtId="0" fontId="4" fillId="11" borderId="39" xfId="0" applyFont="1" applyFill="1" applyBorder="1" applyProtection="1">
      <protection hidden="1"/>
    </xf>
    <xf numFmtId="0" fontId="4" fillId="11" borderId="40" xfId="0" applyFont="1" applyFill="1" applyBorder="1" applyProtection="1">
      <protection hidden="1"/>
    </xf>
    <xf numFmtId="0" fontId="4" fillId="11" borderId="41" xfId="0" applyFont="1" applyFill="1" applyBorder="1" applyAlignment="1" applyProtection="1">
      <alignment horizontal="center"/>
      <protection hidden="1"/>
    </xf>
    <xf numFmtId="0" fontId="4" fillId="11" borderId="0" xfId="0" applyFont="1" applyFill="1" applyAlignment="1" applyProtection="1">
      <alignment horizontal="center"/>
      <protection hidden="1"/>
    </xf>
    <xf numFmtId="0" fontId="4" fillId="11" borderId="39" xfId="0" applyFont="1" applyFill="1" applyBorder="1" applyAlignment="1" applyProtection="1">
      <alignment horizontal="center"/>
      <protection hidden="1"/>
    </xf>
    <xf numFmtId="0" fontId="4" fillId="11" borderId="40" xfId="0" applyFont="1" applyFill="1" applyBorder="1" applyAlignment="1" applyProtection="1">
      <alignment horizontal="center"/>
      <protection hidden="1"/>
    </xf>
    <xf numFmtId="0" fontId="64" fillId="0" borderId="0" xfId="0" applyFont="1" applyProtection="1">
      <protection hidden="1"/>
    </xf>
    <xf numFmtId="0" fontId="9" fillId="0" borderId="0" xfId="3" applyFont="1" applyAlignment="1">
      <alignment horizontal="centerContinuous"/>
    </xf>
    <xf numFmtId="0" fontId="3" fillId="0" borderId="0" xfId="3" applyAlignment="1">
      <alignment horizontal="centerContinuous"/>
    </xf>
    <xf numFmtId="0" fontId="3" fillId="0" borderId="0" xfId="3"/>
    <xf numFmtId="0" fontId="9" fillId="0" borderId="0" xfId="3" applyFont="1" applyAlignment="1">
      <alignment horizontal="right"/>
    </xf>
    <xf numFmtId="0" fontId="24" fillId="0" borderId="0" xfId="3" applyFont="1" applyProtection="1">
      <protection locked="0"/>
    </xf>
    <xf numFmtId="0" fontId="17" fillId="0" borderId="0" xfId="3" applyFont="1" applyProtection="1">
      <protection locked="0"/>
    </xf>
    <xf numFmtId="0" fontId="5" fillId="0" borderId="0" xfId="3" applyFont="1" applyAlignment="1">
      <alignment horizontal="centerContinuous"/>
    </xf>
    <xf numFmtId="0" fontId="12" fillId="0" borderId="0" xfId="3" applyFont="1" applyAlignment="1">
      <alignment horizontal="left" vertical="center"/>
    </xf>
    <xf numFmtId="0" fontId="12" fillId="0" borderId="0" xfId="3" applyFont="1" applyAlignment="1">
      <alignment vertical="center"/>
    </xf>
    <xf numFmtId="4" fontId="12" fillId="0" borderId="0" xfId="3" applyNumberFormat="1" applyFont="1" applyAlignment="1">
      <alignment vertical="center"/>
    </xf>
    <xf numFmtId="0" fontId="12" fillId="0" borderId="0" xfId="3" applyFont="1" applyAlignment="1">
      <alignment horizontal="center" vertical="center"/>
    </xf>
    <xf numFmtId="4" fontId="12" fillId="0" borderId="0" xfId="3" applyNumberFormat="1" applyFont="1" applyAlignment="1">
      <alignment horizontal="center" vertical="center"/>
    </xf>
    <xf numFmtId="0" fontId="59" fillId="0" borderId="0" xfId="3" applyFont="1" applyAlignment="1">
      <alignment horizontal="left" vertical="center"/>
    </xf>
    <xf numFmtId="0" fontId="3" fillId="0" borderId="0" xfId="3" applyAlignment="1">
      <alignment horizontal="right" vertical="center"/>
    </xf>
    <xf numFmtId="0" fontId="3" fillId="0" borderId="0" xfId="3" applyAlignment="1">
      <alignment horizontal="left" vertical="center"/>
    </xf>
    <xf numFmtId="0" fontId="60" fillId="0" borderId="0" xfId="3" applyFont="1" applyAlignment="1">
      <alignment horizontal="left" vertical="center"/>
    </xf>
    <xf numFmtId="0" fontId="3" fillId="0" borderId="0" xfId="3" applyAlignment="1">
      <alignment horizontal="center" vertical="center"/>
    </xf>
    <xf numFmtId="2" fontId="3" fillId="0" borderId="0" xfId="3" applyNumberFormat="1" applyAlignment="1">
      <alignment horizontal="center" vertical="center"/>
    </xf>
    <xf numFmtId="4" fontId="5" fillId="0" borderId="0" xfId="3" applyNumberFormat="1" applyFont="1" applyAlignment="1">
      <alignment horizontal="center" vertical="center"/>
    </xf>
    <xf numFmtId="0" fontId="3" fillId="0" borderId="0" xfId="3" applyAlignment="1">
      <alignment horizontal="center"/>
    </xf>
    <xf numFmtId="172" fontId="33" fillId="0" borderId="0" xfId="0" applyNumberFormat="1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37" xfId="0" applyBorder="1" applyProtection="1">
      <protection hidden="1"/>
    </xf>
    <xf numFmtId="0" fontId="0" fillId="0" borderId="38" xfId="0" applyBorder="1" applyProtection="1">
      <protection hidden="1"/>
    </xf>
    <xf numFmtId="0" fontId="30" fillId="15" borderId="0" xfId="0" applyFont="1" applyFill="1" applyProtection="1">
      <protection hidden="1"/>
    </xf>
    <xf numFmtId="0" fontId="5" fillId="0" borderId="42" xfId="0" applyFont="1" applyBorder="1" applyAlignment="1" applyProtection="1">
      <alignment horizontal="center"/>
      <protection hidden="1"/>
    </xf>
    <xf numFmtId="0" fontId="5" fillId="0" borderId="43" xfId="0" applyFont="1" applyBorder="1" applyAlignment="1" applyProtection="1">
      <alignment horizontal="center"/>
      <protection hidden="1"/>
    </xf>
    <xf numFmtId="2" fontId="5" fillId="0" borderId="43" xfId="0" applyNumberFormat="1" applyFont="1" applyBorder="1" applyAlignment="1" applyProtection="1">
      <alignment horizontal="center"/>
      <protection hidden="1"/>
    </xf>
    <xf numFmtId="2" fontId="0" fillId="15" borderId="0" xfId="0" applyNumberFormat="1" applyFill="1" applyProtection="1">
      <protection hidden="1"/>
    </xf>
    <xf numFmtId="1" fontId="5" fillId="0" borderId="43" xfId="0" applyNumberFormat="1" applyFont="1" applyBorder="1" applyAlignment="1" applyProtection="1">
      <alignment horizontal="center"/>
      <protection hidden="1"/>
    </xf>
    <xf numFmtId="0" fontId="3" fillId="15" borderId="0" xfId="0" applyFont="1" applyFill="1" applyAlignment="1" applyProtection="1">
      <alignment horizontal="right"/>
      <protection hidden="1"/>
    </xf>
    <xf numFmtId="2" fontId="0" fillId="0" borderId="0" xfId="0" applyNumberFormat="1" applyAlignment="1" applyProtection="1">
      <alignment horizontal="right"/>
      <protection hidden="1"/>
    </xf>
    <xf numFmtId="2" fontId="5" fillId="0" borderId="20" xfId="0" applyNumberFormat="1" applyFont="1" applyBorder="1" applyAlignment="1" applyProtection="1">
      <alignment horizontal="center"/>
      <protection hidden="1"/>
    </xf>
    <xf numFmtId="165" fontId="5" fillId="0" borderId="42" xfId="0" applyNumberFormat="1" applyFont="1" applyBorder="1" applyAlignment="1" applyProtection="1">
      <alignment horizontal="center"/>
      <protection hidden="1"/>
    </xf>
    <xf numFmtId="0" fontId="3" fillId="15" borderId="173" xfId="0" applyFont="1" applyFill="1" applyBorder="1" applyProtection="1">
      <protection hidden="1"/>
    </xf>
    <xf numFmtId="0" fontId="3" fillId="15" borderId="173" xfId="0" applyFont="1" applyFill="1" applyBorder="1" applyAlignment="1" applyProtection="1">
      <alignment horizontal="right"/>
      <protection hidden="1"/>
    </xf>
    <xf numFmtId="0" fontId="3" fillId="15" borderId="20" xfId="0" applyFont="1" applyFill="1" applyBorder="1" applyProtection="1">
      <protection hidden="1"/>
    </xf>
    <xf numFmtId="2" fontId="7" fillId="20" borderId="33" xfId="0" applyNumberFormat="1" applyFont="1" applyFill="1" applyBorder="1" applyAlignment="1" applyProtection="1">
      <alignment horizontal="right"/>
      <protection hidden="1"/>
    </xf>
    <xf numFmtId="2" fontId="5" fillId="20" borderId="159" xfId="0" applyNumberFormat="1" applyFont="1" applyFill="1" applyBorder="1" applyAlignment="1" applyProtection="1">
      <alignment horizontal="right"/>
      <protection hidden="1"/>
    </xf>
    <xf numFmtId="0" fontId="5" fillId="20" borderId="159" xfId="0" applyFont="1" applyFill="1" applyBorder="1" applyAlignment="1" applyProtection="1">
      <alignment horizontal="right"/>
      <protection hidden="1"/>
    </xf>
    <xf numFmtId="0" fontId="5" fillId="20" borderId="160" xfId="0" applyFont="1" applyFill="1" applyBorder="1" applyAlignment="1" applyProtection="1">
      <alignment horizontal="right"/>
      <protection hidden="1"/>
    </xf>
    <xf numFmtId="0" fontId="3" fillId="15" borderId="40" xfId="0" applyFont="1" applyFill="1" applyBorder="1" applyProtection="1">
      <protection hidden="1"/>
    </xf>
    <xf numFmtId="0" fontId="8" fillId="18" borderId="153" xfId="0" applyFont="1" applyFill="1" applyBorder="1" applyAlignment="1" applyProtection="1">
      <alignment horizontal="center"/>
      <protection hidden="1"/>
    </xf>
    <xf numFmtId="166" fontId="4" fillId="18" borderId="157" xfId="0" applyNumberFormat="1" applyFont="1" applyFill="1" applyBorder="1" applyAlignment="1" applyProtection="1">
      <alignment horizontal="center"/>
      <protection locked="0"/>
    </xf>
    <xf numFmtId="0" fontId="8" fillId="18" borderId="157" xfId="0" applyFont="1" applyFill="1" applyBorder="1" applyAlignment="1" applyProtection="1">
      <alignment horizontal="center"/>
      <protection hidden="1"/>
    </xf>
    <xf numFmtId="0" fontId="7" fillId="20" borderId="25" xfId="0" applyFont="1" applyFill="1" applyBorder="1" applyAlignment="1" applyProtection="1">
      <alignment horizontal="right"/>
      <protection hidden="1"/>
    </xf>
    <xf numFmtId="2" fontId="5" fillId="20" borderId="1" xfId="0" applyNumberFormat="1" applyFont="1" applyFill="1" applyBorder="1" applyAlignment="1" applyProtection="1">
      <alignment horizontal="right"/>
      <protection hidden="1"/>
    </xf>
    <xf numFmtId="0" fontId="5" fillId="20" borderId="1" xfId="0" applyFont="1" applyFill="1" applyBorder="1" applyAlignment="1" applyProtection="1">
      <alignment horizontal="right"/>
      <protection hidden="1"/>
    </xf>
    <xf numFmtId="0" fontId="5" fillId="20" borderId="2" xfId="0" applyFont="1" applyFill="1" applyBorder="1" applyAlignment="1" applyProtection="1">
      <alignment horizontal="right"/>
      <protection hidden="1"/>
    </xf>
    <xf numFmtId="0" fontId="5" fillId="20" borderId="41" xfId="0" applyFont="1" applyFill="1" applyBorder="1" applyAlignment="1" applyProtection="1">
      <alignment horizontal="center" vertical="center" wrapText="1"/>
      <protection hidden="1"/>
    </xf>
    <xf numFmtId="0" fontId="5" fillId="20" borderId="0" xfId="0" applyFont="1" applyFill="1" applyAlignment="1" applyProtection="1">
      <alignment horizontal="center" vertical="center" wrapText="1"/>
      <protection hidden="1"/>
    </xf>
    <xf numFmtId="0" fontId="5" fillId="20" borderId="39" xfId="0" applyFont="1" applyFill="1" applyBorder="1" applyAlignment="1" applyProtection="1">
      <alignment horizontal="center" vertical="center" wrapText="1"/>
      <protection hidden="1"/>
    </xf>
    <xf numFmtId="0" fontId="10" fillId="2" borderId="41" xfId="0" applyFont="1" applyFill="1" applyBorder="1" applyAlignment="1" applyProtection="1">
      <alignment horizontal="right" vertical="center" wrapText="1"/>
      <protection hidden="1"/>
    </xf>
    <xf numFmtId="0" fontId="3" fillId="15" borderId="40" xfId="0" applyFont="1" applyFill="1" applyBorder="1" applyAlignment="1" applyProtection="1">
      <alignment horizontal="left"/>
      <protection hidden="1"/>
    </xf>
    <xf numFmtId="167" fontId="3" fillId="9" borderId="153" xfId="0" applyNumberFormat="1" applyFont="1" applyFill="1" applyBorder="1" applyAlignment="1" applyProtection="1">
      <alignment horizontal="center"/>
      <protection locked="0"/>
    </xf>
    <xf numFmtId="2" fontId="7" fillId="20" borderId="25" xfId="0" applyNumberFormat="1" applyFont="1" applyFill="1" applyBorder="1" applyAlignment="1" applyProtection="1">
      <alignment horizontal="right"/>
      <protection hidden="1"/>
    </xf>
    <xf numFmtId="0" fontId="25" fillId="20" borderId="41" xfId="0" applyFont="1" applyFill="1" applyBorder="1" applyAlignment="1" applyProtection="1">
      <alignment vertical="center" wrapText="1"/>
      <protection hidden="1"/>
    </xf>
    <xf numFmtId="0" fontId="25" fillId="20" borderId="0" xfId="0" applyFont="1" applyFill="1" applyAlignment="1" applyProtection="1">
      <alignment vertical="center" wrapText="1"/>
      <protection hidden="1"/>
    </xf>
    <xf numFmtId="0" fontId="25" fillId="20" borderId="39" xfId="0" applyFont="1" applyFill="1" applyBorder="1" applyAlignment="1" applyProtection="1">
      <alignment vertical="center" wrapText="1"/>
      <protection hidden="1"/>
    </xf>
    <xf numFmtId="0" fontId="3" fillId="12" borderId="153" xfId="0" applyFont="1" applyFill="1" applyBorder="1" applyAlignment="1" applyProtection="1">
      <alignment horizontal="center"/>
      <protection locked="0"/>
    </xf>
    <xf numFmtId="0" fontId="15" fillId="20" borderId="41" xfId="0" applyFont="1" applyFill="1" applyBorder="1" applyAlignment="1" applyProtection="1">
      <alignment vertical="center" wrapText="1"/>
      <protection hidden="1"/>
    </xf>
    <xf numFmtId="2" fontId="15" fillId="20" borderId="0" xfId="0" applyNumberFormat="1" applyFont="1" applyFill="1" applyAlignment="1" applyProtection="1">
      <alignment horizontal="center" vertical="center" wrapText="1"/>
      <protection hidden="1"/>
    </xf>
    <xf numFmtId="0" fontId="15" fillId="20" borderId="39" xfId="0" applyFont="1" applyFill="1" applyBorder="1" applyAlignment="1" applyProtection="1">
      <alignment vertical="center" wrapText="1"/>
      <protection hidden="1"/>
    </xf>
    <xf numFmtId="168" fontId="0" fillId="12" borderId="176" xfId="0" applyNumberFormat="1" applyFill="1" applyBorder="1" applyAlignment="1" applyProtection="1">
      <alignment horizontal="center"/>
      <protection locked="0"/>
    </xf>
    <xf numFmtId="0" fontId="5" fillId="21" borderId="40" xfId="0" applyFont="1" applyFill="1" applyBorder="1" applyAlignment="1" applyProtection="1">
      <alignment horizontal="center"/>
      <protection hidden="1"/>
    </xf>
    <xf numFmtId="0" fontId="5" fillId="22" borderId="40" xfId="0" applyFont="1" applyFill="1" applyBorder="1" applyAlignment="1" applyProtection="1">
      <alignment horizontal="center"/>
      <protection hidden="1"/>
    </xf>
    <xf numFmtId="0" fontId="5" fillId="15" borderId="43" xfId="0" applyFont="1" applyFill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locked="0"/>
    </xf>
    <xf numFmtId="0" fontId="7" fillId="20" borderId="28" xfId="0" applyFont="1" applyFill="1" applyBorder="1" applyAlignment="1" applyProtection="1">
      <alignment horizontal="right"/>
      <protection hidden="1"/>
    </xf>
    <xf numFmtId="2" fontId="5" fillId="20" borderId="29" xfId="0" applyNumberFormat="1" applyFont="1" applyFill="1" applyBorder="1" applyAlignment="1" applyProtection="1">
      <alignment horizontal="right"/>
      <protection hidden="1"/>
    </xf>
    <xf numFmtId="0" fontId="5" fillId="20" borderId="29" xfId="0" applyFont="1" applyFill="1" applyBorder="1" applyAlignment="1" applyProtection="1">
      <alignment horizontal="right"/>
      <protection hidden="1"/>
    </xf>
    <xf numFmtId="0" fontId="5" fillId="20" borderId="179" xfId="0" applyFont="1" applyFill="1" applyBorder="1" applyAlignment="1" applyProtection="1">
      <alignment horizontal="right"/>
      <protection hidden="1"/>
    </xf>
    <xf numFmtId="0" fontId="3" fillId="15" borderId="42" xfId="0" applyFont="1" applyFill="1" applyBorder="1" applyAlignment="1" applyProtection="1">
      <alignment horizontal="left"/>
      <protection hidden="1"/>
    </xf>
    <xf numFmtId="0" fontId="5" fillId="21" borderId="42" xfId="0" applyFont="1" applyFill="1" applyBorder="1" applyAlignment="1" applyProtection="1">
      <alignment horizontal="center"/>
      <protection hidden="1"/>
    </xf>
    <xf numFmtId="0" fontId="7" fillId="22" borderId="42" xfId="0" applyFont="1" applyFill="1" applyBorder="1" applyAlignment="1" applyProtection="1">
      <alignment horizontal="center"/>
      <protection hidden="1"/>
    </xf>
    <xf numFmtId="2" fontId="5" fillId="15" borderId="43" xfId="0" applyNumberFormat="1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1" fontId="0" fillId="4" borderId="156" xfId="0" applyNumberFormat="1" applyFill="1" applyBorder="1" applyAlignment="1">
      <alignment horizontal="center"/>
    </xf>
    <xf numFmtId="2" fontId="3" fillId="11" borderId="44" xfId="0" applyNumberFormat="1" applyFont="1" applyFill="1" applyBorder="1" applyAlignment="1" applyProtection="1">
      <alignment horizontal="center"/>
      <protection hidden="1"/>
    </xf>
    <xf numFmtId="0" fontId="0" fillId="8" borderId="193" xfId="0" applyFill="1" applyBorder="1" applyAlignment="1" applyProtection="1">
      <alignment horizontal="center"/>
      <protection hidden="1"/>
    </xf>
    <xf numFmtId="0" fontId="0" fillId="0" borderId="194" xfId="0" applyBorder="1"/>
    <xf numFmtId="0" fontId="3" fillId="0" borderId="34" xfId="0" applyFont="1" applyBorder="1" applyAlignment="1" applyProtection="1">
      <alignment horizontal="center"/>
      <protection locked="0"/>
    </xf>
    <xf numFmtId="0" fontId="3" fillId="5" borderId="61" xfId="0" applyFont="1" applyFill="1" applyBorder="1" applyAlignment="1" applyProtection="1">
      <alignment horizontal="center"/>
      <protection locked="0"/>
    </xf>
    <xf numFmtId="2" fontId="3" fillId="11" borderId="61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195" xfId="0" applyBorder="1"/>
    <xf numFmtId="2" fontId="3" fillId="11" borderId="82" xfId="0" applyNumberFormat="1" applyFont="1" applyFill="1" applyBorder="1" applyAlignment="1" applyProtection="1">
      <alignment horizontal="center"/>
      <protection hidden="1"/>
    </xf>
    <xf numFmtId="1" fontId="0" fillId="8" borderId="196" xfId="0" applyNumberFormat="1" applyFill="1" applyBorder="1" applyAlignment="1" applyProtection="1">
      <alignment horizontal="center"/>
      <protection hidden="1"/>
    </xf>
    <xf numFmtId="0" fontId="0" fillId="4" borderId="84" xfId="0" applyFill="1" applyBorder="1" applyAlignment="1" applyProtection="1">
      <alignment horizontal="center"/>
      <protection hidden="1"/>
    </xf>
    <xf numFmtId="0" fontId="0" fillId="4" borderId="0" xfId="0" applyFill="1" applyProtection="1">
      <protection locked="0"/>
    </xf>
    <xf numFmtId="2" fontId="3" fillId="11" borderId="117" xfId="0" applyNumberFormat="1" applyFont="1" applyFill="1" applyBorder="1" applyAlignment="1" applyProtection="1">
      <alignment horizontal="center"/>
      <protection hidden="1"/>
    </xf>
    <xf numFmtId="0" fontId="65" fillId="23" borderId="0" xfId="0" applyFont="1" applyFill="1" applyAlignment="1" applyProtection="1">
      <alignment horizontal="center"/>
      <protection hidden="1"/>
    </xf>
    <xf numFmtId="0" fontId="0" fillId="5" borderId="61" xfId="0" applyFill="1" applyBorder="1" applyAlignment="1">
      <alignment horizontal="center"/>
    </xf>
    <xf numFmtId="1" fontId="0" fillId="4" borderId="61" xfId="0" applyNumberFormat="1" applyFill="1" applyBorder="1" applyAlignment="1">
      <alignment horizontal="center"/>
    </xf>
    <xf numFmtId="2" fontId="65" fillId="23" borderId="150" xfId="0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65" fillId="23" borderId="0" xfId="0" applyFont="1" applyFill="1" applyProtection="1">
      <protection hidden="1"/>
    </xf>
    <xf numFmtId="0" fontId="3" fillId="4" borderId="0" xfId="0" applyFont="1" applyFill="1" applyProtection="1">
      <protection hidden="1"/>
    </xf>
    <xf numFmtId="2" fontId="3" fillId="11" borderId="0" xfId="0" applyNumberFormat="1" applyFont="1" applyFill="1" applyProtection="1">
      <protection hidden="1"/>
    </xf>
    <xf numFmtId="0" fontId="0" fillId="5" borderId="0" xfId="0" applyFill="1" applyAlignment="1" applyProtection="1">
      <alignment horizontal="center"/>
      <protection locked="0"/>
    </xf>
    <xf numFmtId="0" fontId="3" fillId="5" borderId="0" xfId="0" applyFont="1" applyFill="1" applyAlignment="1" applyProtection="1">
      <alignment horizontal="center"/>
      <protection locked="0"/>
    </xf>
    <xf numFmtId="2" fontId="0" fillId="4" borderId="0" xfId="0" applyNumberFormat="1" applyFill="1" applyAlignment="1" applyProtection="1">
      <alignment horizontal="center"/>
      <protection locked="0"/>
    </xf>
    <xf numFmtId="1" fontId="0" fillId="4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center"/>
      <protection locked="0"/>
    </xf>
    <xf numFmtId="1" fontId="0" fillId="6" borderId="0" xfId="0" applyNumberForma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" fontId="5" fillId="9" borderId="0" xfId="0" applyNumberFormat="1" applyFont="1" applyFill="1" applyAlignment="1" applyProtection="1">
      <alignment horizontal="center"/>
      <protection locked="0"/>
    </xf>
    <xf numFmtId="2" fontId="3" fillId="4" borderId="0" xfId="0" applyNumberFormat="1" applyFont="1" applyFill="1" applyAlignment="1" applyProtection="1">
      <alignment horizontal="center"/>
      <protection hidden="1"/>
    </xf>
    <xf numFmtId="0" fontId="5" fillId="6" borderId="0" xfId="0" applyFont="1" applyFill="1" applyAlignment="1" applyProtection="1">
      <alignment horizontal="center"/>
      <protection locked="0"/>
    </xf>
    <xf numFmtId="2" fontId="3" fillId="6" borderId="0" xfId="0" applyNumberFormat="1" applyFont="1" applyFill="1" applyAlignment="1" applyProtection="1">
      <alignment horizontal="center"/>
      <protection locked="0"/>
    </xf>
    <xf numFmtId="2" fontId="0" fillId="5" borderId="0" xfId="0" applyNumberFormat="1" applyFill="1" applyAlignment="1" applyProtection="1">
      <alignment horizontal="center"/>
      <protection hidden="1"/>
    </xf>
    <xf numFmtId="2" fontId="0" fillId="12" borderId="0" xfId="0" applyNumberFormat="1" applyFill="1" applyAlignment="1" applyProtection="1">
      <alignment horizontal="center"/>
      <protection hidden="1"/>
    </xf>
    <xf numFmtId="2" fontId="0" fillId="14" borderId="0" xfId="0" applyNumberFormat="1" applyFill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2" fontId="3" fillId="11" borderId="0" xfId="0" applyNumberFormat="1" applyFont="1" applyFill="1" applyAlignment="1" applyProtection="1">
      <alignment horizontal="center"/>
      <protection hidden="1"/>
    </xf>
    <xf numFmtId="2" fontId="0" fillId="11" borderId="0" xfId="0" applyNumberFormat="1" applyFill="1" applyAlignment="1" applyProtection="1">
      <alignment horizontal="center"/>
      <protection hidden="1"/>
    </xf>
    <xf numFmtId="1" fontId="0" fillId="9" borderId="0" xfId="0" applyNumberFormat="1" applyFill="1" applyAlignment="1" applyProtection="1">
      <alignment horizontal="center"/>
      <protection hidden="1"/>
    </xf>
    <xf numFmtId="2" fontId="0" fillId="4" borderId="0" xfId="0" applyNumberFormat="1" applyFill="1" applyAlignment="1" applyProtection="1">
      <alignment horizontal="center"/>
      <protection hidden="1"/>
    </xf>
    <xf numFmtId="2" fontId="0" fillId="6" borderId="0" xfId="0" applyNumberFormat="1" applyFill="1" applyAlignment="1" applyProtection="1">
      <alignment horizontal="center"/>
      <protection hidden="1"/>
    </xf>
    <xf numFmtId="2" fontId="0" fillId="7" borderId="0" xfId="0" applyNumberFormat="1" applyFill="1" applyAlignment="1" applyProtection="1">
      <alignment horizontal="center"/>
      <protection hidden="1"/>
    </xf>
    <xf numFmtId="1" fontId="0" fillId="8" borderId="0" xfId="0" applyNumberFormat="1" applyFill="1" applyAlignment="1" applyProtection="1">
      <alignment horizontal="center"/>
      <protection hidden="1"/>
    </xf>
    <xf numFmtId="2" fontId="0" fillId="8" borderId="0" xfId="0" applyNumberFormat="1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hidden="1"/>
    </xf>
    <xf numFmtId="1" fontId="0" fillId="4" borderId="0" xfId="0" applyNumberFormat="1" applyFill="1" applyAlignment="1" applyProtection="1">
      <alignment horizontal="center"/>
      <protection hidden="1"/>
    </xf>
    <xf numFmtId="165" fontId="0" fillId="6" borderId="0" xfId="0" applyNumberFormat="1" applyFill="1" applyAlignment="1" applyProtection="1">
      <alignment horizontal="center"/>
      <protection hidden="1"/>
    </xf>
    <xf numFmtId="165" fontId="0" fillId="4" borderId="0" xfId="0" applyNumberFormat="1" applyFill="1" applyAlignment="1" applyProtection="1">
      <alignment horizontal="center"/>
      <protection hidden="1"/>
    </xf>
    <xf numFmtId="17" fontId="0" fillId="0" borderId="0" xfId="0" applyNumberFormat="1" applyAlignment="1" applyProtection="1">
      <alignment horizontal="center"/>
      <protection hidden="1"/>
    </xf>
    <xf numFmtId="17" fontId="0" fillId="10" borderId="0" xfId="0" applyNumberFormat="1" applyFill="1" applyAlignment="1" applyProtection="1">
      <alignment horizontal="center"/>
      <protection hidden="1"/>
    </xf>
    <xf numFmtId="17" fontId="0" fillId="4" borderId="116" xfId="0" applyNumberFormat="1" applyFill="1" applyBorder="1" applyAlignment="1" applyProtection="1">
      <alignment horizontal="center"/>
      <protection hidden="1"/>
    </xf>
    <xf numFmtId="17" fontId="0" fillId="4" borderId="35" xfId="0" applyNumberFormat="1" applyFill="1" applyBorder="1" applyAlignment="1" applyProtection="1">
      <alignment horizontal="center"/>
      <protection hidden="1"/>
    </xf>
    <xf numFmtId="49" fontId="0" fillId="4" borderId="156" xfId="0" applyNumberFormat="1" applyFill="1" applyBorder="1" applyAlignment="1" applyProtection="1">
      <alignment horizontal="center"/>
      <protection locked="0"/>
    </xf>
    <xf numFmtId="49" fontId="5" fillId="4" borderId="86" xfId="0" applyNumberFormat="1" applyFont="1" applyFill="1" applyBorder="1" applyAlignment="1" applyProtection="1">
      <alignment horizontal="center"/>
      <protection hidden="1"/>
    </xf>
    <xf numFmtId="49" fontId="5" fillId="4" borderId="116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hidden="1"/>
    </xf>
    <xf numFmtId="49" fontId="5" fillId="4" borderId="35" xfId="0" applyNumberFormat="1" applyFont="1" applyFill="1" applyBorder="1" applyAlignment="1" applyProtection="1">
      <alignment horizontal="center"/>
      <protection locked="0"/>
    </xf>
    <xf numFmtId="49" fontId="5" fillId="4" borderId="0" xfId="0" applyNumberFormat="1" applyFont="1" applyFill="1" applyProtection="1">
      <protection locked="0"/>
    </xf>
    <xf numFmtId="49" fontId="5" fillId="4" borderId="0" xfId="0" applyNumberFormat="1" applyFont="1" applyFill="1" applyAlignment="1" applyProtection="1">
      <alignment horizontal="center"/>
      <protection locked="0"/>
    </xf>
    <xf numFmtId="49" fontId="0" fillId="4" borderId="134" xfId="0" applyNumberFormat="1" applyFill="1" applyBorder="1" applyAlignment="1" applyProtection="1">
      <alignment horizontal="center"/>
      <protection locked="0"/>
    </xf>
    <xf numFmtId="49" fontId="0" fillId="4" borderId="87" xfId="0" applyNumberFormat="1" applyFill="1" applyBorder="1" applyAlignment="1" applyProtection="1">
      <alignment horizontal="center"/>
      <protection hidden="1"/>
    </xf>
    <xf numFmtId="49" fontId="0" fillId="4" borderId="117" xfId="0" applyNumberFormat="1" applyFill="1" applyBorder="1" applyAlignment="1" applyProtection="1">
      <alignment horizontal="center"/>
      <protection locked="0"/>
    </xf>
    <xf numFmtId="49" fontId="0" fillId="4" borderId="61" xfId="0" applyNumberFormat="1" applyFill="1" applyBorder="1" applyAlignment="1" applyProtection="1">
      <alignment horizontal="center"/>
      <protection locked="0"/>
    </xf>
    <xf numFmtId="49" fontId="0" fillId="4" borderId="0" xfId="0" applyNumberFormat="1" applyFill="1" applyAlignment="1" applyProtection="1">
      <alignment horizontal="center"/>
      <protection hidden="1"/>
    </xf>
    <xf numFmtId="49" fontId="0" fillId="4" borderId="0" xfId="0" applyNumberFormat="1" applyFill="1" applyProtection="1">
      <protection hidden="1"/>
    </xf>
    <xf numFmtId="49" fontId="0" fillId="4" borderId="0" xfId="0" applyNumberFormat="1" applyFill="1" applyAlignment="1" applyProtection="1">
      <alignment horizontal="center"/>
      <protection locked="0"/>
    </xf>
    <xf numFmtId="49" fontId="0" fillId="4" borderId="76" xfId="0" applyNumberFormat="1" applyFill="1" applyBorder="1" applyAlignment="1" applyProtection="1">
      <alignment horizontal="center"/>
      <protection hidden="1"/>
    </xf>
    <xf numFmtId="49" fontId="0" fillId="8" borderId="35" xfId="0" applyNumberFormat="1" applyFill="1" applyBorder="1" applyAlignment="1" applyProtection="1">
      <alignment horizontal="center"/>
      <protection hidden="1"/>
    </xf>
    <xf numFmtId="17" fontId="3" fillId="0" borderId="0" xfId="0" applyNumberFormat="1" applyFont="1" applyAlignment="1" applyProtection="1">
      <alignment horizontal="center"/>
      <protection hidden="1"/>
    </xf>
    <xf numFmtId="14" fontId="35" fillId="0" borderId="183" xfId="0" applyNumberFormat="1" applyFont="1" applyBorder="1" applyAlignment="1" applyProtection="1">
      <alignment horizontal="center"/>
      <protection hidden="1"/>
    </xf>
    <xf numFmtId="17" fontId="0" fillId="6" borderId="155" xfId="0" applyNumberFormat="1" applyFill="1" applyBorder="1" applyAlignment="1" applyProtection="1">
      <alignment horizontal="center"/>
      <protection locked="0"/>
    </xf>
    <xf numFmtId="4" fontId="37" fillId="0" borderId="0" xfId="0" applyNumberFormat="1" applyFont="1" applyAlignment="1" applyProtection="1">
      <alignment horizontal="right"/>
      <protection hidden="1"/>
    </xf>
    <xf numFmtId="0" fontId="38" fillId="0" borderId="0" xfId="0" applyFont="1" applyProtection="1">
      <protection hidden="1"/>
    </xf>
    <xf numFmtId="173" fontId="37" fillId="0" borderId="0" xfId="0" applyNumberFormat="1" applyFont="1" applyAlignment="1" applyProtection="1">
      <alignment horizontal="left"/>
      <protection hidden="1"/>
    </xf>
    <xf numFmtId="0" fontId="63" fillId="0" borderId="197" xfId="0" applyFont="1" applyBorder="1" applyProtection="1">
      <protection hidden="1"/>
    </xf>
    <xf numFmtId="0" fontId="48" fillId="0" borderId="0" xfId="0" applyFont="1" applyProtection="1">
      <protection hidden="1"/>
    </xf>
    <xf numFmtId="1" fontId="33" fillId="0" borderId="0" xfId="0" applyNumberFormat="1" applyFont="1" applyAlignment="1" applyProtection="1">
      <alignment horizontal="right"/>
      <protection hidden="1"/>
    </xf>
    <xf numFmtId="0" fontId="33" fillId="0" borderId="0" xfId="0" applyFont="1" applyAlignment="1" applyProtection="1">
      <alignment vertical="center"/>
      <protection hidden="1"/>
    </xf>
    <xf numFmtId="1" fontId="45" fillId="0" borderId="0" xfId="0" applyNumberFormat="1" applyFont="1" applyAlignment="1" applyProtection="1">
      <alignment horizontal="left"/>
      <protection hidden="1"/>
    </xf>
    <xf numFmtId="0" fontId="0" fillId="0" borderId="34" xfId="0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20" fillId="14" borderId="20" xfId="0" applyFont="1" applyFill="1" applyBorder="1" applyAlignment="1" applyProtection="1">
      <alignment horizontal="center" vertical="center"/>
      <protection locked="0"/>
    </xf>
    <xf numFmtId="0" fontId="20" fillId="14" borderId="42" xfId="0" applyFont="1" applyFill="1" applyBorder="1" applyAlignment="1" applyProtection="1">
      <alignment horizontal="center" vertical="center"/>
      <protection locked="0"/>
    </xf>
    <xf numFmtId="0" fontId="8" fillId="27" borderId="41" xfId="0" applyFont="1" applyFill="1" applyBorder="1" applyAlignment="1" applyProtection="1">
      <alignment horizontal="center"/>
      <protection hidden="1"/>
    </xf>
    <xf numFmtId="0" fontId="8" fillId="27" borderId="0" xfId="0" applyFont="1" applyFill="1" applyAlignment="1" applyProtection="1">
      <alignment horizontal="center"/>
      <protection hidden="1"/>
    </xf>
    <xf numFmtId="0" fontId="8" fillId="27" borderId="39" xfId="0" applyFont="1" applyFill="1" applyBorder="1" applyAlignment="1" applyProtection="1">
      <alignment horizontal="center"/>
      <protection hidden="1"/>
    </xf>
    <xf numFmtId="0" fontId="69" fillId="28" borderId="41" xfId="0" applyFont="1" applyFill="1" applyBorder="1" applyAlignment="1" applyProtection="1">
      <alignment horizontal="center"/>
      <protection hidden="1"/>
    </xf>
    <xf numFmtId="0" fontId="69" fillId="28" borderId="0" xfId="0" applyFont="1" applyFill="1" applyAlignment="1" applyProtection="1">
      <alignment horizontal="center"/>
      <protection hidden="1"/>
    </xf>
    <xf numFmtId="0" fontId="69" fillId="28" borderId="39" xfId="0" applyFont="1" applyFill="1" applyBorder="1" applyAlignment="1" applyProtection="1">
      <alignment horizontal="center"/>
      <protection hidden="1"/>
    </xf>
    <xf numFmtId="0" fontId="5" fillId="15" borderId="40" xfId="0" applyFont="1" applyFill="1" applyBorder="1" applyAlignment="1" applyProtection="1">
      <alignment horizontal="center" vertical="justify" wrapText="1"/>
      <protection hidden="1"/>
    </xf>
    <xf numFmtId="0" fontId="5" fillId="15" borderId="42" xfId="0" applyFont="1" applyFill="1" applyBorder="1" applyAlignment="1" applyProtection="1">
      <alignment horizontal="center" vertical="justify"/>
      <protection hidden="1"/>
    </xf>
    <xf numFmtId="0" fontId="5" fillId="15" borderId="41" xfId="0" applyFont="1" applyFill="1" applyBorder="1" applyAlignment="1" applyProtection="1">
      <alignment horizontal="center"/>
      <protection hidden="1"/>
    </xf>
    <xf numFmtId="0" fontId="5" fillId="15" borderId="0" xfId="0" applyFont="1" applyFill="1" applyAlignment="1" applyProtection="1">
      <alignment horizontal="center"/>
      <protection hidden="1"/>
    </xf>
    <xf numFmtId="0" fontId="8" fillId="11" borderId="172" xfId="0" applyFont="1" applyFill="1" applyBorder="1" applyAlignment="1" applyProtection="1">
      <alignment horizontal="center"/>
      <protection hidden="1"/>
    </xf>
    <xf numFmtId="0" fontId="8" fillId="11" borderId="173" xfId="0" applyFont="1" applyFill="1" applyBorder="1" applyAlignment="1" applyProtection="1">
      <alignment horizontal="center"/>
      <protection hidden="1"/>
    </xf>
    <xf numFmtId="0" fontId="8" fillId="11" borderId="175" xfId="0" applyFont="1" applyFill="1" applyBorder="1" applyAlignment="1" applyProtection="1">
      <alignment horizontal="center"/>
      <protection hidden="1"/>
    </xf>
    <xf numFmtId="0" fontId="20" fillId="14" borderId="20" xfId="0" applyFont="1" applyFill="1" applyBorder="1" applyAlignment="1" applyProtection="1">
      <alignment horizontal="center" vertical="center"/>
      <protection hidden="1"/>
    </xf>
    <xf numFmtId="0" fontId="20" fillId="14" borderId="40" xfId="0" applyFont="1" applyFill="1" applyBorder="1" applyAlignment="1" applyProtection="1">
      <alignment horizontal="center" vertical="center"/>
      <protection hidden="1"/>
    </xf>
    <xf numFmtId="0" fontId="20" fillId="14" borderId="42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 wrapText="1"/>
      <protection hidden="1"/>
    </xf>
    <xf numFmtId="0" fontId="8" fillId="2" borderId="172" xfId="0" applyFont="1" applyFill="1" applyBorder="1" applyAlignment="1" applyProtection="1">
      <alignment horizontal="center" vertical="center" wrapText="1"/>
      <protection hidden="1"/>
    </xf>
    <xf numFmtId="0" fontId="21" fillId="13" borderId="39" xfId="0" applyFont="1" applyFill="1" applyBorder="1" applyAlignment="1" applyProtection="1">
      <alignment horizontal="center" vertical="center" wrapText="1"/>
      <protection hidden="1"/>
    </xf>
    <xf numFmtId="0" fontId="21" fillId="13" borderId="175" xfId="0" applyFont="1" applyFill="1" applyBorder="1" applyAlignment="1" applyProtection="1">
      <alignment horizontal="center" vertical="center" wrapText="1"/>
      <protection hidden="1"/>
    </xf>
    <xf numFmtId="2" fontId="5" fillId="7" borderId="41" xfId="0" applyNumberFormat="1" applyFont="1" applyFill="1" applyBorder="1" applyAlignment="1" applyProtection="1">
      <alignment horizontal="right" vertical="center"/>
      <protection hidden="1"/>
    </xf>
    <xf numFmtId="2" fontId="5" fillId="7" borderId="0" xfId="0" applyNumberFormat="1" applyFont="1" applyFill="1" applyAlignment="1" applyProtection="1">
      <alignment horizontal="right" vertical="center"/>
      <protection hidden="1"/>
    </xf>
    <xf numFmtId="2" fontId="11" fillId="19" borderId="0" xfId="0" applyNumberFormat="1" applyFont="1" applyFill="1" applyAlignment="1" applyProtection="1">
      <alignment horizontal="center" vertical="center"/>
      <protection hidden="1"/>
    </xf>
    <xf numFmtId="2" fontId="0" fillId="0" borderId="188" xfId="0" applyNumberFormat="1" applyBorder="1" applyAlignment="1" applyProtection="1">
      <alignment horizontal="center"/>
      <protection hidden="1"/>
    </xf>
    <xf numFmtId="2" fontId="0" fillId="0" borderId="170" xfId="0" applyNumberFormat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2" fontId="0" fillId="0" borderId="185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184" xfId="0" applyNumberFormat="1" applyBorder="1" applyAlignment="1" applyProtection="1">
      <alignment horizontal="center"/>
      <protection hidden="1"/>
    </xf>
    <xf numFmtId="2" fontId="0" fillId="0" borderId="189" xfId="0" applyNumberFormat="1" applyBorder="1" applyAlignment="1" applyProtection="1">
      <alignment horizontal="center"/>
      <protection hidden="1"/>
    </xf>
    <xf numFmtId="2" fontId="0" fillId="0" borderId="173" xfId="0" applyNumberFormat="1" applyBorder="1" applyAlignment="1" applyProtection="1">
      <alignment horizontal="center"/>
      <protection hidden="1"/>
    </xf>
    <xf numFmtId="2" fontId="0" fillId="0" borderId="178" xfId="0" applyNumberFormat="1" applyBorder="1" applyAlignment="1" applyProtection="1">
      <alignment horizontal="center"/>
      <protection hidden="1"/>
    </xf>
    <xf numFmtId="0" fontId="0" fillId="0" borderId="171" xfId="0" applyBorder="1" applyAlignment="1" applyProtection="1">
      <alignment horizontal="center"/>
      <protection hidden="1"/>
    </xf>
    <xf numFmtId="0" fontId="0" fillId="0" borderId="174" xfId="0" applyBorder="1" applyAlignment="1" applyProtection="1">
      <alignment horizontal="center"/>
      <protection hidden="1"/>
    </xf>
    <xf numFmtId="0" fontId="0" fillId="0" borderId="172" xfId="0" applyBorder="1" applyAlignment="1" applyProtection="1">
      <alignment horizontal="center"/>
      <protection hidden="1"/>
    </xf>
    <xf numFmtId="0" fontId="0" fillId="0" borderId="175" xfId="0" applyBorder="1" applyAlignment="1" applyProtection="1">
      <alignment horizontal="center"/>
      <protection hidden="1"/>
    </xf>
    <xf numFmtId="0" fontId="3" fillId="25" borderId="171" xfId="0" applyFont="1" applyFill="1" applyBorder="1" applyAlignment="1" applyProtection="1">
      <alignment horizontal="center" wrapText="1"/>
      <protection hidden="1"/>
    </xf>
    <xf numFmtId="0" fontId="0" fillId="25" borderId="174" xfId="0" applyFill="1" applyBorder="1" applyAlignment="1" applyProtection="1">
      <alignment horizontal="center"/>
      <protection hidden="1"/>
    </xf>
    <xf numFmtId="0" fontId="0" fillId="25" borderId="172" xfId="0" applyFill="1" applyBorder="1" applyAlignment="1" applyProtection="1">
      <alignment horizontal="center"/>
      <protection hidden="1"/>
    </xf>
    <xf numFmtId="0" fontId="0" fillId="25" borderId="175" xfId="0" applyFill="1" applyBorder="1" applyAlignment="1" applyProtection="1">
      <alignment horizontal="center"/>
      <protection hidden="1"/>
    </xf>
    <xf numFmtId="0" fontId="5" fillId="26" borderId="36" xfId="0" applyFont="1" applyFill="1" applyBorder="1" applyAlignment="1" applyProtection="1">
      <alignment horizontal="center" vertical="center"/>
      <protection hidden="1"/>
    </xf>
    <xf numFmtId="0" fontId="5" fillId="26" borderId="37" xfId="0" applyFont="1" applyFill="1" applyBorder="1" applyAlignment="1" applyProtection="1">
      <alignment horizontal="center" vertical="center"/>
      <protection hidden="1"/>
    </xf>
    <xf numFmtId="0" fontId="5" fillId="26" borderId="38" xfId="0" applyFont="1" applyFill="1" applyBorder="1" applyAlignment="1" applyProtection="1">
      <alignment horizontal="center" vertical="center"/>
      <protection hidden="1"/>
    </xf>
    <xf numFmtId="0" fontId="5" fillId="8" borderId="41" xfId="0" applyFont="1" applyFill="1" applyBorder="1" applyAlignment="1" applyProtection="1">
      <alignment horizontal="center"/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5" fillId="8" borderId="39" xfId="0" applyFont="1" applyFill="1" applyBorder="1" applyAlignment="1" applyProtection="1">
      <alignment horizontal="center"/>
      <protection hidden="1"/>
    </xf>
    <xf numFmtId="2" fontId="11" fillId="2" borderId="0" xfId="0" applyNumberFormat="1" applyFont="1" applyFill="1" applyAlignment="1" applyProtection="1">
      <alignment horizontal="center" vertical="center"/>
      <protection hidden="1"/>
    </xf>
    <xf numFmtId="0" fontId="68" fillId="22" borderId="171" xfId="0" applyFont="1" applyFill="1" applyBorder="1" applyAlignment="1" applyProtection="1">
      <alignment horizontal="left" vertical="center"/>
      <protection hidden="1"/>
    </xf>
    <xf numFmtId="0" fontId="68" fillId="22" borderId="170" xfId="0" applyFont="1" applyFill="1" applyBorder="1" applyAlignment="1" applyProtection="1">
      <alignment horizontal="left" vertical="center"/>
      <protection hidden="1"/>
    </xf>
    <xf numFmtId="0" fontId="68" fillId="22" borderId="174" xfId="0" applyFont="1" applyFill="1" applyBorder="1" applyAlignment="1" applyProtection="1">
      <alignment horizontal="left" vertical="center"/>
      <protection hidden="1"/>
    </xf>
    <xf numFmtId="0" fontId="68" fillId="22" borderId="172" xfId="0" applyFont="1" applyFill="1" applyBorder="1" applyAlignment="1" applyProtection="1">
      <alignment horizontal="left" vertical="center"/>
      <protection hidden="1"/>
    </xf>
    <xf numFmtId="0" fontId="68" fillId="22" borderId="173" xfId="0" applyFont="1" applyFill="1" applyBorder="1" applyAlignment="1" applyProtection="1">
      <alignment horizontal="left" vertical="center"/>
      <protection hidden="1"/>
    </xf>
    <xf numFmtId="0" fontId="68" fillId="22" borderId="175" xfId="0" applyFont="1" applyFill="1" applyBorder="1" applyAlignment="1" applyProtection="1">
      <alignment horizontal="left" vertical="center"/>
      <protection hidden="1"/>
    </xf>
    <xf numFmtId="0" fontId="5" fillId="15" borderId="41" xfId="0" applyFont="1" applyFill="1" applyBorder="1" applyAlignment="1" applyProtection="1">
      <alignment horizontal="center" wrapText="1"/>
      <protection hidden="1"/>
    </xf>
    <xf numFmtId="0" fontId="5" fillId="15" borderId="39" xfId="0" applyFont="1" applyFill="1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 wrapText="1"/>
      <protection hidden="1"/>
    </xf>
    <xf numFmtId="0" fontId="0" fillId="0" borderId="40" xfId="0" applyBorder="1" applyAlignment="1" applyProtection="1">
      <alignment horizontal="center" wrapText="1"/>
      <protection hidden="1"/>
    </xf>
    <xf numFmtId="0" fontId="0" fillId="0" borderId="42" xfId="0" applyBorder="1" applyAlignment="1" applyProtection="1">
      <alignment horizontal="center" wrapText="1"/>
      <protection hidden="1"/>
    </xf>
    <xf numFmtId="0" fontId="3" fillId="25" borderId="20" xfId="0" applyFont="1" applyFill="1" applyBorder="1" applyAlignment="1" applyProtection="1">
      <alignment horizontal="center" wrapText="1"/>
      <protection hidden="1"/>
    </xf>
    <xf numFmtId="0" fontId="0" fillId="25" borderId="40" xfId="0" applyFill="1" applyBorder="1" applyAlignment="1" applyProtection="1">
      <alignment horizontal="center" wrapText="1"/>
      <protection hidden="1"/>
    </xf>
    <xf numFmtId="0" fontId="0" fillId="25" borderId="42" xfId="0" applyFill="1" applyBorder="1" applyAlignment="1" applyProtection="1">
      <alignment horizontal="center" wrapText="1"/>
      <protection hidden="1"/>
    </xf>
    <xf numFmtId="2" fontId="12" fillId="7" borderId="171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0" xfId="0" applyNumberFormat="1" applyFont="1" applyFill="1" applyBorder="1" applyAlignment="1" applyProtection="1">
      <alignment horizontal="center" vertical="center" wrapText="1"/>
      <protection hidden="1"/>
    </xf>
    <xf numFmtId="2" fontId="12" fillId="7" borderId="174" xfId="0" applyNumberFormat="1" applyFont="1" applyFill="1" applyBorder="1" applyAlignment="1" applyProtection="1">
      <alignment horizontal="center" vertical="center" wrapText="1"/>
      <protection hidden="1"/>
    </xf>
    <xf numFmtId="0" fontId="67" fillId="21" borderId="36" xfId="0" applyFont="1" applyFill="1" applyBorder="1" applyAlignment="1" applyProtection="1">
      <alignment horizontal="center" vertical="center"/>
      <protection hidden="1"/>
    </xf>
    <xf numFmtId="0" fontId="67" fillId="21" borderId="37" xfId="0" applyFont="1" applyFill="1" applyBorder="1" applyAlignment="1" applyProtection="1">
      <alignment horizontal="center" vertical="center"/>
      <protection hidden="1"/>
    </xf>
    <xf numFmtId="0" fontId="67" fillId="21" borderId="38" xfId="0" applyFont="1" applyFill="1" applyBorder="1" applyAlignment="1" applyProtection="1">
      <alignment horizontal="center" vertical="center"/>
      <protection hidden="1"/>
    </xf>
    <xf numFmtId="0" fontId="25" fillId="15" borderId="36" xfId="0" applyFont="1" applyFill="1" applyBorder="1" applyAlignment="1" applyProtection="1">
      <alignment horizontal="center" vertical="center" wrapText="1"/>
      <protection hidden="1"/>
    </xf>
    <xf numFmtId="0" fontId="25" fillId="15" borderId="37" xfId="0" applyFont="1" applyFill="1" applyBorder="1" applyAlignment="1" applyProtection="1">
      <alignment horizontal="center" vertical="center" wrapText="1"/>
      <protection hidden="1"/>
    </xf>
    <xf numFmtId="0" fontId="25" fillId="15" borderId="38" xfId="0" applyFont="1" applyFill="1" applyBorder="1" applyAlignment="1" applyProtection="1">
      <alignment horizontal="center" vertical="center" wrapText="1"/>
      <protection hidden="1"/>
    </xf>
    <xf numFmtId="0" fontId="26" fillId="15" borderId="171" xfId="0" applyFont="1" applyFill="1" applyBorder="1" applyAlignment="1" applyProtection="1">
      <alignment horizontal="center" vertical="center"/>
      <protection hidden="1"/>
    </xf>
    <xf numFmtId="0" fontId="26" fillId="15" borderId="170" xfId="0" applyFont="1" applyFill="1" applyBorder="1" applyAlignment="1" applyProtection="1">
      <alignment horizontal="center" vertical="center"/>
      <protection hidden="1"/>
    </xf>
    <xf numFmtId="0" fontId="26" fillId="15" borderId="174" xfId="0" applyFont="1" applyFill="1" applyBorder="1" applyAlignment="1" applyProtection="1">
      <alignment horizontal="center" vertical="center"/>
      <protection hidden="1"/>
    </xf>
    <xf numFmtId="0" fontId="26" fillId="15" borderId="41" xfId="0" applyFont="1" applyFill="1" applyBorder="1" applyAlignment="1" applyProtection="1">
      <alignment horizontal="center" vertical="center"/>
      <protection hidden="1"/>
    </xf>
    <xf numFmtId="0" fontId="26" fillId="15" borderId="0" xfId="0" applyFont="1" applyFill="1" applyAlignment="1" applyProtection="1">
      <alignment horizontal="center" vertical="center"/>
      <protection hidden="1"/>
    </xf>
    <xf numFmtId="0" fontId="26" fillId="15" borderId="39" xfId="0" applyFont="1" applyFill="1" applyBorder="1" applyAlignment="1" applyProtection="1">
      <alignment horizontal="center" vertical="center"/>
      <protection hidden="1"/>
    </xf>
    <xf numFmtId="0" fontId="26" fillId="15" borderId="172" xfId="0" applyFont="1" applyFill="1" applyBorder="1" applyAlignment="1" applyProtection="1">
      <alignment horizontal="center" vertical="center"/>
      <protection hidden="1"/>
    </xf>
    <xf numFmtId="0" fontId="26" fillId="15" borderId="173" xfId="0" applyFont="1" applyFill="1" applyBorder="1" applyAlignment="1" applyProtection="1">
      <alignment horizontal="center" vertical="center"/>
      <protection hidden="1"/>
    </xf>
    <xf numFmtId="0" fontId="26" fillId="15" borderId="175" xfId="0" applyFont="1" applyFill="1" applyBorder="1" applyAlignment="1" applyProtection="1">
      <alignment horizontal="center" vertical="center"/>
      <protection hidden="1"/>
    </xf>
    <xf numFmtId="0" fontId="21" fillId="15" borderId="171" xfId="0" applyFont="1" applyFill="1" applyBorder="1" applyAlignment="1" applyProtection="1">
      <alignment horizontal="center" vertical="center"/>
      <protection hidden="1"/>
    </xf>
    <xf numFmtId="0" fontId="21" fillId="15" borderId="170" xfId="0" applyFont="1" applyFill="1" applyBorder="1" applyAlignment="1" applyProtection="1">
      <alignment horizontal="center" vertical="center"/>
      <protection hidden="1"/>
    </xf>
    <xf numFmtId="0" fontId="21" fillId="15" borderId="174" xfId="0" applyFont="1" applyFill="1" applyBorder="1" applyAlignment="1" applyProtection="1">
      <alignment horizontal="center" vertical="center"/>
      <protection hidden="1"/>
    </xf>
    <xf numFmtId="0" fontId="21" fillId="15" borderId="41" xfId="0" applyFont="1" applyFill="1" applyBorder="1" applyAlignment="1" applyProtection="1">
      <alignment horizontal="center" vertical="center"/>
      <protection hidden="1"/>
    </xf>
    <xf numFmtId="0" fontId="21" fillId="15" borderId="0" xfId="0" applyFont="1" applyFill="1" applyAlignment="1" applyProtection="1">
      <alignment horizontal="center" vertical="center"/>
      <protection hidden="1"/>
    </xf>
    <xf numFmtId="0" fontId="21" fillId="15" borderId="39" xfId="0" applyFont="1" applyFill="1" applyBorder="1" applyAlignment="1" applyProtection="1">
      <alignment horizontal="center" vertical="center"/>
      <protection hidden="1"/>
    </xf>
    <xf numFmtId="0" fontId="21" fillId="15" borderId="172" xfId="0" applyFont="1" applyFill="1" applyBorder="1" applyAlignment="1" applyProtection="1">
      <alignment horizontal="center" vertical="center"/>
      <protection hidden="1"/>
    </xf>
    <xf numFmtId="0" fontId="21" fillId="15" borderId="173" xfId="0" applyFont="1" applyFill="1" applyBorder="1" applyAlignment="1" applyProtection="1">
      <alignment horizontal="center" vertical="center"/>
      <protection hidden="1"/>
    </xf>
    <xf numFmtId="0" fontId="21" fillId="15" borderId="175" xfId="0" applyFont="1" applyFill="1" applyBorder="1" applyAlignment="1" applyProtection="1">
      <alignment horizontal="center" vertical="center"/>
      <protection hidden="1"/>
    </xf>
    <xf numFmtId="0" fontId="28" fillId="15" borderId="36" xfId="0" applyFont="1" applyFill="1" applyBorder="1" applyAlignment="1" applyProtection="1">
      <alignment horizontal="center" vertical="center"/>
      <protection hidden="1"/>
    </xf>
    <xf numFmtId="0" fontId="28" fillId="15" borderId="37" xfId="0" applyFont="1" applyFill="1" applyBorder="1" applyAlignment="1" applyProtection="1">
      <alignment horizontal="center" vertical="center"/>
      <protection hidden="1"/>
    </xf>
    <xf numFmtId="0" fontId="28" fillId="15" borderId="38" xfId="0" applyFont="1" applyFill="1" applyBorder="1" applyAlignment="1" applyProtection="1">
      <alignment horizontal="center" vertical="center"/>
      <protection hidden="1"/>
    </xf>
    <xf numFmtId="0" fontId="24" fillId="15" borderId="171" xfId="0" applyFont="1" applyFill="1" applyBorder="1" applyAlignment="1" applyProtection="1">
      <alignment horizontal="center" vertical="center"/>
      <protection hidden="1"/>
    </xf>
    <xf numFmtId="0" fontId="24" fillId="15" borderId="170" xfId="0" applyFont="1" applyFill="1" applyBorder="1" applyAlignment="1" applyProtection="1">
      <alignment horizontal="center" vertical="center"/>
      <protection hidden="1"/>
    </xf>
    <xf numFmtId="0" fontId="24" fillId="15" borderId="174" xfId="0" applyFont="1" applyFill="1" applyBorder="1" applyAlignment="1" applyProtection="1">
      <alignment horizontal="center" vertical="center"/>
      <protection hidden="1"/>
    </xf>
    <xf numFmtId="0" fontId="24" fillId="15" borderId="41" xfId="0" applyFont="1" applyFill="1" applyBorder="1" applyAlignment="1" applyProtection="1">
      <alignment horizontal="center" vertical="center"/>
      <protection hidden="1"/>
    </xf>
    <xf numFmtId="0" fontId="24" fillId="15" borderId="0" xfId="0" applyFont="1" applyFill="1" applyAlignment="1" applyProtection="1">
      <alignment horizontal="center" vertical="center"/>
      <protection hidden="1"/>
    </xf>
    <xf numFmtId="0" fontId="24" fillId="15" borderId="39" xfId="0" applyFont="1" applyFill="1" applyBorder="1" applyAlignment="1" applyProtection="1">
      <alignment horizontal="center" vertical="center"/>
      <protection hidden="1"/>
    </xf>
    <xf numFmtId="0" fontId="24" fillId="15" borderId="172" xfId="0" applyFont="1" applyFill="1" applyBorder="1" applyAlignment="1" applyProtection="1">
      <alignment horizontal="center" vertical="center"/>
      <protection hidden="1"/>
    </xf>
    <xf numFmtId="0" fontId="24" fillId="15" borderId="173" xfId="0" applyFont="1" applyFill="1" applyBorder="1" applyAlignment="1" applyProtection="1">
      <alignment horizontal="center" vertical="center"/>
      <protection hidden="1"/>
    </xf>
    <xf numFmtId="0" fontId="24" fillId="15" borderId="175" xfId="0" applyFont="1" applyFill="1" applyBorder="1" applyAlignment="1" applyProtection="1">
      <alignment horizontal="center" vertical="center"/>
      <protection hidden="1"/>
    </xf>
    <xf numFmtId="0" fontId="66" fillId="24" borderId="171" xfId="0" applyFont="1" applyFill="1" applyBorder="1" applyAlignment="1" applyProtection="1">
      <alignment horizontal="center" vertical="center" wrapText="1"/>
      <protection hidden="1"/>
    </xf>
    <xf numFmtId="0" fontId="66" fillId="24" borderId="170" xfId="0" applyFont="1" applyFill="1" applyBorder="1" applyAlignment="1" applyProtection="1">
      <alignment horizontal="center" vertical="center" wrapText="1"/>
      <protection hidden="1"/>
    </xf>
    <xf numFmtId="0" fontId="66" fillId="24" borderId="174" xfId="0" applyFont="1" applyFill="1" applyBorder="1" applyAlignment="1" applyProtection="1">
      <alignment horizontal="center" vertical="center" wrapText="1"/>
      <protection hidden="1"/>
    </xf>
    <xf numFmtId="0" fontId="8" fillId="2" borderId="171" xfId="0" applyFont="1" applyFill="1" applyBorder="1" applyAlignment="1" applyProtection="1">
      <alignment horizontal="center" vertical="center" wrapText="1"/>
      <protection hidden="1"/>
    </xf>
    <xf numFmtId="0" fontId="8" fillId="2" borderId="174" xfId="0" applyFont="1" applyFill="1" applyBorder="1" applyAlignment="1" applyProtection="1">
      <alignment horizontal="center" vertical="center" wrapText="1"/>
      <protection hidden="1"/>
    </xf>
    <xf numFmtId="0" fontId="24" fillId="15" borderId="170" xfId="0" applyFont="1" applyFill="1" applyBorder="1" applyAlignment="1" applyProtection="1">
      <alignment horizontal="center" vertical="center" wrapText="1"/>
      <protection hidden="1"/>
    </xf>
    <xf numFmtId="0" fontId="24" fillId="15" borderId="174" xfId="0" applyFont="1" applyFill="1" applyBorder="1" applyAlignment="1" applyProtection="1">
      <alignment horizontal="center" vertical="center" wrapText="1"/>
      <protection hidden="1"/>
    </xf>
    <xf numFmtId="0" fontId="24" fillId="15" borderId="0" xfId="0" applyFont="1" applyFill="1" applyAlignment="1" applyProtection="1">
      <alignment horizontal="center" vertical="center" wrapText="1"/>
      <protection hidden="1"/>
    </xf>
    <xf numFmtId="0" fontId="24" fillId="15" borderId="39" xfId="0" applyFont="1" applyFill="1" applyBorder="1" applyAlignment="1" applyProtection="1">
      <alignment horizontal="center" vertical="center" wrapText="1"/>
      <protection hidden="1"/>
    </xf>
    <xf numFmtId="0" fontId="24" fillId="15" borderId="173" xfId="0" applyFont="1" applyFill="1" applyBorder="1" applyAlignment="1" applyProtection="1">
      <alignment horizontal="center" vertical="center" wrapText="1"/>
      <protection hidden="1"/>
    </xf>
    <xf numFmtId="0" fontId="24" fillId="15" borderId="175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3" fontId="0" fillId="0" borderId="31" xfId="0" applyNumberFormat="1" applyBorder="1" applyAlignment="1" applyProtection="1">
      <alignment horizontal="center" vertical="center"/>
      <protection hidden="1"/>
    </xf>
    <xf numFmtId="0" fontId="0" fillId="0" borderId="182" xfId="0" applyBorder="1" applyAlignment="1" applyProtection="1">
      <alignment horizontal="center" vertical="center"/>
      <protection hidden="1"/>
    </xf>
    <xf numFmtId="0" fontId="0" fillId="0" borderId="183" xfId="0" applyBorder="1" applyAlignment="1" applyProtection="1">
      <alignment horizontal="center" vertical="center"/>
      <protection hidden="1"/>
    </xf>
    <xf numFmtId="3" fontId="0" fillId="0" borderId="182" xfId="0" applyNumberFormat="1" applyBorder="1" applyAlignment="1" applyProtection="1">
      <alignment horizontal="center" vertical="center"/>
      <protection hidden="1"/>
    </xf>
    <xf numFmtId="3" fontId="0" fillId="0" borderId="183" xfId="0" applyNumberFormat="1" applyBorder="1" applyAlignment="1" applyProtection="1">
      <alignment horizontal="center" vertical="center"/>
      <protection hidden="1"/>
    </xf>
    <xf numFmtId="2" fontId="6" fillId="0" borderId="1" xfId="0" applyNumberFormat="1" applyFont="1" applyBorder="1" applyAlignment="1" applyProtection="1">
      <alignment horizontal="center" vertical="center" wrapText="1"/>
      <protection hidden="1"/>
    </xf>
    <xf numFmtId="2" fontId="9" fillId="0" borderId="185" xfId="0" applyNumberFormat="1" applyFont="1" applyBorder="1" applyAlignment="1" applyProtection="1">
      <alignment horizontal="center" vertical="center"/>
      <protection hidden="1"/>
    </xf>
    <xf numFmtId="2" fontId="9" fillId="0" borderId="0" xfId="0" applyNumberFormat="1" applyFont="1" applyAlignment="1" applyProtection="1">
      <alignment horizontal="center" vertical="center"/>
      <protection hidden="1"/>
    </xf>
    <xf numFmtId="2" fontId="9" fillId="0" borderId="39" xfId="0" applyNumberFormat="1" applyFont="1" applyBorder="1" applyAlignment="1" applyProtection="1">
      <alignment horizontal="center" vertical="center"/>
      <protection hidden="1"/>
    </xf>
    <xf numFmtId="2" fontId="31" fillId="0" borderId="6" xfId="0" applyNumberFormat="1" applyFont="1" applyBorder="1" applyAlignment="1" applyProtection="1">
      <alignment horizontal="center" vertical="center" wrapText="1"/>
      <protection hidden="1"/>
    </xf>
    <xf numFmtId="2" fontId="31" fillId="0" borderId="1" xfId="0" applyNumberFormat="1" applyFont="1" applyBorder="1" applyAlignment="1" applyProtection="1">
      <alignment horizontal="center" vertical="center" wrapText="1"/>
      <protection hidden="1"/>
    </xf>
    <xf numFmtId="2" fontId="13" fillId="0" borderId="6" xfId="0" applyNumberFormat="1" applyFont="1" applyBorder="1" applyAlignment="1" applyProtection="1">
      <alignment horizontal="center" vertical="center" wrapText="1"/>
      <protection hidden="1"/>
    </xf>
    <xf numFmtId="2" fontId="13" fillId="0" borderId="1" xfId="0" applyNumberFormat="1" applyFont="1" applyBorder="1" applyAlignment="1" applyProtection="1">
      <alignment horizontal="center" vertical="center" wrapText="1"/>
      <protection hidden="1"/>
    </xf>
    <xf numFmtId="2" fontId="5" fillId="0" borderId="3" xfId="0" applyNumberFormat="1" applyFont="1" applyBorder="1" applyAlignment="1" applyProtection="1">
      <alignment horizontal="center" vertical="center"/>
      <protection hidden="1"/>
    </xf>
    <xf numFmtId="2" fontId="5" fillId="0" borderId="5" xfId="0" applyNumberFormat="1" applyFont="1" applyBorder="1" applyAlignment="1" applyProtection="1">
      <alignment horizontal="center" vertical="center"/>
      <protection hidden="1"/>
    </xf>
    <xf numFmtId="2" fontId="5" fillId="0" borderId="4" xfId="0" applyNumberFormat="1" applyFont="1" applyBorder="1" applyAlignment="1" applyProtection="1">
      <alignment horizontal="center" vertical="center"/>
      <protection hidden="1"/>
    </xf>
    <xf numFmtId="0" fontId="17" fillId="13" borderId="0" xfId="0" applyFont="1" applyFill="1" applyAlignment="1" applyProtection="1">
      <alignment horizontal="center" vertical="center"/>
      <protection hidden="1"/>
    </xf>
    <xf numFmtId="0" fontId="0" fillId="0" borderId="171" xfId="0" applyBorder="1" applyAlignment="1" applyProtection="1">
      <alignment horizontal="center" vertical="center"/>
      <protection hidden="1"/>
    </xf>
    <xf numFmtId="0" fontId="0" fillId="0" borderId="17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9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right" vertical="center"/>
      <protection hidden="1"/>
    </xf>
    <xf numFmtId="0" fontId="7" fillId="0" borderId="186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81" xfId="0" applyFont="1" applyBorder="1" applyAlignment="1" applyProtection="1">
      <alignment horizontal="center" vertical="center"/>
      <protection hidden="1"/>
    </xf>
    <xf numFmtId="0" fontId="6" fillId="0" borderId="177" xfId="0" applyFont="1" applyBorder="1" applyAlignment="1" applyProtection="1">
      <alignment horizontal="center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2" fontId="6" fillId="0" borderId="177" xfId="0" applyNumberFormat="1" applyFont="1" applyBorder="1" applyAlignment="1" applyProtection="1">
      <alignment horizontal="center" vertical="center" wrapText="1"/>
      <protection hidden="1"/>
    </xf>
    <xf numFmtId="2" fontId="6" fillId="0" borderId="12" xfId="0" applyNumberFormat="1" applyFont="1" applyBorder="1" applyAlignment="1" applyProtection="1">
      <alignment horizontal="center" vertical="center"/>
      <protection hidden="1"/>
    </xf>
    <xf numFmtId="2" fontId="6" fillId="0" borderId="6" xfId="0" applyNumberFormat="1" applyFont="1" applyBorder="1" applyAlignment="1" applyProtection="1">
      <alignment horizontal="center" vertical="center"/>
      <protection hidden="1"/>
    </xf>
    <xf numFmtId="2" fontId="0" fillId="0" borderId="170" xfId="0" applyNumberFormat="1" applyBorder="1" applyAlignment="1" applyProtection="1">
      <alignment horizontal="center" vertical="center"/>
      <protection hidden="1"/>
    </xf>
    <xf numFmtId="2" fontId="0" fillId="0" borderId="174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39" xfId="0" applyNumberForma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vertical="center"/>
      <protection hidden="1"/>
    </xf>
    <xf numFmtId="2" fontId="3" fillId="0" borderId="5" xfId="0" applyNumberFormat="1" applyFont="1" applyBorder="1" applyAlignment="1" applyProtection="1">
      <alignment vertical="center"/>
      <protection hidden="1"/>
    </xf>
    <xf numFmtId="2" fontId="3" fillId="0" borderId="24" xfId="0" applyNumberFormat="1" applyFont="1" applyBorder="1" applyAlignment="1" applyProtection="1">
      <alignment vertical="center"/>
      <protection hidden="1"/>
    </xf>
    <xf numFmtId="2" fontId="3" fillId="0" borderId="187" xfId="0" applyNumberFormat="1" applyFont="1" applyBorder="1" applyAlignment="1" applyProtection="1">
      <alignment vertical="center"/>
      <protection hidden="1"/>
    </xf>
    <xf numFmtId="2" fontId="3" fillId="0" borderId="191" xfId="0" applyNumberFormat="1" applyFont="1" applyBorder="1" applyAlignment="1" applyProtection="1">
      <alignment vertical="center"/>
      <protection hidden="1"/>
    </xf>
    <xf numFmtId="2" fontId="3" fillId="0" borderId="23" xfId="0" applyNumberFormat="1" applyFont="1" applyBorder="1" applyAlignment="1" applyProtection="1">
      <alignment vertical="center"/>
      <protection hidden="1"/>
    </xf>
    <xf numFmtId="4" fontId="3" fillId="0" borderId="0" xfId="0" applyNumberFormat="1" applyFont="1" applyAlignment="1" applyProtection="1">
      <alignment horizontal="center" vertical="center"/>
      <protection hidden="1"/>
    </xf>
    <xf numFmtId="0" fontId="6" fillId="0" borderId="177" xfId="0" applyFont="1" applyBorder="1" applyAlignment="1" applyProtection="1">
      <alignment horizontal="center" vertical="center"/>
      <protection hidden="1"/>
    </xf>
    <xf numFmtId="0" fontId="9" fillId="0" borderId="187" xfId="0" applyFont="1" applyBorder="1" applyAlignment="1" applyProtection="1">
      <alignment horizontal="center" vertical="center"/>
      <protection hidden="1"/>
    </xf>
    <xf numFmtId="0" fontId="9" fillId="0" borderId="191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184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2" fontId="6" fillId="0" borderId="12" xfId="0" applyNumberFormat="1" applyFont="1" applyBorder="1" applyAlignment="1" applyProtection="1">
      <alignment horizontal="center" vertical="center" wrapText="1"/>
      <protection hidden="1"/>
    </xf>
    <xf numFmtId="2" fontId="6" fillId="0" borderId="6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2" fontId="0" fillId="0" borderId="0" xfId="0" applyNumberForma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187" xfId="0" applyNumberFormat="1" applyFont="1" applyBorder="1" applyAlignment="1" applyProtection="1">
      <alignment horizontal="center" vertical="center" wrapText="1"/>
      <protection hidden="1"/>
    </xf>
    <xf numFmtId="2" fontId="6" fillId="0" borderId="23" xfId="0" applyNumberFormat="1" applyFont="1" applyBorder="1" applyAlignment="1" applyProtection="1">
      <alignment horizontal="center" vertical="center" wrapText="1"/>
      <protection hidden="1"/>
    </xf>
    <xf numFmtId="2" fontId="6" fillId="0" borderId="185" xfId="0" applyNumberFormat="1" applyFont="1" applyBorder="1" applyAlignment="1" applyProtection="1">
      <alignment horizontal="center" vertical="center" wrapText="1"/>
      <protection hidden="1"/>
    </xf>
    <xf numFmtId="2" fontId="6" fillId="0" borderId="184" xfId="0" applyNumberFormat="1" applyFont="1" applyBorder="1" applyAlignment="1" applyProtection="1">
      <alignment horizontal="center" vertical="center" wrapText="1"/>
      <protection hidden="1"/>
    </xf>
    <xf numFmtId="2" fontId="6" fillId="0" borderId="3" xfId="0" applyNumberFormat="1" applyFont="1" applyBorder="1" applyAlignment="1" applyProtection="1">
      <alignment horizontal="center" vertical="center" wrapText="1"/>
      <protection hidden="1"/>
    </xf>
    <xf numFmtId="2" fontId="6" fillId="0" borderId="24" xfId="0" applyNumberFormat="1" applyFont="1" applyBorder="1" applyAlignment="1" applyProtection="1">
      <alignment horizontal="center" vertical="center" wrapText="1"/>
      <protection hidden="1"/>
    </xf>
    <xf numFmtId="2" fontId="3" fillId="0" borderId="182" xfId="0" applyNumberFormat="1" applyFont="1" applyBorder="1" applyAlignment="1" applyProtection="1">
      <alignment horizontal="left" vertical="center"/>
      <protection hidden="1"/>
    </xf>
    <xf numFmtId="2" fontId="3" fillId="0" borderId="26" xfId="0" applyNumberFormat="1" applyFont="1" applyBorder="1" applyAlignment="1" applyProtection="1">
      <alignment horizontal="left" vertical="center"/>
      <protection hidden="1"/>
    </xf>
    <xf numFmtId="0" fontId="9" fillId="0" borderId="23" xfId="0" applyFont="1" applyBorder="1" applyAlignment="1" applyProtection="1">
      <alignment horizontal="center" vertical="center"/>
      <protection hidden="1"/>
    </xf>
    <xf numFmtId="0" fontId="0" fillId="0" borderId="185" xfId="0" applyBorder="1" applyAlignment="1" applyProtection="1">
      <alignment horizontal="right" vertical="center"/>
      <protection hidden="1"/>
    </xf>
    <xf numFmtId="2" fontId="3" fillId="0" borderId="185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right" vertical="center"/>
      <protection hidden="1"/>
    </xf>
    <xf numFmtId="2" fontId="3" fillId="0" borderId="3" xfId="0" applyNumberFormat="1" applyFont="1" applyBorder="1" applyAlignment="1" applyProtection="1">
      <alignment horizontal="right" vertical="center"/>
      <protection hidden="1"/>
    </xf>
    <xf numFmtId="2" fontId="3" fillId="0" borderId="5" xfId="0" applyNumberFormat="1" applyFont="1" applyBorder="1" applyAlignment="1" applyProtection="1">
      <alignment horizontal="right" vertical="center"/>
      <protection hidden="1"/>
    </xf>
    <xf numFmtId="2" fontId="3" fillId="0" borderId="0" xfId="0" applyNumberFormat="1" applyFont="1" applyAlignment="1" applyProtection="1">
      <alignment horizontal="left" vertical="center"/>
      <protection hidden="1"/>
    </xf>
    <xf numFmtId="2" fontId="19" fillId="0" borderId="188" xfId="0" applyNumberFormat="1" applyFont="1" applyBorder="1" applyAlignment="1" applyProtection="1">
      <alignment horizontal="center" vertical="center"/>
      <protection hidden="1"/>
    </xf>
    <xf numFmtId="2" fontId="19" fillId="0" borderId="170" xfId="0" applyNumberFormat="1" applyFont="1" applyBorder="1" applyAlignment="1" applyProtection="1">
      <alignment horizontal="center" vertical="center"/>
      <protection hidden="1"/>
    </xf>
    <xf numFmtId="2" fontId="19" fillId="0" borderId="8" xfId="0" applyNumberFormat="1" applyFont="1" applyBorder="1" applyAlignment="1" applyProtection="1">
      <alignment horizontal="center" vertical="center"/>
      <protection hidden="1"/>
    </xf>
    <xf numFmtId="2" fontId="19" fillId="0" borderId="185" xfId="0" applyNumberFormat="1" applyFont="1" applyBorder="1" applyAlignment="1" applyProtection="1">
      <alignment horizontal="center" vertic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2" fontId="19" fillId="0" borderId="184" xfId="0" applyNumberFormat="1" applyFont="1" applyBorder="1" applyAlignment="1" applyProtection="1">
      <alignment horizontal="center" vertical="center"/>
      <protection hidden="1"/>
    </xf>
    <xf numFmtId="2" fontId="19" fillId="0" borderId="3" xfId="0" applyNumberFormat="1" applyFont="1" applyBorder="1" applyAlignment="1" applyProtection="1">
      <alignment horizontal="center" vertical="center"/>
      <protection hidden="1"/>
    </xf>
    <xf numFmtId="2" fontId="19" fillId="0" borderId="5" xfId="0" applyNumberFormat="1" applyFont="1" applyBorder="1" applyAlignment="1" applyProtection="1">
      <alignment horizontal="center" vertical="center"/>
      <protection hidden="1"/>
    </xf>
    <xf numFmtId="2" fontId="19" fillId="0" borderId="24" xfId="0" applyNumberFormat="1" applyFont="1" applyBorder="1" applyAlignment="1" applyProtection="1">
      <alignment horizontal="center" vertical="center"/>
      <protection hidden="1"/>
    </xf>
    <xf numFmtId="2" fontId="3" fillId="0" borderId="187" xfId="0" applyNumberFormat="1" applyFont="1" applyBorder="1" applyAlignment="1" applyProtection="1">
      <alignment horizontal="left" vertical="center"/>
      <protection hidden="1"/>
    </xf>
    <xf numFmtId="2" fontId="3" fillId="0" borderId="191" xfId="0" applyNumberFormat="1" applyFont="1" applyBorder="1" applyAlignment="1" applyProtection="1">
      <alignment horizontal="left" vertical="center"/>
      <protection hidden="1"/>
    </xf>
    <xf numFmtId="2" fontId="3" fillId="0" borderId="23" xfId="0" applyNumberFormat="1" applyFont="1" applyBorder="1" applyAlignment="1" applyProtection="1">
      <alignment horizontal="left" vertical="center"/>
      <protection hidden="1"/>
    </xf>
    <xf numFmtId="2" fontId="3" fillId="0" borderId="3" xfId="0" applyNumberFormat="1" applyFont="1" applyBorder="1" applyAlignment="1" applyProtection="1">
      <alignment horizontal="left" vertical="center"/>
      <protection hidden="1"/>
    </xf>
    <xf numFmtId="2" fontId="3" fillId="0" borderId="5" xfId="0" applyNumberFormat="1" applyFont="1" applyBorder="1" applyAlignment="1" applyProtection="1">
      <alignment horizontal="left" vertical="center"/>
      <protection hidden="1"/>
    </xf>
    <xf numFmtId="2" fontId="3" fillId="0" borderId="24" xfId="0" applyNumberFormat="1" applyFont="1" applyBorder="1" applyAlignment="1" applyProtection="1">
      <alignment horizontal="left" vertical="center"/>
      <protection hidden="1"/>
    </xf>
    <xf numFmtId="2" fontId="3" fillId="0" borderId="188" xfId="0" applyNumberFormat="1" applyFont="1" applyBorder="1" applyAlignment="1" applyProtection="1">
      <alignment horizontal="center" vertical="center"/>
      <protection hidden="1"/>
    </xf>
    <xf numFmtId="2" fontId="3" fillId="0" borderId="185" xfId="0" applyNumberFormat="1" applyFont="1" applyBorder="1" applyAlignment="1" applyProtection="1">
      <alignment horizontal="center" vertical="center"/>
      <protection hidden="1"/>
    </xf>
    <xf numFmtId="2" fontId="3" fillId="0" borderId="3" xfId="0" applyNumberFormat="1" applyFont="1" applyBorder="1" applyAlignment="1" applyProtection="1">
      <alignment horizontal="center" vertical="center"/>
      <protection hidden="1"/>
    </xf>
    <xf numFmtId="2" fontId="3" fillId="0" borderId="188" xfId="0" applyNumberFormat="1" applyFont="1" applyBorder="1" applyAlignment="1" applyProtection="1">
      <alignment horizontal="right" vertical="center"/>
      <protection hidden="1"/>
    </xf>
    <xf numFmtId="2" fontId="3" fillId="0" borderId="170" xfId="0" applyNumberFormat="1" applyFont="1" applyBorder="1" applyAlignment="1" applyProtection="1">
      <alignment horizontal="right" vertical="center"/>
      <protection hidden="1"/>
    </xf>
    <xf numFmtId="4" fontId="3" fillId="0" borderId="184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horizontal="left"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3" fillId="0" borderId="5" xfId="0" applyNumberFormat="1" applyFont="1" applyBorder="1" applyAlignment="1" applyProtection="1">
      <alignment horizontal="center" vertical="center"/>
      <protection hidden="1"/>
    </xf>
    <xf numFmtId="4" fontId="3" fillId="0" borderId="5" xfId="0" applyNumberFormat="1" applyFont="1" applyBorder="1" applyAlignment="1" applyProtection="1">
      <alignment horizontal="center" vertical="center"/>
      <protection hidden="1"/>
    </xf>
    <xf numFmtId="4" fontId="3" fillId="0" borderId="24" xfId="0" applyNumberFormat="1" applyFont="1" applyBorder="1" applyAlignment="1" applyProtection="1">
      <alignment horizontal="center" vertical="center"/>
      <protection hidden="1"/>
    </xf>
    <xf numFmtId="2" fontId="13" fillId="0" borderId="185" xfId="0" applyNumberFormat="1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 wrapText="1"/>
      <protection hidden="1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left"/>
      <protection hidden="1"/>
    </xf>
    <xf numFmtId="0" fontId="32" fillId="0" borderId="0" xfId="0" applyFont="1" applyAlignment="1" applyProtection="1">
      <alignment horizontal="center"/>
      <protection hidden="1"/>
    </xf>
    <xf numFmtId="0" fontId="42" fillId="0" borderId="0" xfId="0" applyFont="1" applyAlignment="1" applyProtection="1">
      <alignment horizontal="center"/>
      <protection hidden="1"/>
    </xf>
    <xf numFmtId="0" fontId="38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center"/>
      <protection hidden="1"/>
    </xf>
    <xf numFmtId="0" fontId="40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horizontal="right"/>
      <protection hidden="1"/>
    </xf>
    <xf numFmtId="0" fontId="48" fillId="0" borderId="0" xfId="0" applyFont="1" applyAlignment="1" applyProtection="1">
      <alignment horizontal="center"/>
      <protection hidden="1"/>
    </xf>
    <xf numFmtId="2" fontId="49" fillId="0" borderId="0" xfId="0" applyNumberFormat="1" applyFont="1" applyAlignment="1" applyProtection="1">
      <alignment horizontal="center"/>
      <protection hidden="1"/>
    </xf>
    <xf numFmtId="2" fontId="32" fillId="0" borderId="0" xfId="0" applyNumberFormat="1" applyFont="1" applyAlignment="1" applyProtection="1">
      <alignment horizontal="center"/>
      <protection hidden="1"/>
    </xf>
    <xf numFmtId="2" fontId="33" fillId="0" borderId="0" xfId="0" applyNumberFormat="1" applyFont="1" applyAlignment="1" applyProtection="1">
      <alignment horizontal="left"/>
      <protection hidden="1"/>
    </xf>
    <xf numFmtId="2" fontId="33" fillId="0" borderId="173" xfId="0" applyNumberFormat="1" applyFont="1" applyBorder="1" applyAlignment="1" applyProtection="1">
      <alignment horizontal="left"/>
      <protection hidden="1"/>
    </xf>
    <xf numFmtId="2" fontId="34" fillId="15" borderId="199" xfId="0" applyNumberFormat="1" applyFont="1" applyFill="1" applyBorder="1" applyAlignment="1" applyProtection="1">
      <alignment horizontal="center"/>
      <protection hidden="1"/>
    </xf>
    <xf numFmtId="2" fontId="34" fillId="15" borderId="200" xfId="0" applyNumberFormat="1" applyFont="1" applyFill="1" applyBorder="1" applyAlignment="1" applyProtection="1">
      <alignment horizontal="center"/>
      <protection hidden="1"/>
    </xf>
    <xf numFmtId="2" fontId="34" fillId="15" borderId="201" xfId="0" applyNumberFormat="1" applyFont="1" applyFill="1" applyBorder="1" applyAlignment="1" applyProtection="1">
      <alignment horizontal="center"/>
      <protection hidden="1"/>
    </xf>
    <xf numFmtId="0" fontId="32" fillId="0" borderId="173" xfId="0" applyFont="1" applyBorder="1" applyAlignment="1" applyProtection="1">
      <alignment horizontal="center"/>
      <protection hidden="1"/>
    </xf>
    <xf numFmtId="1" fontId="33" fillId="0" borderId="0" xfId="0" applyNumberFormat="1" applyFont="1" applyAlignment="1" applyProtection="1">
      <alignment horizontal="left"/>
      <protection hidden="1"/>
    </xf>
    <xf numFmtId="0" fontId="33" fillId="0" borderId="182" xfId="0" applyFont="1" applyBorder="1" applyAlignment="1" applyProtection="1">
      <alignment horizontal="center" vertical="center"/>
      <protection hidden="1"/>
    </xf>
    <xf numFmtId="0" fontId="33" fillId="0" borderId="183" xfId="0" applyFont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center"/>
      <protection hidden="1"/>
    </xf>
    <xf numFmtId="2" fontId="47" fillId="0" borderId="173" xfId="0" applyNumberFormat="1" applyFont="1" applyBorder="1" applyAlignment="1" applyProtection="1">
      <alignment horizontal="center"/>
      <protection hidden="1"/>
    </xf>
    <xf numFmtId="2" fontId="33" fillId="0" borderId="191" xfId="0" applyNumberFormat="1" applyFont="1" applyBorder="1" applyAlignment="1" applyProtection="1">
      <alignment horizontal="right"/>
      <protection hidden="1"/>
    </xf>
    <xf numFmtId="0" fontId="33" fillId="15" borderId="36" xfId="0" applyFont="1" applyFill="1" applyBorder="1" applyAlignment="1" applyProtection="1">
      <alignment horizontal="center"/>
      <protection hidden="1"/>
    </xf>
    <xf numFmtId="0" fontId="33" fillId="15" borderId="37" xfId="0" applyFont="1" applyFill="1" applyBorder="1" applyAlignment="1" applyProtection="1">
      <alignment horizontal="center"/>
      <protection hidden="1"/>
    </xf>
    <xf numFmtId="0" fontId="33" fillId="15" borderId="38" xfId="0" applyFont="1" applyFill="1" applyBorder="1" applyAlignment="1" applyProtection="1">
      <alignment horizontal="center"/>
      <protection hidden="1"/>
    </xf>
    <xf numFmtId="0" fontId="33" fillId="0" borderId="41" xfId="0" applyFont="1" applyBorder="1" applyAlignment="1" applyProtection="1">
      <alignment horizontal="center"/>
      <protection hidden="1"/>
    </xf>
    <xf numFmtId="0" fontId="33" fillId="0" borderId="39" xfId="0" applyFont="1" applyBorder="1" applyAlignment="1" applyProtection="1">
      <alignment horizontal="center"/>
      <protection hidden="1"/>
    </xf>
    <xf numFmtId="0" fontId="33" fillId="0" borderId="172" xfId="0" applyFont="1" applyBorder="1" applyAlignment="1" applyProtection="1">
      <alignment horizontal="center"/>
      <protection hidden="1"/>
    </xf>
    <xf numFmtId="0" fontId="33" fillId="0" borderId="173" xfId="0" applyFont="1" applyBorder="1" applyAlignment="1" applyProtection="1">
      <alignment horizontal="center"/>
      <protection hidden="1"/>
    </xf>
    <xf numFmtId="0" fontId="33" fillId="0" borderId="175" xfId="0" applyFont="1" applyBorder="1" applyAlignment="1" applyProtection="1">
      <alignment horizontal="center"/>
      <protection hidden="1"/>
    </xf>
    <xf numFmtId="0" fontId="33" fillId="0" borderId="182" xfId="0" applyFont="1" applyBorder="1" applyAlignment="1" applyProtection="1">
      <alignment horizontal="center"/>
      <protection hidden="1"/>
    </xf>
    <xf numFmtId="0" fontId="33" fillId="0" borderId="26" xfId="0" applyFont="1" applyBorder="1" applyAlignment="1" applyProtection="1">
      <alignment horizontal="center"/>
      <protection hidden="1"/>
    </xf>
    <xf numFmtId="0" fontId="33" fillId="0" borderId="183" xfId="0" applyFont="1" applyBorder="1" applyAlignment="1" applyProtection="1">
      <alignment horizontal="center"/>
      <protection hidden="1"/>
    </xf>
    <xf numFmtId="0" fontId="33" fillId="0" borderId="36" xfId="0" applyFont="1" applyBorder="1" applyAlignment="1" applyProtection="1">
      <alignment horizontal="center"/>
      <protection hidden="1"/>
    </xf>
    <xf numFmtId="0" fontId="33" fillId="0" borderId="37" xfId="0" applyFont="1" applyBorder="1" applyAlignment="1" applyProtection="1">
      <alignment horizontal="center"/>
      <protection hidden="1"/>
    </xf>
    <xf numFmtId="0" fontId="33" fillId="0" borderId="38" xfId="0" applyFont="1" applyBorder="1" applyAlignment="1" applyProtection="1">
      <alignment horizontal="center"/>
      <protection hidden="1"/>
    </xf>
    <xf numFmtId="2" fontId="34" fillId="0" borderId="0" xfId="0" applyNumberFormat="1" applyFont="1" applyAlignment="1" applyProtection="1">
      <alignment horizontal="left"/>
      <protection hidden="1"/>
    </xf>
    <xf numFmtId="2" fontId="34" fillId="15" borderId="202" xfId="0" applyNumberFormat="1" applyFont="1" applyFill="1" applyBorder="1" applyAlignment="1" applyProtection="1">
      <alignment horizontal="center"/>
      <protection hidden="1"/>
    </xf>
    <xf numFmtId="2" fontId="38" fillId="0" borderId="0" xfId="0" applyNumberFormat="1" applyFont="1" applyAlignment="1" applyProtection="1">
      <alignment horizontal="center"/>
      <protection hidden="1"/>
    </xf>
    <xf numFmtId="2" fontId="34" fillId="15" borderId="188" xfId="0" applyNumberFormat="1" applyFont="1" applyFill="1" applyBorder="1" applyAlignment="1" applyProtection="1">
      <alignment horizontal="center"/>
      <protection hidden="1"/>
    </xf>
    <xf numFmtId="2" fontId="34" fillId="15" borderId="8" xfId="0" applyNumberFormat="1" applyFont="1" applyFill="1" applyBorder="1" applyAlignment="1" applyProtection="1">
      <alignment horizontal="center"/>
      <protection hidden="1"/>
    </xf>
    <xf numFmtId="2" fontId="34" fillId="0" borderId="173" xfId="0" applyNumberFormat="1" applyFont="1" applyBorder="1" applyAlignment="1" applyProtection="1">
      <alignment horizontal="left"/>
      <protection hidden="1"/>
    </xf>
    <xf numFmtId="2" fontId="9" fillId="0" borderId="0" xfId="0" applyNumberFormat="1" applyFont="1" applyAlignment="1" applyProtection="1">
      <alignment horizontal="center"/>
      <protection hidden="1"/>
    </xf>
    <xf numFmtId="2" fontId="16" fillId="0" borderId="0" xfId="0" applyNumberFormat="1" applyFont="1" applyAlignment="1" applyProtection="1">
      <alignment horizontal="center"/>
      <protection hidden="1"/>
    </xf>
    <xf numFmtId="2" fontId="6" fillId="0" borderId="0" xfId="0" applyNumberFormat="1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center"/>
      <protection hidden="1"/>
    </xf>
    <xf numFmtId="2" fontId="6" fillId="15" borderId="188" xfId="0" applyNumberFormat="1" applyFont="1" applyFill="1" applyBorder="1" applyAlignment="1" applyProtection="1">
      <alignment horizontal="center"/>
      <protection hidden="1"/>
    </xf>
    <xf numFmtId="2" fontId="6" fillId="15" borderId="8" xfId="0" applyNumberFormat="1" applyFont="1" applyFill="1" applyBorder="1" applyAlignment="1" applyProtection="1">
      <alignment horizontal="center"/>
      <protection hidden="1"/>
    </xf>
    <xf numFmtId="2" fontId="6" fillId="15" borderId="199" xfId="0" applyNumberFormat="1" applyFont="1" applyFill="1" applyBorder="1" applyAlignment="1" applyProtection="1">
      <alignment horizontal="center"/>
      <protection hidden="1"/>
    </xf>
    <xf numFmtId="2" fontId="6" fillId="15" borderId="200" xfId="0" applyNumberFormat="1" applyFont="1" applyFill="1" applyBorder="1" applyAlignment="1" applyProtection="1">
      <alignment horizontal="center"/>
      <protection hidden="1"/>
    </xf>
    <xf numFmtId="2" fontId="6" fillId="15" borderId="201" xfId="0" applyNumberFormat="1" applyFont="1" applyFill="1" applyBorder="1" applyAlignment="1" applyProtection="1">
      <alignment horizontal="center"/>
      <protection hidden="1"/>
    </xf>
    <xf numFmtId="1" fontId="6" fillId="0" borderId="0" xfId="0" applyNumberFormat="1" applyFont="1" applyAlignment="1" applyProtection="1">
      <alignment horizontal="left"/>
      <protection hidden="1"/>
    </xf>
    <xf numFmtId="2" fontId="6" fillId="0" borderId="173" xfId="0" applyNumberFormat="1" applyFont="1" applyBorder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173" xfId="0" applyFont="1" applyBorder="1" applyAlignment="1" applyProtection="1">
      <alignment horizontal="center"/>
      <protection hidden="1"/>
    </xf>
    <xf numFmtId="0" fontId="9" fillId="0" borderId="0" xfId="3" applyFont="1" applyAlignment="1">
      <alignment horizontal="center"/>
    </xf>
    <xf numFmtId="0" fontId="24" fillId="0" borderId="0" xfId="3" applyFont="1" applyAlignment="1" applyProtection="1">
      <alignment horizontal="center"/>
      <protection locked="0"/>
    </xf>
  </cellXfs>
  <cellStyles count="4">
    <cellStyle name="Comma [0]" xfId="1" xr:uid="{00000000-0005-0000-0000-000000000000}"/>
    <cellStyle name="Currency [0]" xfId="2" xr:uid="{00000000-0005-0000-0000-000001000000}"/>
    <cellStyle name="Normal" xfId="0" builtinId="0"/>
    <cellStyle name="Normal 2" xfId="3" xr:uid="{00000000-0005-0000-0000-000003000000}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 patternType="solid">
          <bgColor indexed="44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68580</xdr:colOff>
          <xdr:row>0</xdr:row>
          <xdr:rowOff>0</xdr:rowOff>
        </xdr:from>
        <xdr:to>
          <xdr:col>23</xdr:col>
          <xdr:colOff>1379220</xdr:colOff>
          <xdr:row>0</xdr:row>
          <xdr:rowOff>160020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CUADRO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0</xdr:row>
          <xdr:rowOff>0</xdr:rowOff>
        </xdr:from>
        <xdr:to>
          <xdr:col>24</xdr:col>
          <xdr:colOff>1386840</xdr:colOff>
          <xdr:row>0</xdr:row>
          <xdr:rowOff>160020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5802" name="Picture 3">
          <a:extLst>
            <a:ext uri="{FF2B5EF4-FFF2-40B4-BE49-F238E27FC236}">
              <a16:creationId xmlns:a16="http://schemas.microsoft.com/office/drawing/2014/main" id="{00000000-0008-0000-0300-0000CA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3526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5803" name="Picture 4">
          <a:extLst>
            <a:ext uri="{FF2B5EF4-FFF2-40B4-BE49-F238E27FC236}">
              <a16:creationId xmlns:a16="http://schemas.microsoft.com/office/drawing/2014/main" id="{00000000-0008-0000-0300-0000CB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0686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5804" name="Picture 5">
          <a:extLst>
            <a:ext uri="{FF2B5EF4-FFF2-40B4-BE49-F238E27FC236}">
              <a16:creationId xmlns:a16="http://schemas.microsoft.com/office/drawing/2014/main" id="{00000000-0008-0000-0300-0000CC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04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335280</xdr:colOff>
      <xdr:row>140</xdr:row>
      <xdr:rowOff>0</xdr:rowOff>
    </xdr:from>
    <xdr:to>
      <xdr:col>3</xdr:col>
      <xdr:colOff>510540</xdr:colOff>
      <xdr:row>141</xdr:row>
      <xdr:rowOff>7620</xdr:rowOff>
    </xdr:to>
    <xdr:pic>
      <xdr:nvPicPr>
        <xdr:cNvPr id="25805" name="Picture 6">
          <a:extLst>
            <a:ext uri="{FF2B5EF4-FFF2-40B4-BE49-F238E27FC236}">
              <a16:creationId xmlns:a16="http://schemas.microsoft.com/office/drawing/2014/main" id="{00000000-0008-0000-0300-0000CD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422398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200</xdr:row>
          <xdr:rowOff>121920</xdr:rowOff>
        </xdr:from>
        <xdr:to>
          <xdr:col>4</xdr:col>
          <xdr:colOff>228600</xdr:colOff>
          <xdr:row>206</xdr:row>
          <xdr:rowOff>68580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297180</xdr:colOff>
      <xdr:row>130</xdr:row>
      <xdr:rowOff>106680</xdr:rowOff>
    </xdr:from>
    <xdr:to>
      <xdr:col>1</xdr:col>
      <xdr:colOff>556260</xdr:colOff>
      <xdr:row>132</xdr:row>
      <xdr:rowOff>45720</xdr:rowOff>
    </xdr:to>
    <xdr:pic>
      <xdr:nvPicPr>
        <xdr:cNvPr id="24867" name="Picture 3">
          <a:extLst>
            <a:ext uri="{FF2B5EF4-FFF2-40B4-BE49-F238E27FC236}">
              <a16:creationId xmlns:a16="http://schemas.microsoft.com/office/drawing/2014/main" id="{00000000-0008-0000-0A00-000023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23042880"/>
          <a:ext cx="25908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137160</xdr:rowOff>
    </xdr:from>
    <xdr:to>
      <xdr:col>1</xdr:col>
      <xdr:colOff>160020</xdr:colOff>
      <xdr:row>139</xdr:row>
      <xdr:rowOff>137160</xdr:rowOff>
    </xdr:to>
    <xdr:pic>
      <xdr:nvPicPr>
        <xdr:cNvPr id="24868" name="Picture 4">
          <a:extLst>
            <a:ext uri="{FF2B5EF4-FFF2-40B4-BE49-F238E27FC236}">
              <a16:creationId xmlns:a16="http://schemas.microsoft.com/office/drawing/2014/main" id="{00000000-0008-0000-0A00-000024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24414480"/>
          <a:ext cx="160020" cy="16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609600</xdr:colOff>
      <xdr:row>140</xdr:row>
      <xdr:rowOff>0</xdr:rowOff>
    </xdr:from>
    <xdr:to>
      <xdr:col>1</xdr:col>
      <xdr:colOff>0</xdr:colOff>
      <xdr:row>141</xdr:row>
      <xdr:rowOff>7620</xdr:rowOff>
    </xdr:to>
    <xdr:pic>
      <xdr:nvPicPr>
        <xdr:cNvPr id="24869" name="Picture 5">
          <a:extLst>
            <a:ext uri="{FF2B5EF4-FFF2-40B4-BE49-F238E27FC236}">
              <a16:creationId xmlns:a16="http://schemas.microsoft.com/office/drawing/2014/main" id="{00000000-0008-0000-0A00-000025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61260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373380</xdr:colOff>
      <xdr:row>140</xdr:row>
      <xdr:rowOff>7620</xdr:rowOff>
    </xdr:from>
    <xdr:to>
      <xdr:col>3</xdr:col>
      <xdr:colOff>548640</xdr:colOff>
      <xdr:row>141</xdr:row>
      <xdr:rowOff>15240</xdr:rowOff>
    </xdr:to>
    <xdr:pic>
      <xdr:nvPicPr>
        <xdr:cNvPr id="24870" name="Picture 6">
          <a:extLst>
            <a:ext uri="{FF2B5EF4-FFF2-40B4-BE49-F238E27FC236}">
              <a16:creationId xmlns:a16="http://schemas.microsoft.com/office/drawing/2014/main" id="{00000000-0008-0000-0A00-000026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2462022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221</xdr:row>
          <xdr:rowOff>121920</xdr:rowOff>
        </xdr:from>
        <xdr:to>
          <xdr:col>4</xdr:col>
          <xdr:colOff>228600</xdr:colOff>
          <xdr:row>227</xdr:row>
          <xdr:rowOff>68580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71</xdr:row>
          <xdr:rowOff>7620</xdr:rowOff>
        </xdr:from>
        <xdr:to>
          <xdr:col>4</xdr:col>
          <xdr:colOff>609600</xdr:colOff>
          <xdr:row>71</xdr:row>
          <xdr:rowOff>99060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indexed="60"/>
  </sheetPr>
  <dimension ref="A1:FT147"/>
  <sheetViews>
    <sheetView showGridLines="0" tabSelected="1" workbookViewId="0">
      <pane xSplit="5" ySplit="29" topLeftCell="AY30" activePane="bottomRight" state="frozen"/>
      <selection pane="topRight" activeCell="F1" sqref="F1"/>
      <selection pane="bottomLeft" activeCell="A30" sqref="A30"/>
      <selection pane="bottomRight" activeCell="BX1" sqref="BX1"/>
    </sheetView>
  </sheetViews>
  <sheetFormatPr baseColWidth="10" defaultColWidth="11.44140625" defaultRowHeight="13.2"/>
  <cols>
    <col min="1" max="1" width="11.33203125" style="2" customWidth="1"/>
    <col min="2" max="2" width="5" style="2" customWidth="1"/>
    <col min="3" max="3" width="5.88671875" style="2" customWidth="1"/>
    <col min="4" max="4" width="5.5546875" style="2" customWidth="1"/>
    <col min="5" max="5" width="34.109375" style="2" customWidth="1"/>
    <col min="6" max="6" width="7.109375" style="2" bestFit="1" customWidth="1"/>
    <col min="7" max="7" width="7" style="2" bestFit="1" customWidth="1"/>
    <col min="8" max="8" width="16.109375" style="2" customWidth="1"/>
    <col min="9" max="9" width="12.5546875" style="2" bestFit="1" customWidth="1"/>
    <col min="10" max="10" width="9.109375" style="2" bestFit="1" customWidth="1"/>
    <col min="11" max="11" width="9.109375" style="2" customWidth="1"/>
    <col min="12" max="13" width="11.44140625" style="2"/>
    <col min="14" max="14" width="10.44140625" style="2" bestFit="1" customWidth="1"/>
    <col min="15" max="15" width="10.44140625" style="2" customWidth="1"/>
    <col min="16" max="16" width="9.109375" style="2" hidden="1" customWidth="1"/>
    <col min="17" max="19" width="11.44140625" style="2" hidden="1" customWidth="1"/>
    <col min="20" max="21" width="10.44140625" style="2" hidden="1" customWidth="1"/>
    <col min="22" max="22" width="11.44140625" style="2"/>
    <col min="23" max="23" width="15" style="2" customWidth="1"/>
    <col min="24" max="53" width="20.6640625" style="2" customWidth="1"/>
    <col min="54" max="54" width="14.5546875" style="2" customWidth="1"/>
    <col min="55" max="55" width="12.6640625" style="2" hidden="1" customWidth="1"/>
    <col min="56" max="56" width="16.109375" style="2" hidden="1" customWidth="1"/>
    <col min="57" max="57" width="12.5546875" style="2" hidden="1" customWidth="1"/>
    <col min="58" max="61" width="11.44140625" style="2" hidden="1" customWidth="1"/>
    <col min="62" max="62" width="13.44140625" style="2" hidden="1" customWidth="1"/>
    <col min="63" max="63" width="16.109375" style="2" hidden="1" customWidth="1"/>
    <col min="64" max="71" width="11.44140625" style="2" hidden="1" customWidth="1"/>
    <col min="72" max="72" width="12.6640625" style="2" customWidth="1"/>
    <col min="73" max="73" width="12.6640625" style="4" customWidth="1"/>
    <col min="74" max="74" width="12.6640625" style="2" customWidth="1"/>
    <col min="75" max="75" width="11.44140625" style="2"/>
    <col min="76" max="76" width="12.109375" style="2" customWidth="1"/>
    <col min="77" max="77" width="11.44140625" style="2"/>
    <col min="78" max="78" width="13.44140625" style="2" customWidth="1"/>
    <col min="79" max="79" width="14.5546875" style="2" customWidth="1"/>
    <col min="80" max="80" width="14.33203125" style="2" customWidth="1"/>
    <col min="81" max="82" width="12.109375" style="2" hidden="1" customWidth="1"/>
    <col min="83" max="84" width="11.44140625" style="2" hidden="1" customWidth="1"/>
    <col min="85" max="85" width="14.33203125" style="2" hidden="1" customWidth="1"/>
    <col min="86" max="86" width="11.44140625" style="2"/>
    <col min="87" max="88" width="11.44140625" style="4"/>
    <col min="89" max="89" width="12.33203125" style="4" customWidth="1"/>
    <col min="90" max="92" width="12.33203125" style="2" customWidth="1"/>
    <col min="93" max="95" width="11.44140625" style="2" customWidth="1"/>
    <col min="96" max="96" width="12.109375" style="2" customWidth="1"/>
    <col min="97" max="99" width="11.44140625" style="2" customWidth="1"/>
    <col min="100" max="101" width="11.44140625" style="4" customWidth="1"/>
    <col min="102" max="102" width="11.44140625" style="322" customWidth="1"/>
    <col min="103" max="105" width="11.44140625" style="2" customWidth="1"/>
    <col min="106" max="109" width="12.33203125" style="2" customWidth="1"/>
    <col min="110" max="110" width="12.44140625" style="2" customWidth="1"/>
    <col min="111" max="111" width="12.5546875" style="2" customWidth="1"/>
    <col min="112" max="112" width="12.33203125" style="2" customWidth="1"/>
    <col min="113" max="113" width="12.44140625" style="2" customWidth="1"/>
    <col min="114" max="114" width="12.5546875" style="2" customWidth="1"/>
    <col min="115" max="115" width="11.6640625" style="2" customWidth="1"/>
    <col min="116" max="117" width="13" style="4" customWidth="1"/>
    <col min="118" max="118" width="13" style="2" customWidth="1"/>
    <col min="119" max="137" width="11.44140625" style="2" customWidth="1"/>
    <col min="138" max="143" width="11.44140625" style="4" customWidth="1"/>
    <col min="144" max="144" width="11.44140625" style="2" customWidth="1"/>
    <col min="145" max="145" width="11.44140625" style="4" customWidth="1"/>
    <col min="146" max="146" width="17.88671875" style="2" customWidth="1"/>
    <col min="147" max="149" width="18.6640625" style="2" customWidth="1"/>
    <col min="150" max="159" width="11.44140625" style="2"/>
    <col min="160" max="161" width="11.5546875" customWidth="1"/>
    <col min="162" max="166" width="6.6640625" style="2" customWidth="1"/>
    <col min="167" max="16384" width="11.44140625" style="2"/>
  </cols>
  <sheetData>
    <row r="1" spans="1:171" s="3" customFormat="1" ht="15.75" customHeight="1" thickBot="1">
      <c r="A1" s="507"/>
      <c r="B1" s="507"/>
      <c r="C1" s="507"/>
      <c r="D1" s="507"/>
      <c r="E1" s="507" t="s">
        <v>662</v>
      </c>
      <c r="F1" s="507">
        <v>3</v>
      </c>
      <c r="G1" s="507">
        <v>3</v>
      </c>
      <c r="H1" s="507" t="s">
        <v>49</v>
      </c>
      <c r="I1" s="507" t="s">
        <v>646</v>
      </c>
      <c r="J1" s="507">
        <v>3</v>
      </c>
      <c r="K1" s="507">
        <v>230</v>
      </c>
      <c r="L1" s="507">
        <v>1.9438544433295104</v>
      </c>
      <c r="M1" s="507">
        <v>1</v>
      </c>
      <c r="N1" s="507">
        <v>2</v>
      </c>
      <c r="O1" s="507">
        <v>2</v>
      </c>
      <c r="P1" s="507">
        <v>6</v>
      </c>
      <c r="Q1" s="507">
        <v>0</v>
      </c>
      <c r="R1" s="507">
        <v>2</v>
      </c>
      <c r="S1" s="507">
        <v>1</v>
      </c>
      <c r="T1" s="507">
        <v>1</v>
      </c>
      <c r="U1" s="507">
        <v>1</v>
      </c>
      <c r="V1" s="507">
        <v>1</v>
      </c>
      <c r="W1" s="507" t="s">
        <v>311</v>
      </c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7"/>
      <c r="AN1" s="507"/>
      <c r="AO1" s="507"/>
      <c r="AP1" s="507"/>
      <c r="AQ1" s="507"/>
      <c r="AR1" s="507"/>
      <c r="AS1" s="507"/>
      <c r="AT1" s="507"/>
      <c r="AU1" s="507"/>
      <c r="AV1" s="507"/>
      <c r="AW1" s="507"/>
      <c r="AX1" s="507"/>
      <c r="AY1" s="507"/>
      <c r="AZ1" s="507"/>
      <c r="BA1" s="507"/>
      <c r="BB1" s="507">
        <v>93.44301999999999</v>
      </c>
      <c r="BC1" s="507">
        <v>4.5999999999999996</v>
      </c>
      <c r="BD1" s="507">
        <v>0</v>
      </c>
      <c r="BE1" s="507">
        <v>30</v>
      </c>
      <c r="BF1" s="507">
        <v>38.70702</v>
      </c>
      <c r="BG1" s="507">
        <v>0</v>
      </c>
      <c r="BH1" s="507">
        <v>0</v>
      </c>
      <c r="BI1" s="507">
        <v>0</v>
      </c>
      <c r="BJ1" s="507">
        <v>0</v>
      </c>
      <c r="BK1" s="507">
        <v>20.135999999999999</v>
      </c>
      <c r="BL1" s="507">
        <v>0</v>
      </c>
      <c r="BM1" s="507">
        <v>0</v>
      </c>
      <c r="BN1" s="507">
        <v>0</v>
      </c>
      <c r="BO1" s="507">
        <v>0</v>
      </c>
      <c r="BP1" s="507">
        <v>0</v>
      </c>
      <c r="BQ1" s="507">
        <v>38.70702</v>
      </c>
      <c r="BR1" s="507">
        <v>15.825348000000002</v>
      </c>
      <c r="BS1" s="507">
        <v>70</v>
      </c>
      <c r="BT1" s="507">
        <v>74.754415999999992</v>
      </c>
      <c r="BU1" s="508">
        <v>100.02464140441019</v>
      </c>
      <c r="BV1" s="507">
        <v>480</v>
      </c>
      <c r="BW1" s="507">
        <v>150</v>
      </c>
      <c r="BX1" s="507">
        <v>36586</v>
      </c>
      <c r="BY1" s="507">
        <v>310</v>
      </c>
      <c r="BZ1" s="507">
        <v>1.9134468081017226</v>
      </c>
      <c r="CA1" s="931">
        <v>4</v>
      </c>
      <c r="CB1" s="507" t="s">
        <v>647</v>
      </c>
      <c r="CH1" s="507">
        <v>1.9134468081017226</v>
      </c>
      <c r="CI1" s="508">
        <v>32695.673333333336</v>
      </c>
      <c r="CJ1" s="508">
        <v>33109.67333333334</v>
      </c>
      <c r="CK1" s="508">
        <v>27637.673333333336</v>
      </c>
      <c r="CO1" s="3">
        <v>0</v>
      </c>
      <c r="CP1" s="3">
        <v>0</v>
      </c>
      <c r="CQ1" s="3">
        <v>0</v>
      </c>
      <c r="CR1" s="3" t="s">
        <v>510</v>
      </c>
      <c r="CS1" s="3">
        <v>1</v>
      </c>
      <c r="CT1" s="3">
        <v>1</v>
      </c>
      <c r="CV1" s="11"/>
      <c r="CW1" s="11"/>
      <c r="CX1" s="344"/>
      <c r="CY1" s="3">
        <v>100.02464140441019</v>
      </c>
      <c r="DA1" s="3">
        <v>0.9</v>
      </c>
      <c r="DB1" s="3">
        <v>0.43588989435406728</v>
      </c>
      <c r="DC1" s="949" t="s">
        <v>621</v>
      </c>
      <c r="DD1" s="3">
        <v>135</v>
      </c>
      <c r="DE1" s="3">
        <v>240</v>
      </c>
      <c r="DF1" s="3">
        <v>0.34617512173381193</v>
      </c>
      <c r="DG1" s="930">
        <v>36586</v>
      </c>
      <c r="DH1" s="3">
        <v>310</v>
      </c>
      <c r="DL1" s="3">
        <v>135.47687861271677</v>
      </c>
      <c r="DM1" s="3">
        <v>150</v>
      </c>
      <c r="DO1" s="3">
        <v>0.43</v>
      </c>
      <c r="DP1" s="3">
        <v>0.17100000000000001</v>
      </c>
      <c r="DQ1" s="3">
        <v>14.73</v>
      </c>
      <c r="DR1" s="3">
        <v>170.41051566000002</v>
      </c>
      <c r="DS1" s="3">
        <v>9.184544678888269</v>
      </c>
      <c r="DT1" s="3">
        <v>21.2</v>
      </c>
      <c r="ED1" s="3" t="s">
        <v>53</v>
      </c>
      <c r="EH1" s="11"/>
      <c r="EI1" s="11"/>
      <c r="EJ1" s="11"/>
      <c r="EK1" s="11"/>
      <c r="EL1" s="11"/>
      <c r="EM1" s="11"/>
      <c r="EO1" s="11"/>
      <c r="ER1" s="3" t="s">
        <v>663</v>
      </c>
      <c r="ES1" s="3" t="s">
        <v>664</v>
      </c>
      <c r="ET1" s="820">
        <v>14</v>
      </c>
      <c r="FM1" s="819" t="s">
        <v>556</v>
      </c>
      <c r="FO1" s="3">
        <v>1.75</v>
      </c>
    </row>
    <row r="2" spans="1:171" s="66" customFormat="1" ht="13.8" hidden="1" thickBot="1">
      <c r="E2" s="66" t="s">
        <v>883</v>
      </c>
      <c r="BU2" s="509"/>
      <c r="CI2" s="509"/>
      <c r="CJ2" s="509"/>
      <c r="CK2" s="509"/>
      <c r="CV2" s="509"/>
      <c r="CW2" s="509"/>
      <c r="CX2" s="510"/>
      <c r="DL2" s="509"/>
      <c r="DM2" s="509"/>
      <c r="EH2" s="509"/>
      <c r="EI2" s="509"/>
      <c r="EJ2" s="509"/>
      <c r="EK2" s="509"/>
      <c r="EL2" s="509"/>
      <c r="EM2" s="509"/>
      <c r="EO2" s="509"/>
      <c r="FM2" s="819" t="s">
        <v>557</v>
      </c>
    </row>
    <row r="3" spans="1:171" ht="13.8" hidden="1" thickBot="1">
      <c r="A3" s="65"/>
      <c r="B3" s="71"/>
      <c r="C3" s="72"/>
      <c r="D3" s="72"/>
      <c r="E3" s="72" t="s">
        <v>312</v>
      </c>
      <c r="F3" s="73"/>
      <c r="G3" s="65"/>
      <c r="H3" s="65"/>
      <c r="I3" s="65"/>
      <c r="J3" s="65"/>
      <c r="K3" s="65"/>
      <c r="L3" s="65"/>
      <c r="M3" s="65"/>
      <c r="N3" s="65"/>
      <c r="O3" s="65"/>
    </row>
    <row r="4" spans="1:171" ht="13.8" hidden="1" thickBot="1">
      <c r="A4" s="420"/>
      <c r="B4" s="417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28"/>
      <c r="V4" s="819" t="s">
        <v>519</v>
      </c>
    </row>
    <row r="5" spans="1:171" ht="16.8" hidden="1" thickBot="1">
      <c r="A5" s="420"/>
      <c r="B5" s="419"/>
      <c r="C5" s="420"/>
      <c r="D5" s="420"/>
      <c r="E5" s="423" t="s">
        <v>313</v>
      </c>
      <c r="F5" s="430" t="s">
        <v>650</v>
      </c>
      <c r="G5" s="821"/>
      <c r="H5" s="821"/>
      <c r="I5" s="822"/>
      <c r="J5" s="823"/>
      <c r="K5" s="420"/>
      <c r="L5" s="424" t="s">
        <v>314</v>
      </c>
      <c r="M5" s="430" t="s">
        <v>651</v>
      </c>
      <c r="N5" s="821"/>
      <c r="O5" s="822"/>
      <c r="V5" s="2" t="s">
        <v>652</v>
      </c>
    </row>
    <row r="6" spans="1:171" ht="16.8" hidden="1" thickBot="1">
      <c r="A6" s="420"/>
      <c r="B6" s="419"/>
      <c r="C6" s="420"/>
      <c r="D6" s="420"/>
      <c r="E6" s="423" t="s">
        <v>315</v>
      </c>
      <c r="F6" s="430" t="s">
        <v>665</v>
      </c>
      <c r="G6" s="821"/>
      <c r="H6" s="821"/>
      <c r="I6" s="822"/>
      <c r="J6" s="420"/>
      <c r="K6" s="420"/>
      <c r="L6" s="424" t="s">
        <v>316</v>
      </c>
      <c r="M6" s="430" t="s">
        <v>666</v>
      </c>
      <c r="N6" s="821"/>
      <c r="O6" s="822"/>
    </row>
    <row r="7" spans="1:171" ht="16.8" hidden="1" thickBot="1">
      <c r="A7" s="420"/>
      <c r="B7" s="419"/>
      <c r="C7" s="420"/>
      <c r="D7" s="420"/>
      <c r="E7" s="423" t="s">
        <v>317</v>
      </c>
      <c r="F7" s="430" t="s">
        <v>663</v>
      </c>
      <c r="G7" s="821"/>
      <c r="H7" s="821"/>
      <c r="I7" s="822"/>
      <c r="J7" s="420"/>
      <c r="K7" s="420"/>
      <c r="L7" s="424" t="s">
        <v>318</v>
      </c>
      <c r="M7" s="430" t="s">
        <v>617</v>
      </c>
      <c r="N7" s="821"/>
      <c r="O7" s="822"/>
    </row>
    <row r="8" spans="1:171" ht="16.8" hidden="1" thickBot="1">
      <c r="A8" s="420"/>
      <c r="B8" s="419"/>
      <c r="C8" s="420"/>
      <c r="D8" s="420"/>
      <c r="E8" s="423" t="s">
        <v>319</v>
      </c>
      <c r="F8" s="430" t="s">
        <v>653</v>
      </c>
      <c r="G8" s="821"/>
      <c r="H8" s="821"/>
      <c r="I8" s="822"/>
      <c r="J8" s="420"/>
      <c r="K8" s="420"/>
      <c r="L8" s="424" t="s">
        <v>320</v>
      </c>
      <c r="M8" s="824">
        <v>60</v>
      </c>
      <c r="N8" s="420"/>
      <c r="O8" s="429"/>
    </row>
    <row r="9" spans="1:171" ht="16.8" hidden="1" thickBot="1">
      <c r="A9" s="420"/>
      <c r="B9" s="419"/>
      <c r="C9" s="420"/>
      <c r="D9" s="420"/>
      <c r="E9" s="423" t="s">
        <v>321</v>
      </c>
      <c r="F9" s="824">
        <v>220</v>
      </c>
      <c r="G9" s="422" t="s">
        <v>322</v>
      </c>
      <c r="H9" s="420">
        <v>127</v>
      </c>
      <c r="I9" s="420"/>
      <c r="J9" s="423"/>
      <c r="K9" s="420"/>
      <c r="L9" s="423" t="s">
        <v>323</v>
      </c>
      <c r="M9" s="824" t="s">
        <v>654</v>
      </c>
      <c r="N9" s="824" t="s">
        <v>596</v>
      </c>
      <c r="O9" s="429"/>
      <c r="V9" s="2" t="s">
        <v>558</v>
      </c>
    </row>
    <row r="10" spans="1:171" ht="16.8" hidden="1" thickBot="1">
      <c r="A10" s="420"/>
      <c r="B10" s="419"/>
      <c r="C10" s="420"/>
      <c r="D10" s="420"/>
      <c r="E10" s="423" t="s">
        <v>324</v>
      </c>
      <c r="F10" s="825">
        <v>3</v>
      </c>
      <c r="G10" s="424" t="s">
        <v>4</v>
      </c>
      <c r="H10" s="825">
        <v>4</v>
      </c>
      <c r="I10" s="420"/>
      <c r="J10" s="420"/>
      <c r="K10" s="420"/>
      <c r="L10" s="424" t="s">
        <v>325</v>
      </c>
      <c r="M10" s="826">
        <v>1</v>
      </c>
      <c r="N10" s="827"/>
      <c r="O10" s="420"/>
      <c r="P10" s="420"/>
      <c r="Q10" s="424" t="s">
        <v>326</v>
      </c>
      <c r="R10" s="828">
        <v>2</v>
      </c>
      <c r="V10" s="2" t="s">
        <v>559</v>
      </c>
      <c r="W10" s="2">
        <v>1.75</v>
      </c>
    </row>
    <row r="11" spans="1:171" ht="16.8" hidden="1" thickBot="1">
      <c r="A11" s="420"/>
      <c r="B11" s="419"/>
      <c r="C11" s="420"/>
      <c r="D11" s="420"/>
      <c r="E11" s="423" t="s">
        <v>327</v>
      </c>
      <c r="F11" s="825" t="s">
        <v>511</v>
      </c>
      <c r="G11" s="420"/>
      <c r="H11" s="420"/>
      <c r="I11" s="420"/>
      <c r="J11" s="420"/>
      <c r="K11" s="420"/>
      <c r="L11" s="424" t="s">
        <v>328</v>
      </c>
      <c r="M11" s="826">
        <v>1</v>
      </c>
      <c r="N11" s="420">
        <v>1</v>
      </c>
      <c r="O11" s="420"/>
      <c r="P11" s="420"/>
      <c r="Q11" s="424" t="s">
        <v>303</v>
      </c>
      <c r="R11" s="828" t="s">
        <v>619</v>
      </c>
      <c r="V11" s="2" t="s">
        <v>560</v>
      </c>
      <c r="W11" s="2">
        <v>1</v>
      </c>
    </row>
    <row r="12" spans="1:171" ht="13.8" hidden="1" thickBot="1">
      <c r="A12" s="420"/>
      <c r="B12" s="419"/>
      <c r="C12" s="420"/>
      <c r="D12" s="420"/>
      <c r="E12" s="829" t="s">
        <v>329</v>
      </c>
      <c r="F12" s="825" t="s">
        <v>587</v>
      </c>
      <c r="G12" s="420"/>
      <c r="H12" s="420"/>
      <c r="I12" s="420"/>
      <c r="J12" s="420"/>
      <c r="K12" s="420"/>
      <c r="L12" s="424" t="s">
        <v>330</v>
      </c>
      <c r="M12" s="826">
        <v>1</v>
      </c>
      <c r="N12" s="827"/>
      <c r="O12" s="420"/>
      <c r="P12" s="420"/>
      <c r="Q12" s="424" t="s">
        <v>304</v>
      </c>
      <c r="R12" s="828" t="s">
        <v>620</v>
      </c>
      <c r="V12" s="2" t="s">
        <v>561</v>
      </c>
      <c r="W12" s="2">
        <v>1.25</v>
      </c>
    </row>
    <row r="13" spans="1:171" ht="16.8" hidden="1" thickBot="1">
      <c r="A13" s="420"/>
      <c r="B13" s="419"/>
      <c r="C13" s="420"/>
      <c r="D13" s="420"/>
      <c r="E13" s="423" t="s">
        <v>331</v>
      </c>
      <c r="F13" s="825">
        <v>30</v>
      </c>
      <c r="G13" s="420" t="s">
        <v>30</v>
      </c>
      <c r="H13" s="420"/>
      <c r="I13" s="420"/>
      <c r="J13" s="420"/>
      <c r="K13" s="420"/>
      <c r="L13" s="424" t="s">
        <v>332</v>
      </c>
      <c r="M13" s="826">
        <v>1</v>
      </c>
      <c r="N13" s="827"/>
      <c r="O13" s="420"/>
      <c r="P13" s="420"/>
      <c r="Q13" s="424" t="s">
        <v>305</v>
      </c>
      <c r="R13" s="828" t="s">
        <v>619</v>
      </c>
      <c r="V13" s="819" t="s">
        <v>593</v>
      </c>
      <c r="W13" s="830" t="s">
        <v>667</v>
      </c>
    </row>
    <row r="14" spans="1:171" ht="16.8" hidden="1" thickBot="1">
      <c r="A14" s="420"/>
      <c r="B14" s="419"/>
      <c r="C14" s="420"/>
      <c r="D14" s="420"/>
      <c r="E14" s="423" t="s">
        <v>333</v>
      </c>
      <c r="F14" s="825">
        <v>0.9</v>
      </c>
      <c r="G14" s="420"/>
      <c r="H14" s="420"/>
      <c r="I14" s="420"/>
      <c r="J14" s="420"/>
      <c r="K14" s="420"/>
      <c r="L14" s="424" t="s">
        <v>334</v>
      </c>
      <c r="M14" s="826">
        <v>1</v>
      </c>
      <c r="N14" s="827"/>
      <c r="O14" s="420"/>
      <c r="P14" s="420"/>
      <c r="Q14" s="424" t="s">
        <v>335</v>
      </c>
      <c r="R14" s="828">
        <v>0</v>
      </c>
      <c r="V14" s="2" t="s">
        <v>668</v>
      </c>
    </row>
    <row r="15" spans="1:171" ht="16.8" hidden="1" thickBot="1">
      <c r="A15" s="420"/>
      <c r="B15" s="419"/>
      <c r="C15" s="420"/>
      <c r="D15" s="420"/>
      <c r="E15" s="423" t="s">
        <v>336</v>
      </c>
      <c r="F15" s="825" t="s">
        <v>595</v>
      </c>
      <c r="G15" s="420"/>
      <c r="H15" s="420"/>
      <c r="I15" s="420"/>
      <c r="J15" s="420"/>
      <c r="K15" s="420"/>
      <c r="L15" s="424" t="s">
        <v>337</v>
      </c>
      <c r="M15" s="826">
        <v>1</v>
      </c>
      <c r="N15" s="827"/>
      <c r="O15" s="420"/>
      <c r="P15" s="420"/>
      <c r="Q15" s="424"/>
      <c r="R15" s="828">
        <v>0</v>
      </c>
      <c r="V15" s="2" t="s">
        <v>669</v>
      </c>
    </row>
    <row r="16" spans="1:171" ht="16.8" hidden="1" thickBot="1">
      <c r="A16" s="420"/>
      <c r="B16" s="419"/>
      <c r="C16" s="420"/>
      <c r="D16" s="420"/>
      <c r="E16" s="423" t="s">
        <v>338</v>
      </c>
      <c r="F16" s="825" t="s">
        <v>646</v>
      </c>
      <c r="G16" s="825" t="s">
        <v>596</v>
      </c>
      <c r="H16" s="420"/>
      <c r="I16" s="420"/>
      <c r="J16" s="420"/>
      <c r="K16" s="420"/>
      <c r="L16" s="424" t="s">
        <v>339</v>
      </c>
      <c r="M16" s="831">
        <v>1</v>
      </c>
      <c r="N16" s="827"/>
      <c r="O16" s="420"/>
      <c r="P16" s="420"/>
      <c r="Q16" s="424"/>
      <c r="R16" s="828">
        <v>0</v>
      </c>
    </row>
    <row r="17" spans="1:176" ht="16.8" hidden="1" thickBot="1">
      <c r="A17" s="420"/>
      <c r="B17" s="419"/>
      <c r="C17" s="420"/>
      <c r="D17" s="420"/>
      <c r="E17" s="423" t="s">
        <v>340</v>
      </c>
      <c r="F17" s="825" t="s">
        <v>341</v>
      </c>
      <c r="G17" s="420"/>
      <c r="H17" s="420"/>
      <c r="I17" s="420"/>
      <c r="J17" s="420"/>
      <c r="K17" s="420"/>
      <c r="L17" s="424" t="s">
        <v>342</v>
      </c>
      <c r="M17" s="832">
        <v>0.8</v>
      </c>
      <c r="N17" s="827">
        <v>1</v>
      </c>
      <c r="O17" s="827">
        <v>0.8</v>
      </c>
      <c r="P17" s="420"/>
      <c r="Q17" s="424"/>
      <c r="R17" s="828">
        <v>0</v>
      </c>
    </row>
    <row r="18" spans="1:176" ht="16.8" hidden="1" thickBot="1">
      <c r="A18" s="420"/>
      <c r="B18" s="419"/>
      <c r="C18" s="420"/>
      <c r="D18" s="420"/>
      <c r="E18" s="423" t="s">
        <v>626</v>
      </c>
      <c r="F18" s="825">
        <v>100</v>
      </c>
      <c r="G18" s="825">
        <v>100</v>
      </c>
      <c r="H18" s="420"/>
      <c r="I18" s="420"/>
      <c r="J18" s="420"/>
      <c r="K18" s="420"/>
      <c r="L18" s="424" t="s">
        <v>343</v>
      </c>
      <c r="M18" s="825" t="s">
        <v>49</v>
      </c>
      <c r="N18" s="420"/>
      <c r="O18" s="420"/>
      <c r="P18" s="2" t="s">
        <v>207</v>
      </c>
      <c r="Q18" s="2" t="s">
        <v>208</v>
      </c>
      <c r="R18" s="2" t="s">
        <v>82</v>
      </c>
      <c r="S18" s="2" t="s">
        <v>209</v>
      </c>
    </row>
    <row r="19" spans="1:176" ht="16.8" hidden="1" thickBot="1">
      <c r="A19" s="420"/>
      <c r="B19" s="419"/>
      <c r="C19" s="420"/>
      <c r="D19" s="420"/>
      <c r="E19" s="423" t="s">
        <v>627</v>
      </c>
      <c r="F19" s="825">
        <v>100</v>
      </c>
      <c r="G19" s="420">
        <v>125</v>
      </c>
      <c r="H19" s="421">
        <v>135</v>
      </c>
      <c r="I19" s="420"/>
      <c r="J19" s="420"/>
      <c r="K19" s="420"/>
      <c r="L19" s="424" t="s">
        <v>344</v>
      </c>
      <c r="M19" s="828">
        <v>29</v>
      </c>
      <c r="N19" s="420"/>
      <c r="O19" s="420"/>
      <c r="P19" s="2">
        <v>0</v>
      </c>
      <c r="Q19" s="2">
        <v>0</v>
      </c>
      <c r="R19" s="2">
        <v>0</v>
      </c>
      <c r="S19" s="2">
        <v>0</v>
      </c>
    </row>
    <row r="20" spans="1:176" ht="16.8" hidden="1" thickBot="1">
      <c r="A20" s="420"/>
      <c r="B20" s="419"/>
      <c r="C20" s="420"/>
      <c r="D20" s="420"/>
      <c r="E20" s="423" t="s">
        <v>628</v>
      </c>
      <c r="F20" s="825">
        <v>150</v>
      </c>
      <c r="G20" s="420">
        <v>100</v>
      </c>
      <c r="H20" s="421">
        <v>125</v>
      </c>
      <c r="I20" s="421"/>
      <c r="J20" s="420"/>
      <c r="K20" s="420"/>
      <c r="L20" s="424" t="s">
        <v>345</v>
      </c>
      <c r="M20" s="828">
        <v>16</v>
      </c>
      <c r="N20" s="420">
        <v>78</v>
      </c>
      <c r="O20" s="420"/>
      <c r="P20" s="2">
        <v>0</v>
      </c>
      <c r="Q20" s="2">
        <v>0</v>
      </c>
      <c r="R20" s="2">
        <v>0</v>
      </c>
      <c r="S20" s="2">
        <v>0</v>
      </c>
    </row>
    <row r="21" spans="1:176" ht="16.8" hidden="1" thickBot="1">
      <c r="A21" s="420"/>
      <c r="B21" s="425"/>
      <c r="C21" s="426"/>
      <c r="D21" s="426"/>
      <c r="E21" s="427" t="s">
        <v>517</v>
      </c>
      <c r="F21" s="426">
        <v>20</v>
      </c>
      <c r="G21" s="833">
        <v>30</v>
      </c>
      <c r="H21" s="426">
        <v>30</v>
      </c>
      <c r="I21" s="421"/>
      <c r="J21" s="426"/>
      <c r="K21" s="426"/>
      <c r="L21" s="834" t="s">
        <v>518</v>
      </c>
      <c r="M21" s="828">
        <v>15</v>
      </c>
      <c r="N21" s="828">
        <v>20</v>
      </c>
      <c r="O21" s="828">
        <v>15</v>
      </c>
      <c r="P21" s="2">
        <v>0</v>
      </c>
      <c r="Q21" s="2">
        <v>0</v>
      </c>
      <c r="R21" s="2">
        <v>0</v>
      </c>
      <c r="S21" s="2">
        <v>0</v>
      </c>
    </row>
    <row r="22" spans="1:176" ht="12.75" customHeight="1" thickBot="1">
      <c r="B22" s="784" t="s">
        <v>611</v>
      </c>
      <c r="C22" s="785"/>
      <c r="D22" s="786"/>
      <c r="E22" s="787"/>
      <c r="F22" s="408"/>
      <c r="G22" s="408"/>
      <c r="H22" s="835" t="s">
        <v>629</v>
      </c>
      <c r="I22" s="408"/>
      <c r="J22" s="1054"/>
      <c r="K22" s="1055"/>
      <c r="L22" s="1055"/>
      <c r="M22" s="1055"/>
      <c r="N22" s="1055"/>
      <c r="O22" s="1056"/>
      <c r="P22" s="1057" t="s">
        <v>347</v>
      </c>
      <c r="Q22" s="1058"/>
      <c r="R22" s="1058"/>
      <c r="S22" s="1058"/>
      <c r="T22" s="1058"/>
      <c r="U22" s="1059"/>
      <c r="V22" s="408"/>
      <c r="W22" s="434" t="s">
        <v>348</v>
      </c>
      <c r="X22" s="318" t="s">
        <v>670</v>
      </c>
      <c r="Y22" s="318" t="s">
        <v>671</v>
      </c>
      <c r="Z22" s="318" t="s">
        <v>672</v>
      </c>
      <c r="AA22" s="318" t="s">
        <v>673</v>
      </c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318"/>
      <c r="AP22" s="318"/>
      <c r="AQ22" s="318"/>
      <c r="AR22" s="318"/>
      <c r="AS22" s="318"/>
      <c r="AT22" s="318"/>
      <c r="AU22" s="318"/>
      <c r="AV22" s="318"/>
      <c r="AW22" s="318"/>
      <c r="AX22" s="318"/>
      <c r="AY22" s="318"/>
      <c r="AZ22" s="318"/>
      <c r="BA22" s="319"/>
      <c r="BB22" s="434" t="s">
        <v>348</v>
      </c>
      <c r="BC22" s="439"/>
      <c r="BD22" s="440"/>
      <c r="BE22" s="441" t="s">
        <v>349</v>
      </c>
      <c r="BF22" s="440"/>
      <c r="BG22" s="440"/>
      <c r="BH22" s="440"/>
      <c r="BI22" s="442"/>
      <c r="BJ22" s="443"/>
      <c r="BK22" s="444"/>
      <c r="BL22" s="444"/>
      <c r="BM22" s="445" t="s">
        <v>350</v>
      </c>
      <c r="BN22" s="444"/>
      <c r="BO22" s="444"/>
      <c r="BP22" s="446"/>
      <c r="BQ22" s="447"/>
      <c r="BR22" s="448"/>
      <c r="BS22" s="448"/>
      <c r="BT22" s="836" t="s">
        <v>42</v>
      </c>
      <c r="BU22" s="837" t="s">
        <v>674</v>
      </c>
      <c r="BV22" s="838" t="s">
        <v>582</v>
      </c>
      <c r="BW22" s="839" t="s">
        <v>674</v>
      </c>
      <c r="BX22" s="1066" t="s">
        <v>583</v>
      </c>
      <c r="BY22" s="1067"/>
      <c r="BZ22" s="1068"/>
      <c r="CA22" s="1069" t="s">
        <v>352</v>
      </c>
      <c r="CB22" s="1070"/>
      <c r="CC22" s="1071" t="s">
        <v>353</v>
      </c>
      <c r="CD22" s="1071"/>
      <c r="CE22" s="1071"/>
      <c r="CF22" s="1071"/>
      <c r="CG22" s="1072"/>
      <c r="CH22" s="448" t="s">
        <v>354</v>
      </c>
      <c r="CI22" s="1027" t="s">
        <v>41</v>
      </c>
      <c r="CJ22" s="1028"/>
      <c r="CK22" s="1029"/>
      <c r="CL22" s="493"/>
      <c r="CM22" s="493"/>
      <c r="CN22" s="493"/>
      <c r="CO22" s="448"/>
      <c r="CP22" s="448"/>
      <c r="CQ22" s="448"/>
      <c r="CR22" s="496"/>
      <c r="CS22" s="449"/>
      <c r="CT22" s="449"/>
      <c r="CU22" s="449"/>
      <c r="CV22" s="450"/>
      <c r="CW22" s="450"/>
      <c r="CX22" s="497"/>
      <c r="CY22" s="449"/>
      <c r="CZ22" s="449"/>
      <c r="DA22" s="449"/>
      <c r="DB22" s="449"/>
      <c r="DC22" s="447"/>
      <c r="DD22" s="496"/>
      <c r="DE22" s="449"/>
      <c r="DF22" s="438" t="s">
        <v>355</v>
      </c>
      <c r="DG22" s="438" t="s">
        <v>356</v>
      </c>
      <c r="DH22" s="438"/>
      <c r="DI22" s="438" t="s">
        <v>355</v>
      </c>
      <c r="DJ22" s="438" t="s">
        <v>356</v>
      </c>
      <c r="DK22" s="498"/>
      <c r="DL22" s="499" t="s">
        <v>14</v>
      </c>
      <c r="DM22" s="499" t="s">
        <v>34</v>
      </c>
      <c r="DN22" s="1036" t="s">
        <v>357</v>
      </c>
      <c r="DO22" s="1037"/>
      <c r="DP22" s="1037"/>
      <c r="DQ22" s="1037"/>
      <c r="DR22" s="1037"/>
      <c r="DS22" s="1037"/>
      <c r="DT22" s="1037"/>
      <c r="DU22" s="1038"/>
      <c r="DV22" s="1045" t="s">
        <v>358</v>
      </c>
      <c r="DW22" s="1046"/>
      <c r="DX22" s="1046"/>
      <c r="DY22" s="1046"/>
      <c r="DZ22" s="1046"/>
      <c r="EA22" s="1046"/>
      <c r="EB22" s="1046"/>
      <c r="EC22" s="1047"/>
      <c r="ED22" s="447"/>
      <c r="EE22" s="496"/>
      <c r="EF22" s="447"/>
      <c r="EG22" s="448"/>
      <c r="EH22" s="532"/>
      <c r="EI22" s="62"/>
      <c r="EJ22" s="989" t="s">
        <v>359</v>
      </c>
      <c r="EK22" s="990"/>
      <c r="EL22" s="990"/>
      <c r="EM22" s="991"/>
      <c r="EN22" s="541"/>
      <c r="EP22" s="998" t="s">
        <v>360</v>
      </c>
      <c r="EQ22" s="999"/>
      <c r="ER22" s="1002" t="s">
        <v>562</v>
      </c>
      <c r="ES22" s="1003"/>
      <c r="FM22" s="819" t="s">
        <v>597</v>
      </c>
    </row>
    <row r="23" spans="1:176" ht="12.75" customHeight="1" thickBot="1">
      <c r="B23" s="788"/>
      <c r="C23" s="789"/>
      <c r="D23" s="790"/>
      <c r="E23" s="324" t="s">
        <v>77</v>
      </c>
      <c r="F23" s="409"/>
      <c r="G23" s="409"/>
      <c r="H23" s="840" t="s">
        <v>630</v>
      </c>
      <c r="I23" s="409"/>
      <c r="J23" s="1006" t="s">
        <v>598</v>
      </c>
      <c r="K23" s="1007"/>
      <c r="L23" s="1007"/>
      <c r="M23" s="1007"/>
      <c r="N23" s="1007"/>
      <c r="O23" s="1008"/>
      <c r="P23" s="1060"/>
      <c r="Q23" s="1061"/>
      <c r="R23" s="1061"/>
      <c r="S23" s="1061"/>
      <c r="T23" s="1061"/>
      <c r="U23" s="1062"/>
      <c r="V23" s="409"/>
      <c r="W23" s="841" t="s">
        <v>361</v>
      </c>
      <c r="X23" s="842">
        <v>100</v>
      </c>
      <c r="Y23" s="842"/>
      <c r="Z23" s="842"/>
      <c r="AA23" s="842">
        <v>2500</v>
      </c>
      <c r="AB23" s="842"/>
      <c r="AC23" s="842"/>
      <c r="AD23" s="842"/>
      <c r="AE23" s="842"/>
      <c r="AF23" s="842"/>
      <c r="AG23" s="842"/>
      <c r="AH23" s="842"/>
      <c r="AI23" s="842"/>
      <c r="AJ23" s="842"/>
      <c r="AK23" s="842"/>
      <c r="AL23" s="842"/>
      <c r="AM23" s="842"/>
      <c r="AN23" s="842"/>
      <c r="AO23" s="842"/>
      <c r="AP23" s="842"/>
      <c r="AQ23" s="842"/>
      <c r="AR23" s="842"/>
      <c r="AS23" s="842"/>
      <c r="AT23" s="842"/>
      <c r="AU23" s="842"/>
      <c r="AV23" s="842"/>
      <c r="AW23" s="842"/>
      <c r="AX23" s="842"/>
      <c r="AY23" s="842"/>
      <c r="AZ23" s="842"/>
      <c r="BA23" s="842"/>
      <c r="BB23" s="843" t="s">
        <v>361</v>
      </c>
      <c r="BC23" s="1009"/>
      <c r="BD23" s="1010"/>
      <c r="BE23" s="1010"/>
      <c r="BF23" s="1010"/>
      <c r="BG23" s="1010"/>
      <c r="BH23" s="1010"/>
      <c r="BI23" s="1011"/>
      <c r="BJ23" s="452"/>
      <c r="BK23" s="453"/>
      <c r="BL23" s="453"/>
      <c r="BM23" s="454"/>
      <c r="BN23" s="453"/>
      <c r="BO23" s="453"/>
      <c r="BP23" s="455"/>
      <c r="BQ23" s="456"/>
      <c r="BR23" s="457"/>
      <c r="BS23" s="457"/>
      <c r="BT23" s="844" t="s">
        <v>584</v>
      </c>
      <c r="BU23" s="845" t="s">
        <v>655</v>
      </c>
      <c r="BV23" s="846" t="s">
        <v>582</v>
      </c>
      <c r="BW23" s="847" t="s">
        <v>655</v>
      </c>
      <c r="BX23" s="848" t="s">
        <v>351</v>
      </c>
      <c r="BY23" s="849" t="s">
        <v>585</v>
      </c>
      <c r="BZ23" s="850" t="s">
        <v>432</v>
      </c>
      <c r="CA23" s="851" t="s">
        <v>362</v>
      </c>
      <c r="CB23" s="512">
        <v>21113.279783800012</v>
      </c>
      <c r="CC23" s="1073"/>
      <c r="CD23" s="1073"/>
      <c r="CE23" s="1073"/>
      <c r="CF23" s="1073"/>
      <c r="CG23" s="1074"/>
      <c r="CH23" s="457"/>
      <c r="CI23" s="986" t="s">
        <v>363</v>
      </c>
      <c r="CJ23" s="987"/>
      <c r="CK23" s="1012">
        <v>16.526892140886932</v>
      </c>
      <c r="CL23" s="494"/>
      <c r="CM23" s="494"/>
      <c r="CN23" s="494"/>
      <c r="CO23" s="457"/>
      <c r="CP23" s="457"/>
      <c r="CQ23" s="457"/>
      <c r="CR23" s="500"/>
      <c r="CS23" s="431"/>
      <c r="CT23" s="431"/>
      <c r="CU23" s="431"/>
      <c r="CV23" s="458"/>
      <c r="CW23" s="458"/>
      <c r="CX23" s="501"/>
      <c r="CY23" s="431"/>
      <c r="CZ23" s="431"/>
      <c r="DA23" s="431"/>
      <c r="DB23" s="431"/>
      <c r="DC23" s="456"/>
      <c r="DD23" s="500"/>
      <c r="DE23" s="431"/>
      <c r="DF23" s="411"/>
      <c r="DG23" s="411"/>
      <c r="DH23" s="411"/>
      <c r="DI23" s="411"/>
      <c r="DJ23" s="411"/>
      <c r="DK23" s="406"/>
      <c r="DL23" s="471"/>
      <c r="DM23" s="471"/>
      <c r="DN23" s="1039"/>
      <c r="DO23" s="1040"/>
      <c r="DP23" s="1040"/>
      <c r="DQ23" s="1040"/>
      <c r="DR23" s="1040"/>
      <c r="DS23" s="1040"/>
      <c r="DT23" s="1040"/>
      <c r="DU23" s="1041"/>
      <c r="DV23" s="1048"/>
      <c r="DW23" s="1049"/>
      <c r="DX23" s="1049"/>
      <c r="DY23" s="1049"/>
      <c r="DZ23" s="1049"/>
      <c r="EA23" s="1049"/>
      <c r="EB23" s="1049"/>
      <c r="EC23" s="1050"/>
      <c r="ED23" s="456"/>
      <c r="EE23" s="500"/>
      <c r="EF23" s="456"/>
      <c r="EG23" s="457"/>
      <c r="EH23" s="533"/>
      <c r="EI23" s="542"/>
      <c r="EJ23" s="992"/>
      <c r="EK23" s="993"/>
      <c r="EL23" s="993"/>
      <c r="EM23" s="994"/>
      <c r="EN23" s="543"/>
      <c r="EP23" s="1000"/>
      <c r="EQ23" s="1001"/>
      <c r="ER23" s="1004"/>
      <c r="ES23" s="1005"/>
      <c r="FM23" s="819" t="s">
        <v>599</v>
      </c>
    </row>
    <row r="24" spans="1:176" ht="12.75" customHeight="1" thickBot="1">
      <c r="A24" s="328" t="s">
        <v>364</v>
      </c>
      <c r="B24" s="788"/>
      <c r="C24" s="789"/>
      <c r="D24" s="790"/>
      <c r="E24" s="791"/>
      <c r="F24" s="409"/>
      <c r="G24" s="409"/>
      <c r="H24" s="852" t="s">
        <v>632</v>
      </c>
      <c r="I24" s="411" t="s">
        <v>365</v>
      </c>
      <c r="J24" s="1013" t="s">
        <v>633</v>
      </c>
      <c r="K24" s="1014"/>
      <c r="L24" s="1014"/>
      <c r="M24" s="1014"/>
      <c r="N24" s="1014"/>
      <c r="O24" s="1015"/>
      <c r="P24" s="1060"/>
      <c r="Q24" s="1061"/>
      <c r="R24" s="1061"/>
      <c r="S24" s="1061"/>
      <c r="T24" s="1061"/>
      <c r="U24" s="1062"/>
      <c r="V24" s="409"/>
      <c r="W24" s="435" t="s">
        <v>366</v>
      </c>
      <c r="X24" s="853"/>
      <c r="Y24" s="853"/>
      <c r="Z24" s="853"/>
      <c r="AA24" s="853"/>
      <c r="AB24" s="853"/>
      <c r="AC24" s="853"/>
      <c r="AD24" s="853"/>
      <c r="AE24" s="853"/>
      <c r="AF24" s="853"/>
      <c r="AG24" s="853"/>
      <c r="AH24" s="853"/>
      <c r="AI24" s="853"/>
      <c r="AJ24" s="853"/>
      <c r="AK24" s="853"/>
      <c r="AL24" s="853"/>
      <c r="AM24" s="853"/>
      <c r="AN24" s="853"/>
      <c r="AO24" s="853"/>
      <c r="AP24" s="853"/>
      <c r="AQ24" s="853"/>
      <c r="AR24" s="853"/>
      <c r="AS24" s="853"/>
      <c r="AT24" s="853"/>
      <c r="AU24" s="853"/>
      <c r="AV24" s="853"/>
      <c r="AW24" s="853"/>
      <c r="AX24" s="853"/>
      <c r="AY24" s="853"/>
      <c r="AZ24" s="853"/>
      <c r="BA24" s="853"/>
      <c r="BB24" s="435" t="s">
        <v>366</v>
      </c>
      <c r="BC24" s="459" t="s">
        <v>42</v>
      </c>
      <c r="BD24" s="451" t="s">
        <v>43</v>
      </c>
      <c r="BE24" s="451" t="s">
        <v>44</v>
      </c>
      <c r="BF24" s="451" t="s">
        <v>45</v>
      </c>
      <c r="BG24" s="451" t="s">
        <v>47</v>
      </c>
      <c r="BH24" s="451" t="s">
        <v>121</v>
      </c>
      <c r="BI24" s="460" t="s">
        <v>46</v>
      </c>
      <c r="BJ24" s="461" t="s">
        <v>42</v>
      </c>
      <c r="BK24" s="454" t="s">
        <v>43</v>
      </c>
      <c r="BL24" s="454" t="s">
        <v>44</v>
      </c>
      <c r="BM24" s="454" t="s">
        <v>45</v>
      </c>
      <c r="BN24" s="454" t="s">
        <v>47</v>
      </c>
      <c r="BO24" s="454" t="s">
        <v>121</v>
      </c>
      <c r="BP24" s="462" t="s">
        <v>46</v>
      </c>
      <c r="BQ24" s="456"/>
      <c r="BR24" s="457"/>
      <c r="BS24" s="457"/>
      <c r="BT24" s="854" t="s">
        <v>43</v>
      </c>
      <c r="BU24" s="845" t="s">
        <v>675</v>
      </c>
      <c r="BV24" s="846" t="s">
        <v>582</v>
      </c>
      <c r="BW24" s="847" t="s">
        <v>675</v>
      </c>
      <c r="BX24" s="855"/>
      <c r="BY24" s="856"/>
      <c r="BZ24" s="857"/>
      <c r="CA24" s="851" t="s">
        <v>367</v>
      </c>
      <c r="CB24" s="74">
        <v>37.056964971332562</v>
      </c>
      <c r="CC24" s="1073"/>
      <c r="CD24" s="1073"/>
      <c r="CE24" s="1073"/>
      <c r="CF24" s="1073"/>
      <c r="CG24" s="1074"/>
      <c r="CH24" s="329">
        <v>0.6336444765887701</v>
      </c>
      <c r="CI24" s="986"/>
      <c r="CJ24" s="987"/>
      <c r="CK24" s="1012"/>
      <c r="CL24" s="494"/>
      <c r="CM24" s="494"/>
      <c r="CN24" s="494"/>
      <c r="CO24" s="457"/>
      <c r="CP24" s="457"/>
      <c r="CQ24" s="457"/>
      <c r="CR24" s="500"/>
      <c r="CS24" s="431"/>
      <c r="CT24" s="431"/>
      <c r="CU24" s="431"/>
      <c r="CV24" s="458"/>
      <c r="CW24" s="458"/>
      <c r="CX24" s="501"/>
      <c r="CY24" s="431"/>
      <c r="CZ24" s="431"/>
      <c r="DA24" s="431"/>
      <c r="DB24" s="431"/>
      <c r="DC24" s="1019" t="s">
        <v>368</v>
      </c>
      <c r="DD24" s="1020"/>
      <c r="DE24" s="411"/>
      <c r="DF24" s="411" t="s">
        <v>32</v>
      </c>
      <c r="DG24" s="411" t="s">
        <v>25</v>
      </c>
      <c r="DH24" s="411"/>
      <c r="DI24" s="411" t="s">
        <v>32</v>
      </c>
      <c r="DJ24" s="411" t="s">
        <v>25</v>
      </c>
      <c r="DK24" s="406"/>
      <c r="DL24" s="471" t="s">
        <v>19</v>
      </c>
      <c r="DM24" s="471" t="s">
        <v>40</v>
      </c>
      <c r="DN24" s="1039"/>
      <c r="DO24" s="1040"/>
      <c r="DP24" s="1040"/>
      <c r="DQ24" s="1040"/>
      <c r="DR24" s="1040"/>
      <c r="DS24" s="1040"/>
      <c r="DT24" s="1040"/>
      <c r="DU24" s="1041"/>
      <c r="DV24" s="1048"/>
      <c r="DW24" s="1049"/>
      <c r="DX24" s="1049"/>
      <c r="DY24" s="1049"/>
      <c r="DZ24" s="1049"/>
      <c r="EA24" s="1049"/>
      <c r="EB24" s="1049"/>
      <c r="EC24" s="1050"/>
      <c r="ED24" s="456"/>
      <c r="EE24" s="500"/>
      <c r="EF24" s="456"/>
      <c r="EG24" s="457"/>
      <c r="EH24" s="533"/>
      <c r="EI24" s="542"/>
      <c r="EJ24" s="992"/>
      <c r="EK24" s="993"/>
      <c r="EL24" s="993"/>
      <c r="EM24" s="994"/>
      <c r="EN24" s="543"/>
      <c r="EP24" s="1021" t="s">
        <v>369</v>
      </c>
      <c r="EQ24" s="1021" t="s">
        <v>370</v>
      </c>
      <c r="ER24" s="1024" t="s">
        <v>563</v>
      </c>
      <c r="ES24" s="1024" t="s">
        <v>564</v>
      </c>
      <c r="FM24" s="819" t="s">
        <v>565</v>
      </c>
    </row>
    <row r="25" spans="1:176" ht="12.75" customHeight="1" thickBot="1">
      <c r="A25" s="327">
        <v>1</v>
      </c>
      <c r="B25" s="788"/>
      <c r="C25" s="789"/>
      <c r="D25" s="790"/>
      <c r="E25" s="979" t="s">
        <v>665</v>
      </c>
      <c r="F25" s="409"/>
      <c r="G25" s="409"/>
      <c r="H25" s="852" t="s">
        <v>634</v>
      </c>
      <c r="I25" s="411" t="s">
        <v>371</v>
      </c>
      <c r="J25" s="1016"/>
      <c r="K25" s="1017"/>
      <c r="L25" s="1017"/>
      <c r="M25" s="1017"/>
      <c r="N25" s="1017"/>
      <c r="O25" s="1018"/>
      <c r="P25" s="1060"/>
      <c r="Q25" s="1061"/>
      <c r="R25" s="1061"/>
      <c r="S25" s="1061"/>
      <c r="T25" s="1061"/>
      <c r="U25" s="1062"/>
      <c r="V25" s="409"/>
      <c r="W25" s="436" t="s">
        <v>372</v>
      </c>
      <c r="X25" s="858"/>
      <c r="Y25" s="320">
        <v>3</v>
      </c>
      <c r="Z25" s="320">
        <v>3</v>
      </c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0"/>
      <c r="AM25" s="320"/>
      <c r="AN25" s="320"/>
      <c r="AO25" s="320"/>
      <c r="AP25" s="320"/>
      <c r="AQ25" s="320"/>
      <c r="AR25" s="320"/>
      <c r="AS25" s="320"/>
      <c r="AT25" s="320"/>
      <c r="AU25" s="320"/>
      <c r="AV25" s="320"/>
      <c r="AW25" s="320"/>
      <c r="AX25" s="320"/>
      <c r="AY25" s="320"/>
      <c r="AZ25" s="320"/>
      <c r="BA25" s="321"/>
      <c r="BB25" s="436" t="s">
        <v>372</v>
      </c>
      <c r="BC25" s="463">
        <v>4.5999999999999996</v>
      </c>
      <c r="BD25" s="463">
        <v>0</v>
      </c>
      <c r="BE25" s="463">
        <v>30</v>
      </c>
      <c r="BF25" s="463">
        <v>38.70702</v>
      </c>
      <c r="BG25" s="463">
        <v>0</v>
      </c>
      <c r="BH25" s="463">
        <v>0</v>
      </c>
      <c r="BI25" s="464">
        <v>0</v>
      </c>
      <c r="BJ25" s="465">
        <v>0</v>
      </c>
      <c r="BK25" s="465">
        <v>20.135999999999999</v>
      </c>
      <c r="BL25" s="465">
        <v>0</v>
      </c>
      <c r="BM25" s="465">
        <v>0</v>
      </c>
      <c r="BN25" s="465">
        <v>0</v>
      </c>
      <c r="BO25" s="465">
        <v>0</v>
      </c>
      <c r="BP25" s="466">
        <v>0</v>
      </c>
      <c r="BQ25" s="456"/>
      <c r="BR25" s="457"/>
      <c r="BS25" s="457"/>
      <c r="BT25" s="844" t="s">
        <v>45</v>
      </c>
      <c r="BU25" s="845" t="s">
        <v>676</v>
      </c>
      <c r="BV25" s="846" t="s">
        <v>582</v>
      </c>
      <c r="BW25" s="847" t="s">
        <v>676</v>
      </c>
      <c r="BX25" s="859" t="s">
        <v>677</v>
      </c>
      <c r="BY25" s="860" t="s">
        <v>678</v>
      </c>
      <c r="BZ25" s="861" t="s">
        <v>679</v>
      </c>
      <c r="CA25" s="982" t="s">
        <v>374</v>
      </c>
      <c r="CB25" s="984" t="s">
        <v>65</v>
      </c>
      <c r="CC25" s="1073"/>
      <c r="CD25" s="1073"/>
      <c r="CE25" s="1073"/>
      <c r="CF25" s="1073"/>
      <c r="CG25" s="1074"/>
      <c r="CH25" s="411" t="s">
        <v>375</v>
      </c>
      <c r="CI25" s="986" t="s">
        <v>376</v>
      </c>
      <c r="CJ25" s="987"/>
      <c r="CK25" s="988">
        <v>31147.67333333334</v>
      </c>
      <c r="CL25" s="495"/>
      <c r="CM25" s="495"/>
      <c r="CN25" s="495"/>
      <c r="CO25" s="457"/>
      <c r="CP25" s="457"/>
      <c r="CQ25" s="457"/>
      <c r="CR25" s="500"/>
      <c r="CS25" s="431"/>
      <c r="CT25" s="431"/>
      <c r="CU25" s="431"/>
      <c r="CV25" s="458"/>
      <c r="CW25" s="458"/>
      <c r="CX25" s="501"/>
      <c r="CY25" s="431"/>
      <c r="CZ25" s="431"/>
      <c r="DA25" s="431"/>
      <c r="DB25" s="431"/>
      <c r="DC25" s="974"/>
      <c r="DD25" s="1020"/>
      <c r="DE25" s="411"/>
      <c r="DF25" s="411" t="s">
        <v>377</v>
      </c>
      <c r="DG25" s="411" t="s">
        <v>378</v>
      </c>
      <c r="DH25" s="411"/>
      <c r="DI25" s="411" t="s">
        <v>377</v>
      </c>
      <c r="DJ25" s="411" t="s">
        <v>378</v>
      </c>
      <c r="DK25" s="406"/>
      <c r="DL25" s="471" t="s">
        <v>379</v>
      </c>
      <c r="DM25" s="471" t="s">
        <v>31</v>
      </c>
      <c r="DN25" s="1042"/>
      <c r="DO25" s="1043"/>
      <c r="DP25" s="1043"/>
      <c r="DQ25" s="1043"/>
      <c r="DR25" s="1043"/>
      <c r="DS25" s="1043"/>
      <c r="DT25" s="1043"/>
      <c r="DU25" s="1044"/>
      <c r="DV25" s="1051"/>
      <c r="DW25" s="1052"/>
      <c r="DX25" s="1052"/>
      <c r="DY25" s="1052"/>
      <c r="DZ25" s="1052"/>
      <c r="EA25" s="1052"/>
      <c r="EB25" s="1052"/>
      <c r="EC25" s="1053"/>
      <c r="ED25" s="456"/>
      <c r="EE25" s="500"/>
      <c r="EF25" s="456" t="s">
        <v>380</v>
      </c>
      <c r="EG25" s="457"/>
      <c r="EH25" s="534" t="s">
        <v>155</v>
      </c>
      <c r="EI25" s="542" t="s">
        <v>381</v>
      </c>
      <c r="EJ25" s="992"/>
      <c r="EK25" s="993"/>
      <c r="EL25" s="993"/>
      <c r="EM25" s="994"/>
      <c r="EN25" s="543" t="s">
        <v>31</v>
      </c>
      <c r="EO25" s="4" t="s">
        <v>382</v>
      </c>
      <c r="EP25" s="1022"/>
      <c r="EQ25" s="1022"/>
      <c r="ER25" s="1025"/>
      <c r="ES25" s="1025"/>
      <c r="FM25" s="819" t="s">
        <v>600</v>
      </c>
    </row>
    <row r="26" spans="1:176" s="3" customFormat="1" ht="13.5" customHeight="1" thickBot="1">
      <c r="A26" s="326" t="s">
        <v>378</v>
      </c>
      <c r="B26" s="792"/>
      <c r="C26" s="793"/>
      <c r="D26" s="794"/>
      <c r="E26" s="980"/>
      <c r="F26" s="410"/>
      <c r="G26" s="410"/>
      <c r="H26" s="852"/>
      <c r="I26" s="411" t="s">
        <v>383</v>
      </c>
      <c r="J26" s="1030" t="s">
        <v>346</v>
      </c>
      <c r="K26" s="1031"/>
      <c r="L26" s="1031"/>
      <c r="M26" s="1031"/>
      <c r="N26" s="1031"/>
      <c r="O26" s="1032"/>
      <c r="P26" s="1063"/>
      <c r="Q26" s="1064"/>
      <c r="R26" s="1064"/>
      <c r="S26" s="1064"/>
      <c r="T26" s="1064"/>
      <c r="U26" s="1065"/>
      <c r="V26" s="410"/>
      <c r="W26" s="437" t="s">
        <v>384</v>
      </c>
      <c r="X26" s="862"/>
      <c r="Y26" s="862">
        <v>15</v>
      </c>
      <c r="Z26" s="862">
        <v>5</v>
      </c>
      <c r="AA26" s="862"/>
      <c r="AB26" s="862"/>
      <c r="AC26" s="862"/>
      <c r="AD26" s="862"/>
      <c r="AE26" s="862"/>
      <c r="AF26" s="862"/>
      <c r="AG26" s="862"/>
      <c r="AH26" s="862"/>
      <c r="AI26" s="862"/>
      <c r="AJ26" s="862"/>
      <c r="AK26" s="862"/>
      <c r="AL26" s="862"/>
      <c r="AM26" s="862"/>
      <c r="AN26" s="862"/>
      <c r="AO26" s="862"/>
      <c r="AP26" s="862"/>
      <c r="AQ26" s="862"/>
      <c r="AR26" s="862"/>
      <c r="AS26" s="862"/>
      <c r="AT26" s="862"/>
      <c r="AU26" s="862"/>
      <c r="AV26" s="862"/>
      <c r="AW26" s="862"/>
      <c r="AX26" s="862"/>
      <c r="AY26" s="862"/>
      <c r="AZ26" s="862"/>
      <c r="BA26" s="862"/>
      <c r="BB26" s="437" t="s">
        <v>384</v>
      </c>
      <c r="BC26" s="463">
        <v>1</v>
      </c>
      <c r="BD26" s="463">
        <v>1</v>
      </c>
      <c r="BE26" s="463">
        <v>1</v>
      </c>
      <c r="BF26" s="463">
        <v>1</v>
      </c>
      <c r="BG26" s="463">
        <v>1</v>
      </c>
      <c r="BH26" s="463">
        <v>1</v>
      </c>
      <c r="BI26" s="464">
        <v>1</v>
      </c>
      <c r="BJ26" s="467">
        <v>1</v>
      </c>
      <c r="BK26" s="467">
        <v>1</v>
      </c>
      <c r="BL26" s="467">
        <v>1</v>
      </c>
      <c r="BM26" s="467">
        <v>1</v>
      </c>
      <c r="BN26" s="467">
        <v>1</v>
      </c>
      <c r="BO26" s="467">
        <v>1</v>
      </c>
      <c r="BP26" s="468">
        <v>1</v>
      </c>
      <c r="BQ26" s="469" t="s">
        <v>385</v>
      </c>
      <c r="BR26" s="470"/>
      <c r="BS26" s="407"/>
      <c r="BT26" s="854" t="s">
        <v>46</v>
      </c>
      <c r="BU26" s="845" t="s">
        <v>631</v>
      </c>
      <c r="BV26" s="846" t="s">
        <v>582</v>
      </c>
      <c r="BW26" s="847" t="s">
        <v>631</v>
      </c>
      <c r="BX26" s="1033" t="s">
        <v>586</v>
      </c>
      <c r="BY26" s="1034"/>
      <c r="BZ26" s="1035"/>
      <c r="CA26" s="983"/>
      <c r="CB26" s="985"/>
      <c r="CC26" s="1075"/>
      <c r="CD26" s="1075"/>
      <c r="CE26" s="1075"/>
      <c r="CF26" s="1075"/>
      <c r="CG26" s="1076"/>
      <c r="CH26" s="329">
        <v>3.0561455566704896</v>
      </c>
      <c r="CI26" s="986"/>
      <c r="CJ26" s="987"/>
      <c r="CK26" s="988"/>
      <c r="CL26" s="495"/>
      <c r="CM26" s="495"/>
      <c r="CN26" s="495"/>
      <c r="CO26" s="407"/>
      <c r="CP26" s="407"/>
      <c r="CQ26" s="407"/>
      <c r="CR26" s="405"/>
      <c r="CS26" s="411"/>
      <c r="CT26" s="411"/>
      <c r="CU26" s="411"/>
      <c r="CV26" s="471"/>
      <c r="CW26" s="471"/>
      <c r="CX26" s="502"/>
      <c r="CY26" s="411"/>
      <c r="CZ26" s="411"/>
      <c r="DA26" s="411"/>
      <c r="DB26" s="411"/>
      <c r="DC26" s="974"/>
      <c r="DD26" s="1020"/>
      <c r="DE26" s="411" t="s">
        <v>14</v>
      </c>
      <c r="DF26" s="411" t="s">
        <v>386</v>
      </c>
      <c r="DG26" s="411" t="s">
        <v>386</v>
      </c>
      <c r="DH26" s="411" t="s">
        <v>31</v>
      </c>
      <c r="DI26" s="411" t="s">
        <v>386</v>
      </c>
      <c r="DJ26" s="411" t="s">
        <v>386</v>
      </c>
      <c r="DK26" s="406" t="s">
        <v>31</v>
      </c>
      <c r="DL26" s="471" t="s">
        <v>387</v>
      </c>
      <c r="DM26" s="471" t="s">
        <v>388</v>
      </c>
      <c r="DN26" s="411" t="s">
        <v>15</v>
      </c>
      <c r="DO26" s="431"/>
      <c r="DP26" s="431"/>
      <c r="DQ26" s="431"/>
      <c r="DR26" s="431"/>
      <c r="DS26" s="411" t="s">
        <v>10</v>
      </c>
      <c r="DT26" s="411" t="s">
        <v>39</v>
      </c>
      <c r="DU26" s="405" t="s">
        <v>39</v>
      </c>
      <c r="DV26" s="411" t="s">
        <v>15</v>
      </c>
      <c r="DW26" s="431"/>
      <c r="DX26" s="431"/>
      <c r="DY26" s="431"/>
      <c r="DZ26" s="431"/>
      <c r="EA26" s="411" t="s">
        <v>10</v>
      </c>
      <c r="EB26" s="411" t="s">
        <v>39</v>
      </c>
      <c r="EC26" s="406" t="s">
        <v>39</v>
      </c>
      <c r="ED26" s="469" t="s">
        <v>389</v>
      </c>
      <c r="EE26" s="405"/>
      <c r="EF26" s="469" t="s">
        <v>390</v>
      </c>
      <c r="EG26" s="407"/>
      <c r="EH26" s="534" t="s">
        <v>47</v>
      </c>
      <c r="EI26" s="544" t="s">
        <v>391</v>
      </c>
      <c r="EJ26" s="992"/>
      <c r="EK26" s="993"/>
      <c r="EL26" s="993"/>
      <c r="EM26" s="994"/>
      <c r="EN26" s="545" t="s">
        <v>78</v>
      </c>
      <c r="EO26" s="11" t="s">
        <v>392</v>
      </c>
      <c r="EP26" s="1022"/>
      <c r="EQ26" s="1022"/>
      <c r="ER26" s="1025"/>
      <c r="ES26" s="1025"/>
      <c r="FM26" s="819" t="s">
        <v>601</v>
      </c>
    </row>
    <row r="27" spans="1:176" s="3" customFormat="1" ht="12.75" customHeight="1" thickBot="1">
      <c r="A27" s="964">
        <v>1</v>
      </c>
      <c r="B27" s="966"/>
      <c r="C27" s="967"/>
      <c r="D27" s="968"/>
      <c r="E27" s="981"/>
      <c r="F27" s="411"/>
      <c r="G27" s="411"/>
      <c r="H27" s="852"/>
      <c r="I27" s="411" t="s">
        <v>395</v>
      </c>
      <c r="J27" s="863" t="s">
        <v>396</v>
      </c>
      <c r="K27" s="863" t="s">
        <v>397</v>
      </c>
      <c r="L27" s="863" t="s">
        <v>398</v>
      </c>
      <c r="M27" s="864" t="s">
        <v>399</v>
      </c>
      <c r="N27" s="863" t="s">
        <v>400</v>
      </c>
      <c r="O27" s="863" t="s">
        <v>401</v>
      </c>
      <c r="P27" s="411" t="s">
        <v>402</v>
      </c>
      <c r="Q27" s="411" t="s">
        <v>397</v>
      </c>
      <c r="R27" s="411" t="s">
        <v>398</v>
      </c>
      <c r="S27" s="411" t="s">
        <v>399</v>
      </c>
      <c r="T27" s="411" t="s">
        <v>400</v>
      </c>
      <c r="U27" s="411" t="s">
        <v>401</v>
      </c>
      <c r="V27" s="411" t="s">
        <v>403</v>
      </c>
      <c r="W27" s="865" t="s">
        <v>404</v>
      </c>
      <c r="X27" s="866"/>
      <c r="Y27" s="866"/>
      <c r="Z27" s="866"/>
      <c r="AA27" s="866"/>
      <c r="AB27" s="866"/>
      <c r="AC27" s="866"/>
      <c r="AD27" s="866"/>
      <c r="AE27" s="866"/>
      <c r="AF27" s="866"/>
      <c r="AG27" s="866"/>
      <c r="AH27" s="866"/>
      <c r="AI27" s="866"/>
      <c r="AJ27" s="866"/>
      <c r="AK27" s="866"/>
      <c r="AL27" s="866"/>
      <c r="AM27" s="866"/>
      <c r="AN27" s="866"/>
      <c r="AO27" s="866"/>
      <c r="AP27" s="866"/>
      <c r="AQ27" s="866"/>
      <c r="AR27" s="866"/>
      <c r="AS27" s="866"/>
      <c r="AT27" s="866"/>
      <c r="AU27" s="866"/>
      <c r="AV27" s="866"/>
      <c r="AW27" s="866"/>
      <c r="AX27" s="866"/>
      <c r="AY27" s="866"/>
      <c r="AZ27" s="866"/>
      <c r="BA27" s="866"/>
      <c r="BB27" s="438" t="s">
        <v>405</v>
      </c>
      <c r="BC27" s="472">
        <v>4.5999999999999996</v>
      </c>
      <c r="BD27" s="472">
        <v>0</v>
      </c>
      <c r="BE27" s="472">
        <v>30</v>
      </c>
      <c r="BF27" s="472">
        <v>38.70702</v>
      </c>
      <c r="BG27" s="472">
        <v>0</v>
      </c>
      <c r="BH27" s="472">
        <v>0</v>
      </c>
      <c r="BI27" s="473">
        <v>0</v>
      </c>
      <c r="BJ27" s="474">
        <v>0</v>
      </c>
      <c r="BK27" s="474">
        <v>20.135999999999999</v>
      </c>
      <c r="BL27" s="474">
        <v>0</v>
      </c>
      <c r="BM27" s="474">
        <v>0</v>
      </c>
      <c r="BN27" s="474">
        <v>0</v>
      </c>
      <c r="BO27" s="474">
        <v>0</v>
      </c>
      <c r="BP27" s="475">
        <v>0</v>
      </c>
      <c r="BQ27" s="406"/>
      <c r="BR27" s="407" t="s">
        <v>13</v>
      </c>
      <c r="BS27" s="407"/>
      <c r="BT27" s="844" t="s">
        <v>47</v>
      </c>
      <c r="BU27" s="845" t="s">
        <v>631</v>
      </c>
      <c r="BV27" s="846" t="s">
        <v>582</v>
      </c>
      <c r="BW27" s="847" t="s">
        <v>631</v>
      </c>
      <c r="BX27" s="411" t="s">
        <v>406</v>
      </c>
      <c r="BY27" s="407" t="s">
        <v>407</v>
      </c>
      <c r="BZ27" s="411" t="s">
        <v>398</v>
      </c>
      <c r="CA27" s="411" t="s">
        <v>383</v>
      </c>
      <c r="CB27" s="411"/>
      <c r="CC27" s="411" t="s">
        <v>406</v>
      </c>
      <c r="CD27" s="411" t="s">
        <v>407</v>
      </c>
      <c r="CE27" s="411" t="s">
        <v>398</v>
      </c>
      <c r="CF27" s="411" t="s">
        <v>383</v>
      </c>
      <c r="CG27" s="411"/>
      <c r="CH27" s="407" t="s">
        <v>408</v>
      </c>
      <c r="CI27" s="373">
        <v>-1547.9999999999964</v>
      </c>
      <c r="CJ27" s="374">
        <v>-1962</v>
      </c>
      <c r="CK27" s="375">
        <v>3510.0000000000036</v>
      </c>
      <c r="CL27" s="503"/>
      <c r="CM27" s="503"/>
      <c r="CN27" s="503"/>
      <c r="CO27" s="407"/>
      <c r="CP27" s="407"/>
      <c r="CQ27" s="407"/>
      <c r="CR27" s="405" t="s">
        <v>13</v>
      </c>
      <c r="CS27" s="411" t="s">
        <v>409</v>
      </c>
      <c r="CT27" s="411" t="s">
        <v>410</v>
      </c>
      <c r="CU27" s="411" t="s">
        <v>411</v>
      </c>
      <c r="CV27" s="471" t="s">
        <v>412</v>
      </c>
      <c r="CW27" s="471" t="s">
        <v>14</v>
      </c>
      <c r="CX27" s="502" t="s">
        <v>35</v>
      </c>
      <c r="CY27" s="411" t="s">
        <v>413</v>
      </c>
      <c r="CZ27" s="411" t="s">
        <v>414</v>
      </c>
      <c r="DA27" s="411" t="s">
        <v>17</v>
      </c>
      <c r="DB27" s="411"/>
      <c r="DC27" s="406" t="s">
        <v>356</v>
      </c>
      <c r="DD27" s="405" t="s">
        <v>14</v>
      </c>
      <c r="DE27" s="411" t="s">
        <v>415</v>
      </c>
      <c r="DF27" s="411" t="s">
        <v>416</v>
      </c>
      <c r="DG27" s="411" t="s">
        <v>416</v>
      </c>
      <c r="DH27" s="411" t="s">
        <v>18</v>
      </c>
      <c r="DI27" s="411" t="s">
        <v>416</v>
      </c>
      <c r="DJ27" s="411" t="s">
        <v>416</v>
      </c>
      <c r="DK27" s="406" t="s">
        <v>18</v>
      </c>
      <c r="DL27" s="471" t="s">
        <v>34</v>
      </c>
      <c r="DM27" s="471" t="s">
        <v>417</v>
      </c>
      <c r="DN27" s="411" t="s">
        <v>386</v>
      </c>
      <c r="DO27" s="411"/>
      <c r="DP27" s="411"/>
      <c r="DQ27" s="411" t="s">
        <v>418</v>
      </c>
      <c r="DR27" s="411" t="s">
        <v>419</v>
      </c>
      <c r="DS27" s="411" t="s">
        <v>18</v>
      </c>
      <c r="DT27" s="411" t="s">
        <v>15</v>
      </c>
      <c r="DU27" s="405" t="s">
        <v>420</v>
      </c>
      <c r="DV27" s="411" t="s">
        <v>386</v>
      </c>
      <c r="DW27" s="411"/>
      <c r="DX27" s="411"/>
      <c r="DY27" s="411" t="s">
        <v>418</v>
      </c>
      <c r="DZ27" s="411" t="s">
        <v>419</v>
      </c>
      <c r="EA27" s="411" t="s">
        <v>18</v>
      </c>
      <c r="EB27" s="411" t="s">
        <v>15</v>
      </c>
      <c r="EC27" s="406" t="s">
        <v>420</v>
      </c>
      <c r="ED27" s="406"/>
      <c r="EE27" s="405"/>
      <c r="EF27" s="406" t="s">
        <v>421</v>
      </c>
      <c r="EG27" s="407"/>
      <c r="EH27" s="534"/>
      <c r="EI27" s="544"/>
      <c r="EJ27" s="992"/>
      <c r="EK27" s="993"/>
      <c r="EL27" s="993"/>
      <c r="EM27" s="994"/>
      <c r="EN27" s="545" t="s">
        <v>635</v>
      </c>
      <c r="EO27" s="11" t="s">
        <v>422</v>
      </c>
      <c r="EP27" s="1022"/>
      <c r="EQ27" s="1022"/>
      <c r="ER27" s="1025"/>
      <c r="ES27" s="1025"/>
      <c r="FM27" s="819" t="s">
        <v>602</v>
      </c>
    </row>
    <row r="28" spans="1:176" s="3" customFormat="1" ht="13.5" customHeight="1" thickBot="1">
      <c r="A28" s="965"/>
      <c r="B28" s="969" t="s">
        <v>636</v>
      </c>
      <c r="C28" s="970"/>
      <c r="D28" s="971"/>
      <c r="E28" s="795"/>
      <c r="F28" s="410"/>
      <c r="G28" s="410"/>
      <c r="H28" s="852"/>
      <c r="I28" s="411" t="s">
        <v>423</v>
      </c>
      <c r="J28" s="863" t="s">
        <v>424</v>
      </c>
      <c r="K28" s="863"/>
      <c r="L28" s="863" t="s">
        <v>425</v>
      </c>
      <c r="M28" s="864" t="s">
        <v>426</v>
      </c>
      <c r="N28" s="863" t="s">
        <v>427</v>
      </c>
      <c r="O28" s="863" t="s">
        <v>426</v>
      </c>
      <c r="P28" s="411" t="s">
        <v>424</v>
      </c>
      <c r="Q28" s="411"/>
      <c r="R28" s="411" t="s">
        <v>425</v>
      </c>
      <c r="S28" s="411" t="s">
        <v>426</v>
      </c>
      <c r="T28" s="411" t="s">
        <v>427</v>
      </c>
      <c r="U28" s="411" t="s">
        <v>426</v>
      </c>
      <c r="V28" s="411" t="s">
        <v>426</v>
      </c>
      <c r="W28" s="972" t="s">
        <v>428</v>
      </c>
      <c r="X28" s="413"/>
      <c r="Y28" s="413"/>
      <c r="Z28" s="413"/>
      <c r="AA28" s="413"/>
      <c r="AB28" s="413"/>
      <c r="AC28" s="413"/>
      <c r="AD28" s="413"/>
      <c r="AE28" s="413"/>
      <c r="AF28" s="413"/>
      <c r="AG28" s="413"/>
      <c r="AH28" s="413"/>
      <c r="AI28" s="413"/>
      <c r="AJ28" s="413"/>
      <c r="AK28" s="413"/>
      <c r="AL28" s="413"/>
      <c r="AM28" s="413"/>
      <c r="AN28" s="413"/>
      <c r="AO28" s="413"/>
      <c r="AP28" s="413"/>
      <c r="AQ28" s="413"/>
      <c r="AR28" s="413"/>
      <c r="AS28" s="413"/>
      <c r="AT28" s="413"/>
      <c r="AU28" s="413"/>
      <c r="AV28" s="413"/>
      <c r="AW28" s="413"/>
      <c r="AX28" s="413"/>
      <c r="AY28" s="413"/>
      <c r="AZ28" s="413"/>
      <c r="BA28" s="414"/>
      <c r="BB28" s="411" t="s">
        <v>429</v>
      </c>
      <c r="BC28" s="476"/>
      <c r="BD28" s="441"/>
      <c r="BE28" s="477" t="s">
        <v>52</v>
      </c>
      <c r="BF28" s="478">
        <v>58.645615999999997</v>
      </c>
      <c r="BG28" s="441" t="s">
        <v>430</v>
      </c>
      <c r="BH28" s="441"/>
      <c r="BI28" s="479">
        <v>4.6000000000000014</v>
      </c>
      <c r="BJ28" s="474"/>
      <c r="BK28" s="445"/>
      <c r="BL28" s="480" t="s">
        <v>160</v>
      </c>
      <c r="BM28" s="445">
        <v>16.108799999999999</v>
      </c>
      <c r="BN28" s="445" t="s">
        <v>431</v>
      </c>
      <c r="BO28" s="445"/>
      <c r="BP28" s="481">
        <v>20.135999999999999</v>
      </c>
      <c r="BQ28" s="406" t="s">
        <v>13</v>
      </c>
      <c r="BR28" s="407" t="s">
        <v>375</v>
      </c>
      <c r="BS28" s="407"/>
      <c r="BT28" s="867" t="s">
        <v>121</v>
      </c>
      <c r="BU28" s="868" t="s">
        <v>631</v>
      </c>
      <c r="BV28" s="869" t="s">
        <v>582</v>
      </c>
      <c r="BW28" s="870" t="s">
        <v>631</v>
      </c>
      <c r="BX28" s="411" t="s">
        <v>433</v>
      </c>
      <c r="BY28" s="407" t="s">
        <v>32</v>
      </c>
      <c r="BZ28" s="411" t="s">
        <v>426</v>
      </c>
      <c r="CA28" s="411" t="s">
        <v>426</v>
      </c>
      <c r="CB28" s="411"/>
      <c r="CC28" s="411" t="s">
        <v>433</v>
      </c>
      <c r="CD28" s="411" t="s">
        <v>20</v>
      </c>
      <c r="CE28" s="411" t="s">
        <v>426</v>
      </c>
      <c r="CF28" s="411" t="s">
        <v>426</v>
      </c>
      <c r="CG28" s="411"/>
      <c r="CH28" s="407" t="s">
        <v>434</v>
      </c>
      <c r="CI28" s="499" t="s">
        <v>435</v>
      </c>
      <c r="CJ28" s="499" t="s">
        <v>436</v>
      </c>
      <c r="CK28" s="499" t="s">
        <v>437</v>
      </c>
      <c r="CL28" s="974" t="s">
        <v>438</v>
      </c>
      <c r="CM28" s="975"/>
      <c r="CN28" s="975"/>
      <c r="CO28" s="407"/>
      <c r="CP28" s="407" t="s">
        <v>439</v>
      </c>
      <c r="CQ28" s="407"/>
      <c r="CR28" s="405" t="s">
        <v>440</v>
      </c>
      <c r="CS28" s="411"/>
      <c r="CT28" s="411"/>
      <c r="CU28" s="411"/>
      <c r="CV28" s="471" t="s">
        <v>18</v>
      </c>
      <c r="CW28" s="471" t="s">
        <v>441</v>
      </c>
      <c r="CX28" s="502" t="s">
        <v>442</v>
      </c>
      <c r="CY28" s="411"/>
      <c r="CZ28" s="411"/>
      <c r="DA28" s="411"/>
      <c r="DB28" s="411"/>
      <c r="DC28" s="406" t="s">
        <v>443</v>
      </c>
      <c r="DD28" s="405" t="s">
        <v>444</v>
      </c>
      <c r="DE28" s="411" t="s">
        <v>445</v>
      </c>
      <c r="DF28" s="411" t="s">
        <v>446</v>
      </c>
      <c r="DG28" s="411" t="s">
        <v>446</v>
      </c>
      <c r="DH28" s="411" t="s">
        <v>14</v>
      </c>
      <c r="DI28" s="411" t="s">
        <v>446</v>
      </c>
      <c r="DJ28" s="411" t="s">
        <v>446</v>
      </c>
      <c r="DK28" s="406" t="s">
        <v>14</v>
      </c>
      <c r="DL28" s="471"/>
      <c r="DM28" s="471" t="s">
        <v>447</v>
      </c>
      <c r="DN28" s="411" t="s">
        <v>378</v>
      </c>
      <c r="DO28" s="411" t="s">
        <v>448</v>
      </c>
      <c r="DP28" s="411" t="s">
        <v>449</v>
      </c>
      <c r="DQ28" s="411" t="s">
        <v>450</v>
      </c>
      <c r="DR28" s="411" t="s">
        <v>450</v>
      </c>
      <c r="DS28" s="411" t="s">
        <v>446</v>
      </c>
      <c r="DT28" s="411" t="s">
        <v>18</v>
      </c>
      <c r="DU28" s="405" t="s">
        <v>451</v>
      </c>
      <c r="DV28" s="411" t="s">
        <v>378</v>
      </c>
      <c r="DW28" s="411" t="s">
        <v>448</v>
      </c>
      <c r="DX28" s="411" t="s">
        <v>449</v>
      </c>
      <c r="DY28" s="411" t="s">
        <v>450</v>
      </c>
      <c r="DZ28" s="411" t="s">
        <v>450</v>
      </c>
      <c r="EA28" s="411" t="s">
        <v>446</v>
      </c>
      <c r="EB28" s="411" t="s">
        <v>18</v>
      </c>
      <c r="EC28" s="406" t="s">
        <v>451</v>
      </c>
      <c r="ED28" s="406"/>
      <c r="EE28" s="405"/>
      <c r="EF28" s="406"/>
      <c r="EG28" s="407"/>
      <c r="EH28" s="534"/>
      <c r="EI28" s="544"/>
      <c r="EJ28" s="992"/>
      <c r="EK28" s="993"/>
      <c r="EL28" s="993"/>
      <c r="EM28" s="994"/>
      <c r="EN28" s="545"/>
      <c r="EO28" s="11" t="s">
        <v>452</v>
      </c>
      <c r="EP28" s="1022"/>
      <c r="EQ28" s="1022"/>
      <c r="ER28" s="1025"/>
      <c r="ES28" s="1025"/>
      <c r="FK28" s="3" t="s">
        <v>355</v>
      </c>
      <c r="FL28" s="3" t="s">
        <v>453</v>
      </c>
      <c r="FM28" s="819" t="s">
        <v>603</v>
      </c>
      <c r="FN28" s="820"/>
      <c r="FO28" s="820"/>
      <c r="FP28" s="820"/>
      <c r="FQ28" s="820"/>
    </row>
    <row r="29" spans="1:176" s="3" customFormat="1" ht="13.8" thickBot="1">
      <c r="A29" s="323" t="s">
        <v>454</v>
      </c>
      <c r="B29" s="976" t="s">
        <v>455</v>
      </c>
      <c r="C29" s="977"/>
      <c r="D29" s="978"/>
      <c r="E29" s="325" t="s">
        <v>612</v>
      </c>
      <c r="F29" s="412" t="s">
        <v>393</v>
      </c>
      <c r="G29" s="412" t="s">
        <v>394</v>
      </c>
      <c r="H29" s="871"/>
      <c r="I29" s="432" t="s">
        <v>456</v>
      </c>
      <c r="J29" s="872" t="s">
        <v>457</v>
      </c>
      <c r="K29" s="872" t="s">
        <v>458</v>
      </c>
      <c r="L29" s="872" t="s">
        <v>459</v>
      </c>
      <c r="M29" s="873" t="s">
        <v>460</v>
      </c>
      <c r="N29" s="872" t="s">
        <v>461</v>
      </c>
      <c r="O29" s="872" t="s">
        <v>462</v>
      </c>
      <c r="P29" s="432" t="s">
        <v>457</v>
      </c>
      <c r="Q29" s="432" t="s">
        <v>458</v>
      </c>
      <c r="R29" s="432" t="s">
        <v>459</v>
      </c>
      <c r="S29" s="433" t="s">
        <v>460</v>
      </c>
      <c r="T29" s="432" t="s">
        <v>461</v>
      </c>
      <c r="U29" s="432" t="s">
        <v>462</v>
      </c>
      <c r="V29" s="432" t="s">
        <v>463</v>
      </c>
      <c r="W29" s="973"/>
      <c r="X29" s="415">
        <v>100</v>
      </c>
      <c r="Y29" s="415">
        <v>15825.348000000002</v>
      </c>
      <c r="Z29" s="415">
        <v>5720.4179999999997</v>
      </c>
      <c r="AA29" s="415">
        <v>2500</v>
      </c>
      <c r="AB29" s="415">
        <v>0</v>
      </c>
      <c r="AC29" s="415">
        <v>0</v>
      </c>
      <c r="AD29" s="415">
        <v>0</v>
      </c>
      <c r="AE29" s="415">
        <v>0</v>
      </c>
      <c r="AF29" s="415">
        <v>0</v>
      </c>
      <c r="AG29" s="415">
        <v>0</v>
      </c>
      <c r="AH29" s="415">
        <v>0</v>
      </c>
      <c r="AI29" s="415">
        <v>0</v>
      </c>
      <c r="AJ29" s="415">
        <v>0</v>
      </c>
      <c r="AK29" s="415">
        <v>0</v>
      </c>
      <c r="AL29" s="415">
        <v>0</v>
      </c>
      <c r="AM29" s="415">
        <v>0</v>
      </c>
      <c r="AN29" s="415">
        <v>0</v>
      </c>
      <c r="AO29" s="415">
        <v>0</v>
      </c>
      <c r="AP29" s="415">
        <v>0</v>
      </c>
      <c r="AQ29" s="415">
        <v>0</v>
      </c>
      <c r="AR29" s="415">
        <v>0</v>
      </c>
      <c r="AS29" s="415">
        <v>0</v>
      </c>
      <c r="AT29" s="415">
        <v>0</v>
      </c>
      <c r="AU29" s="415">
        <v>0</v>
      </c>
      <c r="AV29" s="415">
        <v>0</v>
      </c>
      <c r="AW29" s="415">
        <v>0</v>
      </c>
      <c r="AX29" s="415">
        <v>0</v>
      </c>
      <c r="AY29" s="415">
        <v>0</v>
      </c>
      <c r="AZ29" s="415">
        <v>0</v>
      </c>
      <c r="BA29" s="416">
        <v>0</v>
      </c>
      <c r="BB29" s="432" t="s">
        <v>341</v>
      </c>
      <c r="BC29" s="482"/>
      <c r="BD29" s="483"/>
      <c r="BE29" s="484" t="s">
        <v>464</v>
      </c>
      <c r="BF29" s="483">
        <v>27.680000000000003</v>
      </c>
      <c r="BG29" s="483"/>
      <c r="BH29" s="483"/>
      <c r="BI29" s="485"/>
      <c r="BJ29" s="486"/>
      <c r="BK29" s="487"/>
      <c r="BL29" s="488" t="s">
        <v>464</v>
      </c>
      <c r="BM29" s="487">
        <v>16.108799999999999</v>
      </c>
      <c r="BN29" s="487"/>
      <c r="BO29" s="487"/>
      <c r="BP29" s="489"/>
      <c r="BQ29" s="490" t="s">
        <v>341</v>
      </c>
      <c r="BR29" s="491" t="s">
        <v>341</v>
      </c>
      <c r="BS29" s="491" t="s">
        <v>465</v>
      </c>
      <c r="BT29" s="865" t="s">
        <v>613</v>
      </c>
      <c r="BU29" s="874" t="s">
        <v>614</v>
      </c>
      <c r="BV29" s="865" t="s">
        <v>28</v>
      </c>
      <c r="BW29" s="865" t="s">
        <v>16</v>
      </c>
      <c r="BX29" s="432" t="s">
        <v>466</v>
      </c>
      <c r="BY29" s="432" t="s">
        <v>466</v>
      </c>
      <c r="BZ29" s="432" t="s">
        <v>467</v>
      </c>
      <c r="CA29" s="432" t="s">
        <v>468</v>
      </c>
      <c r="CB29" s="432" t="s">
        <v>460</v>
      </c>
      <c r="CC29" s="432" t="s">
        <v>469</v>
      </c>
      <c r="CD29" s="432" t="s">
        <v>469</v>
      </c>
      <c r="CE29" s="432" t="s">
        <v>470</v>
      </c>
      <c r="CF29" s="432" t="s">
        <v>468</v>
      </c>
      <c r="CG29" s="432" t="s">
        <v>460</v>
      </c>
      <c r="CH29" s="491" t="s">
        <v>471</v>
      </c>
      <c r="CI29" s="511">
        <v>32695.673333333336</v>
      </c>
      <c r="CJ29" s="511">
        <v>33109.67333333334</v>
      </c>
      <c r="CK29" s="511">
        <v>27637.673333333336</v>
      </c>
      <c r="CL29" s="504"/>
      <c r="CM29" s="504"/>
      <c r="CN29" s="504" t="s">
        <v>656</v>
      </c>
      <c r="CO29" s="405"/>
      <c r="CP29" s="411"/>
      <c r="CQ29" s="406"/>
      <c r="CR29" s="405" t="s">
        <v>472</v>
      </c>
      <c r="CS29" s="411"/>
      <c r="CT29" s="432" t="s">
        <v>466</v>
      </c>
      <c r="CU29" s="432" t="s">
        <v>473</v>
      </c>
      <c r="CV29" s="492" t="s">
        <v>13</v>
      </c>
      <c r="CW29" s="492" t="s">
        <v>474</v>
      </c>
      <c r="CX29" s="505"/>
      <c r="CY29" s="432" t="s">
        <v>20</v>
      </c>
      <c r="CZ29" s="432" t="s">
        <v>20</v>
      </c>
      <c r="DA29" s="411" t="s">
        <v>475</v>
      </c>
      <c r="DB29" s="411" t="s">
        <v>476</v>
      </c>
      <c r="DC29" s="490" t="s">
        <v>477</v>
      </c>
      <c r="DD29" s="506" t="s">
        <v>478</v>
      </c>
      <c r="DE29" s="432" t="s">
        <v>479</v>
      </c>
      <c r="DF29" s="432" t="s">
        <v>466</v>
      </c>
      <c r="DG29" s="432" t="s">
        <v>466</v>
      </c>
      <c r="DH29" s="432" t="s">
        <v>466</v>
      </c>
      <c r="DI29" s="432" t="s">
        <v>473</v>
      </c>
      <c r="DJ29" s="432" t="s">
        <v>473</v>
      </c>
      <c r="DK29" s="490" t="s">
        <v>473</v>
      </c>
      <c r="DL29" s="471"/>
      <c r="DM29" s="471" t="s">
        <v>480</v>
      </c>
      <c r="DN29" s="432"/>
      <c r="DO29" s="432" t="s">
        <v>36</v>
      </c>
      <c r="DP29" s="432" t="s">
        <v>36</v>
      </c>
      <c r="DQ29" s="432" t="s">
        <v>481</v>
      </c>
      <c r="DR29" s="432" t="s">
        <v>482</v>
      </c>
      <c r="DS29" s="432" t="s">
        <v>37</v>
      </c>
      <c r="DT29" s="432" t="s">
        <v>24</v>
      </c>
      <c r="DU29" s="506" t="s">
        <v>483</v>
      </c>
      <c r="DV29" s="432"/>
      <c r="DW29" s="432" t="s">
        <v>36</v>
      </c>
      <c r="DX29" s="432" t="s">
        <v>36</v>
      </c>
      <c r="DY29" s="432" t="s">
        <v>481</v>
      </c>
      <c r="DZ29" s="432" t="s">
        <v>482</v>
      </c>
      <c r="EA29" s="432" t="s">
        <v>37</v>
      </c>
      <c r="EB29" s="432" t="s">
        <v>24</v>
      </c>
      <c r="EC29" s="490" t="s">
        <v>483</v>
      </c>
      <c r="ED29" s="490" t="s">
        <v>484</v>
      </c>
      <c r="EE29" s="506" t="s">
        <v>469</v>
      </c>
      <c r="EF29" s="490"/>
      <c r="EG29" s="491"/>
      <c r="EH29" s="534" t="s">
        <v>20</v>
      </c>
      <c r="EI29" s="547"/>
      <c r="EJ29" s="995"/>
      <c r="EK29" s="996"/>
      <c r="EL29" s="996"/>
      <c r="EM29" s="997"/>
      <c r="EN29" s="551"/>
      <c r="EO29" s="11"/>
      <c r="EP29" s="1023"/>
      <c r="EQ29" s="1023"/>
      <c r="ER29" s="1026"/>
      <c r="ES29" s="1026"/>
      <c r="ET29" s="3" t="s">
        <v>485</v>
      </c>
      <c r="EU29" s="3" t="s">
        <v>486</v>
      </c>
      <c r="EV29" s="3" t="s">
        <v>487</v>
      </c>
      <c r="EW29" s="3" t="s">
        <v>488</v>
      </c>
      <c r="EX29" s="3" t="s">
        <v>356</v>
      </c>
      <c r="EY29" s="3" t="s">
        <v>489</v>
      </c>
      <c r="EZ29" s="3" t="s">
        <v>490</v>
      </c>
      <c r="FA29" s="3" t="s">
        <v>491</v>
      </c>
      <c r="FB29" s="3" t="s">
        <v>492</v>
      </c>
      <c r="FC29" s="3" t="s">
        <v>76</v>
      </c>
      <c r="FD29" s="3" t="s">
        <v>493</v>
      </c>
      <c r="FE29" s="3" t="s">
        <v>494</v>
      </c>
      <c r="FF29" s="875" t="s">
        <v>495</v>
      </c>
      <c r="FG29" s="3" t="s">
        <v>496</v>
      </c>
      <c r="FH29" s="875" t="s">
        <v>497</v>
      </c>
      <c r="FI29" s="3" t="s">
        <v>498</v>
      </c>
      <c r="FJ29" s="875" t="s">
        <v>499</v>
      </c>
      <c r="FK29" s="3" t="s">
        <v>500</v>
      </c>
      <c r="FL29" s="3" t="s">
        <v>501</v>
      </c>
      <c r="FM29" s="819" t="s">
        <v>604</v>
      </c>
      <c r="FN29" s="820"/>
      <c r="FO29" s="820"/>
      <c r="FP29" s="820"/>
      <c r="FQ29" s="820"/>
    </row>
    <row r="30" spans="1:176" s="3" customFormat="1">
      <c r="B30" s="78"/>
      <c r="C30" s="78"/>
      <c r="D30" s="78"/>
      <c r="E30" s="79"/>
      <c r="F30" s="80"/>
      <c r="G30" s="331">
        <v>1</v>
      </c>
      <c r="H30" s="81"/>
      <c r="I30" s="332" t="s">
        <v>595</v>
      </c>
      <c r="J30" s="334"/>
      <c r="K30" s="93"/>
      <c r="L30" s="93"/>
      <c r="M30" s="93"/>
      <c r="N30" s="93"/>
      <c r="O30" s="94"/>
      <c r="P30" s="335"/>
      <c r="Q30" s="95"/>
      <c r="R30" s="95"/>
      <c r="S30" s="95"/>
      <c r="T30" s="95"/>
      <c r="U30" s="96"/>
      <c r="V30" s="80"/>
      <c r="W30" s="82"/>
      <c r="X30" s="83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5"/>
      <c r="BB30" s="358"/>
      <c r="BC30" s="86"/>
      <c r="BD30" s="87"/>
      <c r="BE30" s="87"/>
      <c r="BF30" s="87"/>
      <c r="BG30" s="87"/>
      <c r="BH30" s="87"/>
      <c r="BI30" s="88"/>
      <c r="BJ30" s="89"/>
      <c r="BK30" s="90"/>
      <c r="BL30" s="90"/>
      <c r="BM30" s="90"/>
      <c r="BN30" s="90"/>
      <c r="BO30" s="90"/>
      <c r="BP30" s="91"/>
      <c r="BQ30" s="402"/>
      <c r="BR30" s="403"/>
      <c r="BS30" s="404"/>
      <c r="BT30" s="92"/>
      <c r="BU30" s="349"/>
      <c r="BV30" s="333"/>
      <c r="BW30" s="356"/>
      <c r="BX30" s="876"/>
      <c r="BY30" s="557"/>
      <c r="BZ30" s="557"/>
      <c r="CA30" s="557"/>
      <c r="CB30" s="558"/>
      <c r="CC30" s="357"/>
      <c r="CD30" s="559"/>
      <c r="CE30" s="559"/>
      <c r="CF30" s="559"/>
      <c r="CG30" s="560"/>
      <c r="CH30" s="561"/>
      <c r="CI30" s="376"/>
      <c r="CJ30" s="377"/>
      <c r="CK30" s="378"/>
      <c r="CL30" s="367"/>
      <c r="CM30" s="368"/>
      <c r="CN30" s="369"/>
      <c r="CO30" s="70"/>
      <c r="CP30" s="97"/>
      <c r="CQ30" s="69"/>
      <c r="CR30" s="98"/>
      <c r="CS30" s="99"/>
      <c r="CT30" s="100"/>
      <c r="CU30" s="101"/>
      <c r="CV30" s="877"/>
      <c r="CW30" s="339"/>
      <c r="CX30" s="345"/>
      <c r="CY30" s="102"/>
      <c r="CZ30" s="103"/>
      <c r="DA30" s="104"/>
      <c r="DB30" s="104"/>
      <c r="DC30" s="878"/>
      <c r="DD30" s="105"/>
      <c r="DE30" s="105"/>
      <c r="DF30" s="102"/>
      <c r="DG30" s="102"/>
      <c r="DH30" s="102"/>
      <c r="DI30" s="101"/>
      <c r="DJ30" s="101"/>
      <c r="DK30" s="103"/>
      <c r="DL30" s="106"/>
      <c r="DM30" s="107"/>
      <c r="DN30" s="108"/>
      <c r="DO30" s="108"/>
      <c r="DP30" s="102"/>
      <c r="DQ30" s="102"/>
      <c r="DR30" s="102"/>
      <c r="DS30" s="102"/>
      <c r="DT30" s="109"/>
      <c r="DU30" s="110"/>
      <c r="DV30" s="111"/>
      <c r="DW30" s="111"/>
      <c r="DX30" s="101"/>
      <c r="DY30" s="101"/>
      <c r="DZ30" s="101"/>
      <c r="EA30" s="101"/>
      <c r="EB30" s="112"/>
      <c r="EC30" s="113"/>
      <c r="ED30" s="114"/>
      <c r="EE30" s="115"/>
      <c r="EF30" s="116"/>
      <c r="EG30" s="392"/>
      <c r="EH30" s="535"/>
      <c r="EI30" s="550"/>
      <c r="EJ30" s="14"/>
      <c r="EK30" s="14"/>
      <c r="EL30" s="14"/>
      <c r="EM30" s="540"/>
      <c r="EN30" s="546"/>
      <c r="EO30" s="11"/>
      <c r="FF30" s="875"/>
      <c r="FH30" s="875"/>
      <c r="FJ30" s="875"/>
    </row>
    <row r="31" spans="1:176" s="3" customFormat="1">
      <c r="A31" s="879"/>
      <c r="B31" s="255">
        <v>1</v>
      </c>
      <c r="C31" s="97">
        <v>3</v>
      </c>
      <c r="D31" s="97">
        <v>5</v>
      </c>
      <c r="E31" s="880" t="s">
        <v>680</v>
      </c>
      <c r="F31" s="256">
        <v>3</v>
      </c>
      <c r="G31" s="257">
        <v>4</v>
      </c>
      <c r="H31" s="881" t="s">
        <v>51</v>
      </c>
      <c r="I31" s="258" t="s">
        <v>595</v>
      </c>
      <c r="J31" s="259">
        <v>4</v>
      </c>
      <c r="K31" s="260">
        <v>120</v>
      </c>
      <c r="L31" s="260">
        <v>2.3382587570199904</v>
      </c>
      <c r="M31" s="261">
        <v>1</v>
      </c>
      <c r="N31" s="261">
        <v>1</v>
      </c>
      <c r="O31" s="262">
        <v>1</v>
      </c>
      <c r="P31" s="263">
        <v>1</v>
      </c>
      <c r="Q31" s="264">
        <v>0</v>
      </c>
      <c r="R31" s="264">
        <v>2</v>
      </c>
      <c r="S31" s="265">
        <v>1</v>
      </c>
      <c r="T31" s="265">
        <v>1</v>
      </c>
      <c r="U31" s="266">
        <v>1</v>
      </c>
      <c r="V31" s="267">
        <v>1</v>
      </c>
      <c r="W31" s="258" t="s">
        <v>311</v>
      </c>
      <c r="X31" s="268">
        <v>0</v>
      </c>
      <c r="Y31" s="269">
        <v>0</v>
      </c>
      <c r="Z31" s="269">
        <v>0</v>
      </c>
      <c r="AA31" s="269">
        <v>0</v>
      </c>
      <c r="AB31" s="269">
        <v>0</v>
      </c>
      <c r="AC31" s="269">
        <v>0</v>
      </c>
      <c r="AD31" s="269">
        <v>0</v>
      </c>
      <c r="AE31" s="269">
        <v>0</v>
      </c>
      <c r="AF31" s="269">
        <v>0</v>
      </c>
      <c r="AG31" s="269">
        <v>0</v>
      </c>
      <c r="AH31" s="269">
        <v>0</v>
      </c>
      <c r="AI31" s="269">
        <v>0</v>
      </c>
      <c r="AJ31" s="269">
        <v>0</v>
      </c>
      <c r="AK31" s="269">
        <v>0</v>
      </c>
      <c r="AL31" s="269">
        <v>0</v>
      </c>
      <c r="AM31" s="269">
        <v>0</v>
      </c>
      <c r="AN31" s="269">
        <v>0</v>
      </c>
      <c r="AO31" s="269">
        <v>0</v>
      </c>
      <c r="AP31" s="269">
        <v>0</v>
      </c>
      <c r="AQ31" s="269">
        <v>0</v>
      </c>
      <c r="AR31" s="269">
        <v>0</v>
      </c>
      <c r="AS31" s="269">
        <v>0</v>
      </c>
      <c r="AT31" s="269">
        <v>0</v>
      </c>
      <c r="AU31" s="269">
        <v>0</v>
      </c>
      <c r="AV31" s="269">
        <v>0</v>
      </c>
      <c r="AW31" s="269">
        <v>0</v>
      </c>
      <c r="AX31" s="269">
        <v>0</v>
      </c>
      <c r="AY31" s="269">
        <v>0</v>
      </c>
      <c r="AZ31" s="269">
        <v>0</v>
      </c>
      <c r="BA31" s="270">
        <v>0</v>
      </c>
      <c r="BB31" s="271">
        <v>12.404</v>
      </c>
      <c r="BC31" s="272">
        <v>1.6</v>
      </c>
      <c r="BD31" s="273">
        <v>0</v>
      </c>
      <c r="BE31" s="273">
        <v>0</v>
      </c>
      <c r="BF31" s="273">
        <v>0</v>
      </c>
      <c r="BG31" s="273">
        <v>0</v>
      </c>
      <c r="BH31" s="273">
        <v>0</v>
      </c>
      <c r="BI31" s="274">
        <v>0</v>
      </c>
      <c r="BJ31" s="275">
        <v>0</v>
      </c>
      <c r="BK31" s="276">
        <v>10.804</v>
      </c>
      <c r="BL31" s="276">
        <v>0</v>
      </c>
      <c r="BM31" s="276">
        <v>0</v>
      </c>
      <c r="BN31" s="276">
        <v>0</v>
      </c>
      <c r="BO31" s="276">
        <v>0</v>
      </c>
      <c r="BP31" s="277">
        <v>0</v>
      </c>
      <c r="BQ31" s="399">
        <v>0</v>
      </c>
      <c r="BR31" s="400">
        <v>0</v>
      </c>
      <c r="BS31" s="401">
        <v>0</v>
      </c>
      <c r="BT31" s="278">
        <v>12.404</v>
      </c>
      <c r="BU31" s="352">
        <v>36.211829275413088</v>
      </c>
      <c r="BV31" s="279">
        <v>220</v>
      </c>
      <c r="BW31" s="353">
        <v>60</v>
      </c>
      <c r="BX31" s="934">
        <v>2</v>
      </c>
      <c r="BY31" s="552">
        <v>95</v>
      </c>
      <c r="BZ31" s="552">
        <v>2.3082764552807684</v>
      </c>
      <c r="CA31" s="941">
        <v>6</v>
      </c>
      <c r="CB31" s="553" t="s">
        <v>681</v>
      </c>
      <c r="CC31" s="952"/>
      <c r="CD31" s="554"/>
      <c r="CE31" s="554"/>
      <c r="CF31" s="513"/>
      <c r="CG31" s="555"/>
      <c r="CH31" s="556">
        <v>2.3082764552807684</v>
      </c>
      <c r="CI31" s="379">
        <v>3544</v>
      </c>
      <c r="CJ31" s="380">
        <v>3930</v>
      </c>
      <c r="CK31" s="381">
        <v>4930</v>
      </c>
      <c r="CL31" s="370">
        <v>4134.666666666667</v>
      </c>
      <c r="CM31" s="371">
        <v>4134.666666666667</v>
      </c>
      <c r="CN31" s="372">
        <v>4134.666666666667</v>
      </c>
      <c r="CO31" s="70" t="s">
        <v>32</v>
      </c>
      <c r="CP31" s="97" t="s">
        <v>26</v>
      </c>
      <c r="CQ31" s="69" t="s">
        <v>27</v>
      </c>
      <c r="CR31" s="280" t="s">
        <v>510</v>
      </c>
      <c r="CS31" s="118">
        <v>1</v>
      </c>
      <c r="CT31" s="119">
        <v>0.8</v>
      </c>
      <c r="CU31" s="120"/>
      <c r="CV31" s="882">
        <v>0</v>
      </c>
      <c r="CW31" s="340">
        <v>36.211829275413088</v>
      </c>
      <c r="CX31" s="345">
        <v>40</v>
      </c>
      <c r="CY31" s="121">
        <v>45.264786594266354</v>
      </c>
      <c r="CZ31" s="122"/>
      <c r="DA31" s="104">
        <v>0.9</v>
      </c>
      <c r="DB31" s="123">
        <v>0.43588989435406728</v>
      </c>
      <c r="DC31" s="949">
        <v>8</v>
      </c>
      <c r="DD31" s="124">
        <v>50</v>
      </c>
      <c r="DE31" s="124">
        <v>40</v>
      </c>
      <c r="DF31" s="125">
        <v>0.68428565688347021</v>
      </c>
      <c r="DG31" s="126">
        <v>2</v>
      </c>
      <c r="DH31" s="121">
        <v>95</v>
      </c>
      <c r="DI31" s="127"/>
      <c r="DJ31" s="120"/>
      <c r="DK31" s="122"/>
      <c r="DL31" s="106">
        <v>36.211829275413088</v>
      </c>
      <c r="DM31" s="107">
        <v>60</v>
      </c>
      <c r="DN31" s="948">
        <v>2</v>
      </c>
      <c r="DO31" s="128">
        <v>0.66</v>
      </c>
      <c r="DP31" s="129">
        <v>0.187</v>
      </c>
      <c r="DQ31" s="121">
        <v>10.5</v>
      </c>
      <c r="DR31" s="121">
        <v>86.590350000000001</v>
      </c>
      <c r="DS31" s="121">
        <v>5.0782082016176906</v>
      </c>
      <c r="DT31" s="121">
        <v>13.3</v>
      </c>
      <c r="DU31" s="130">
        <v>359.66140000000001</v>
      </c>
      <c r="DV31" s="131"/>
      <c r="DW31" s="131"/>
      <c r="DX31" s="127"/>
      <c r="DY31" s="132"/>
      <c r="DZ31" s="132"/>
      <c r="EA31" s="132"/>
      <c r="EB31" s="132"/>
      <c r="EC31" s="133"/>
      <c r="ED31" s="134" t="s">
        <v>53</v>
      </c>
      <c r="EE31" s="135"/>
      <c r="EF31" s="136">
        <v>95</v>
      </c>
      <c r="EG31" s="393">
        <v>60</v>
      </c>
      <c r="EH31" s="536"/>
      <c r="EI31" s="544">
        <v>30</v>
      </c>
      <c r="EJ31" s="14"/>
      <c r="EK31" s="14"/>
      <c r="EL31" s="14"/>
      <c r="EM31" s="540"/>
      <c r="EN31" s="546"/>
      <c r="EO31" s="11">
        <v>359.66140000000001</v>
      </c>
      <c r="EP31" s="883" t="s">
        <v>79</v>
      </c>
      <c r="EQ31" s="883" t="s">
        <v>80</v>
      </c>
      <c r="ER31" s="883" t="s">
        <v>648</v>
      </c>
      <c r="ES31" s="883" t="s">
        <v>682</v>
      </c>
      <c r="ET31" s="3">
        <v>14</v>
      </c>
      <c r="EU31" s="3" t="s">
        <v>683</v>
      </c>
      <c r="EV31" s="3">
        <v>120</v>
      </c>
      <c r="EW31" s="3">
        <v>4</v>
      </c>
      <c r="EX31" s="930">
        <v>2</v>
      </c>
      <c r="EY31" s="3">
        <v>1</v>
      </c>
      <c r="EZ31" s="930">
        <v>6</v>
      </c>
      <c r="FA31" s="3">
        <v>1</v>
      </c>
      <c r="FB31" s="3" t="s">
        <v>681</v>
      </c>
      <c r="FC31" s="3">
        <v>120</v>
      </c>
      <c r="FD31" s="254"/>
      <c r="FE31" s="254"/>
      <c r="FF31" s="884">
        <v>1</v>
      </c>
      <c r="FG31" s="254"/>
      <c r="FH31" s="884"/>
      <c r="FI31" s="254"/>
      <c r="FJ31" s="884"/>
      <c r="FK31" s="3">
        <v>5</v>
      </c>
      <c r="FL31" s="3" t="s">
        <v>80</v>
      </c>
      <c r="FM31" s="3" t="s">
        <v>684</v>
      </c>
      <c r="FN31" s="3" t="s">
        <v>546</v>
      </c>
      <c r="FO31" s="3">
        <v>1.75</v>
      </c>
    </row>
    <row r="32" spans="1:176" s="3" customFormat="1">
      <c r="A32" s="885"/>
      <c r="B32" s="255">
        <v>2</v>
      </c>
      <c r="C32" s="97">
        <v>4</v>
      </c>
      <c r="D32" s="97">
        <v>6</v>
      </c>
      <c r="E32" s="880" t="s">
        <v>685</v>
      </c>
      <c r="F32" s="256">
        <v>3</v>
      </c>
      <c r="G32" s="257">
        <v>4</v>
      </c>
      <c r="H32" s="881" t="s">
        <v>51</v>
      </c>
      <c r="I32" s="258" t="s">
        <v>595</v>
      </c>
      <c r="J32" s="259">
        <v>4</v>
      </c>
      <c r="K32" s="260">
        <v>40</v>
      </c>
      <c r="L32" s="260">
        <v>2.251086731312395</v>
      </c>
      <c r="M32" s="261">
        <v>1</v>
      </c>
      <c r="N32" s="261">
        <v>1</v>
      </c>
      <c r="O32" s="262">
        <v>1</v>
      </c>
      <c r="P32" s="263">
        <v>1</v>
      </c>
      <c r="Q32" s="264">
        <v>0</v>
      </c>
      <c r="R32" s="264">
        <v>2</v>
      </c>
      <c r="S32" s="265">
        <v>1</v>
      </c>
      <c r="T32" s="265">
        <v>1</v>
      </c>
      <c r="U32" s="266">
        <v>1</v>
      </c>
      <c r="V32" s="267">
        <v>1</v>
      </c>
      <c r="W32" s="258" t="s">
        <v>311</v>
      </c>
      <c r="X32" s="268">
        <v>0</v>
      </c>
      <c r="Y32" s="269">
        <v>0</v>
      </c>
      <c r="Z32" s="269">
        <v>0</v>
      </c>
      <c r="AA32" s="269">
        <v>0</v>
      </c>
      <c r="AB32" s="269">
        <v>0</v>
      </c>
      <c r="AC32" s="269">
        <v>0</v>
      </c>
      <c r="AD32" s="269">
        <v>0</v>
      </c>
      <c r="AE32" s="269">
        <v>0</v>
      </c>
      <c r="AF32" s="269">
        <v>0</v>
      </c>
      <c r="AG32" s="269">
        <v>0</v>
      </c>
      <c r="AH32" s="269">
        <v>0</v>
      </c>
      <c r="AI32" s="269">
        <v>0</v>
      </c>
      <c r="AJ32" s="269">
        <v>0</v>
      </c>
      <c r="AK32" s="269">
        <v>0</v>
      </c>
      <c r="AL32" s="269">
        <v>0</v>
      </c>
      <c r="AM32" s="269">
        <v>0</v>
      </c>
      <c r="AN32" s="269">
        <v>0</v>
      </c>
      <c r="AO32" s="269">
        <v>0</v>
      </c>
      <c r="AP32" s="269">
        <v>0</v>
      </c>
      <c r="AQ32" s="269">
        <v>0</v>
      </c>
      <c r="AR32" s="269">
        <v>0</v>
      </c>
      <c r="AS32" s="269">
        <v>0</v>
      </c>
      <c r="AT32" s="269">
        <v>0</v>
      </c>
      <c r="AU32" s="269">
        <v>0</v>
      </c>
      <c r="AV32" s="269">
        <v>0</v>
      </c>
      <c r="AW32" s="269">
        <v>0</v>
      </c>
      <c r="AX32" s="269">
        <v>0</v>
      </c>
      <c r="AY32" s="269">
        <v>0</v>
      </c>
      <c r="AZ32" s="269">
        <v>0</v>
      </c>
      <c r="BA32" s="270">
        <v>0</v>
      </c>
      <c r="BB32" s="271">
        <v>9.831999999999999</v>
      </c>
      <c r="BC32" s="272">
        <v>3</v>
      </c>
      <c r="BD32" s="273">
        <v>0</v>
      </c>
      <c r="BE32" s="273">
        <v>0</v>
      </c>
      <c r="BF32" s="273">
        <v>0</v>
      </c>
      <c r="BG32" s="273">
        <v>0</v>
      </c>
      <c r="BH32" s="273">
        <v>0</v>
      </c>
      <c r="BI32" s="274">
        <v>0</v>
      </c>
      <c r="BJ32" s="275">
        <v>0</v>
      </c>
      <c r="BK32" s="276">
        <v>6.831999999999999</v>
      </c>
      <c r="BL32" s="276">
        <v>0</v>
      </c>
      <c r="BM32" s="276">
        <v>0</v>
      </c>
      <c r="BN32" s="276">
        <v>0</v>
      </c>
      <c r="BO32" s="276">
        <v>0</v>
      </c>
      <c r="BP32" s="277">
        <v>0</v>
      </c>
      <c r="BQ32" s="399">
        <v>0</v>
      </c>
      <c r="BR32" s="400">
        <v>0</v>
      </c>
      <c r="BS32" s="401">
        <v>0</v>
      </c>
      <c r="BT32" s="278">
        <v>9.831999999999999</v>
      </c>
      <c r="BU32" s="352">
        <v>28.703217142523496</v>
      </c>
      <c r="BV32" s="279">
        <v>220</v>
      </c>
      <c r="BW32" s="353">
        <v>60</v>
      </c>
      <c r="BX32" s="934">
        <v>4</v>
      </c>
      <c r="BY32" s="552">
        <v>70</v>
      </c>
      <c r="BZ32" s="552">
        <v>0.90634094397924403</v>
      </c>
      <c r="CA32" s="941">
        <v>6</v>
      </c>
      <c r="CB32" s="553" t="s">
        <v>681</v>
      </c>
      <c r="CC32" s="330"/>
      <c r="CD32" s="554"/>
      <c r="CE32" s="554"/>
      <c r="CF32" s="513"/>
      <c r="CG32" s="555"/>
      <c r="CH32" s="556">
        <v>0.90634094397924403</v>
      </c>
      <c r="CI32" s="379">
        <v>3416</v>
      </c>
      <c r="CJ32" s="380">
        <v>3444</v>
      </c>
      <c r="CK32" s="381">
        <v>2972</v>
      </c>
      <c r="CL32" s="370">
        <v>3277.333333333333</v>
      </c>
      <c r="CM32" s="371">
        <v>3277.333333333333</v>
      </c>
      <c r="CN32" s="372">
        <v>3277.333333333333</v>
      </c>
      <c r="CO32" s="70" t="s">
        <v>32</v>
      </c>
      <c r="CP32" s="97" t="s">
        <v>26</v>
      </c>
      <c r="CQ32" s="69" t="s">
        <v>27</v>
      </c>
      <c r="CR32" s="280" t="s">
        <v>510</v>
      </c>
      <c r="CS32" s="118">
        <v>1</v>
      </c>
      <c r="CT32" s="119">
        <v>0.8</v>
      </c>
      <c r="CU32" s="120"/>
      <c r="CV32" s="882">
        <v>0</v>
      </c>
      <c r="CW32" s="340">
        <v>28.703217142523496</v>
      </c>
      <c r="CX32" s="345">
        <v>30</v>
      </c>
      <c r="CY32" s="121">
        <v>35.879021428154367</v>
      </c>
      <c r="CZ32" s="122"/>
      <c r="DA32" s="104">
        <v>0.9</v>
      </c>
      <c r="DB32" s="123">
        <v>0.43588989435406728</v>
      </c>
      <c r="DC32" s="949">
        <v>8</v>
      </c>
      <c r="DD32" s="124">
        <v>50</v>
      </c>
      <c r="DE32" s="124">
        <v>40</v>
      </c>
      <c r="DF32" s="125">
        <v>2.4933212473547584</v>
      </c>
      <c r="DG32" s="126">
        <v>8</v>
      </c>
      <c r="DH32" s="121">
        <v>40</v>
      </c>
      <c r="DI32" s="127"/>
      <c r="DJ32" s="120"/>
      <c r="DK32" s="122"/>
      <c r="DL32" s="106">
        <v>28.703217142523496</v>
      </c>
      <c r="DM32" s="107">
        <v>60</v>
      </c>
      <c r="DN32" s="948">
        <v>4</v>
      </c>
      <c r="DO32" s="128">
        <v>1.02</v>
      </c>
      <c r="DP32" s="129">
        <v>0.19700000000000001</v>
      </c>
      <c r="DQ32" s="121">
        <v>9</v>
      </c>
      <c r="DR32" s="121">
        <v>63.617400000000004</v>
      </c>
      <c r="DS32" s="121">
        <v>1.9939500767543368</v>
      </c>
      <c r="DT32" s="121">
        <v>13.3</v>
      </c>
      <c r="DU32" s="130">
        <v>267.76960000000003</v>
      </c>
      <c r="DV32" s="131"/>
      <c r="DW32" s="131"/>
      <c r="DX32" s="127"/>
      <c r="DY32" s="132"/>
      <c r="DZ32" s="132"/>
      <c r="EA32" s="132"/>
      <c r="EB32" s="132"/>
      <c r="EC32" s="133"/>
      <c r="ED32" s="134" t="s">
        <v>53</v>
      </c>
      <c r="EE32" s="135"/>
      <c r="EF32" s="136">
        <v>60</v>
      </c>
      <c r="EG32" s="393">
        <v>60</v>
      </c>
      <c r="EH32" s="536"/>
      <c r="EI32" s="544">
        <v>30</v>
      </c>
      <c r="EJ32" s="14"/>
      <c r="EK32" s="14"/>
      <c r="EL32" s="14"/>
      <c r="EM32" s="540"/>
      <c r="EN32" s="546"/>
      <c r="EO32" s="11">
        <v>267.76960000000003</v>
      </c>
      <c r="EP32" s="883" t="s">
        <v>79</v>
      </c>
      <c r="EQ32" s="883" t="s">
        <v>80</v>
      </c>
      <c r="ER32" s="883" t="s">
        <v>686</v>
      </c>
      <c r="ES32" s="883" t="s">
        <v>682</v>
      </c>
      <c r="ET32" s="3">
        <v>14</v>
      </c>
      <c r="EU32" s="3" t="s">
        <v>687</v>
      </c>
      <c r="EV32" s="3">
        <v>40</v>
      </c>
      <c r="EW32" s="3">
        <v>0</v>
      </c>
      <c r="EX32" s="930">
        <v>0</v>
      </c>
      <c r="EY32" s="3">
        <v>0</v>
      </c>
      <c r="EZ32" s="3">
        <v>6</v>
      </c>
      <c r="FA32" s="3">
        <v>1</v>
      </c>
      <c r="FB32" s="3" t="s">
        <v>681</v>
      </c>
      <c r="FC32" s="3">
        <v>40</v>
      </c>
      <c r="FD32" s="254"/>
      <c r="FE32" s="254"/>
      <c r="FF32" s="884">
        <v>1</v>
      </c>
      <c r="FG32" s="254"/>
      <c r="FH32" s="884"/>
      <c r="FI32" s="254"/>
      <c r="FJ32" s="884"/>
      <c r="FK32" s="3">
        <v>6</v>
      </c>
      <c r="FL32" s="3" t="s">
        <v>80</v>
      </c>
      <c r="FM32" s="3" t="s">
        <v>684</v>
      </c>
      <c r="FN32" s="3" t="s">
        <v>546</v>
      </c>
      <c r="FO32" s="3">
        <v>1.75</v>
      </c>
      <c r="FT32" s="11"/>
    </row>
    <row r="33" spans="1:171" s="3" customFormat="1">
      <c r="A33" s="885"/>
      <c r="B33" s="255">
        <v>7</v>
      </c>
      <c r="C33" s="97">
        <v>9</v>
      </c>
      <c r="D33" s="97">
        <v>11</v>
      </c>
      <c r="E33" s="880" t="s">
        <v>645</v>
      </c>
      <c r="F33" s="256">
        <v>3</v>
      </c>
      <c r="G33" s="257">
        <v>4</v>
      </c>
      <c r="H33" s="881" t="s">
        <v>51</v>
      </c>
      <c r="I33" s="258" t="s">
        <v>646</v>
      </c>
      <c r="J33" s="259">
        <v>4</v>
      </c>
      <c r="K33" s="260">
        <v>120</v>
      </c>
      <c r="L33" s="260">
        <v>2.0072443731880605</v>
      </c>
      <c r="M33" s="261">
        <v>1</v>
      </c>
      <c r="N33" s="261">
        <v>1</v>
      </c>
      <c r="O33" s="262">
        <v>1</v>
      </c>
      <c r="P33" s="263">
        <v>1</v>
      </c>
      <c r="Q33" s="264">
        <v>0</v>
      </c>
      <c r="R33" s="264">
        <v>2</v>
      </c>
      <c r="S33" s="265">
        <v>1</v>
      </c>
      <c r="T33" s="265">
        <v>1</v>
      </c>
      <c r="U33" s="266">
        <v>1</v>
      </c>
      <c r="V33" s="267">
        <v>1</v>
      </c>
      <c r="W33" s="258" t="s">
        <v>311</v>
      </c>
      <c r="X33" s="268">
        <v>0</v>
      </c>
      <c r="Y33" s="269">
        <v>0</v>
      </c>
      <c r="Z33" s="269">
        <v>0</v>
      </c>
      <c r="AA33" s="269">
        <v>0</v>
      </c>
      <c r="AB33" s="269">
        <v>0</v>
      </c>
      <c r="AC33" s="269">
        <v>0</v>
      </c>
      <c r="AD33" s="269">
        <v>0</v>
      </c>
      <c r="AE33" s="269">
        <v>0</v>
      </c>
      <c r="AF33" s="269">
        <v>0</v>
      </c>
      <c r="AG33" s="269">
        <v>0</v>
      </c>
      <c r="AH33" s="269">
        <v>0</v>
      </c>
      <c r="AI33" s="269">
        <v>0</v>
      </c>
      <c r="AJ33" s="269">
        <v>0</v>
      </c>
      <c r="AK33" s="269">
        <v>0</v>
      </c>
      <c r="AL33" s="269">
        <v>0</v>
      </c>
      <c r="AM33" s="269">
        <v>0</v>
      </c>
      <c r="AN33" s="269">
        <v>0</v>
      </c>
      <c r="AO33" s="269">
        <v>0</v>
      </c>
      <c r="AP33" s="269">
        <v>0</v>
      </c>
      <c r="AQ33" s="269">
        <v>0</v>
      </c>
      <c r="AR33" s="269">
        <v>0</v>
      </c>
      <c r="AS33" s="269">
        <v>0</v>
      </c>
      <c r="AT33" s="269">
        <v>0</v>
      </c>
      <c r="AU33" s="269">
        <v>0</v>
      </c>
      <c r="AV33" s="269">
        <v>0</v>
      </c>
      <c r="AW33" s="269">
        <v>0</v>
      </c>
      <c r="AX33" s="269">
        <v>0</v>
      </c>
      <c r="AY33" s="269">
        <v>0</v>
      </c>
      <c r="AZ33" s="269">
        <v>0</v>
      </c>
      <c r="BA33" s="270">
        <v>0</v>
      </c>
      <c r="BB33" s="271">
        <v>30</v>
      </c>
      <c r="BC33" s="272">
        <v>0</v>
      </c>
      <c r="BD33" s="273">
        <v>0</v>
      </c>
      <c r="BE33" s="273">
        <v>30</v>
      </c>
      <c r="BF33" s="273">
        <v>0</v>
      </c>
      <c r="BG33" s="273">
        <v>0</v>
      </c>
      <c r="BH33" s="273">
        <v>0</v>
      </c>
      <c r="BI33" s="274">
        <v>0</v>
      </c>
      <c r="BJ33" s="275">
        <v>0</v>
      </c>
      <c r="BK33" s="276">
        <v>0</v>
      </c>
      <c r="BL33" s="276">
        <v>0</v>
      </c>
      <c r="BM33" s="276">
        <v>0</v>
      </c>
      <c r="BN33" s="276">
        <v>0</v>
      </c>
      <c r="BO33" s="276">
        <v>0</v>
      </c>
      <c r="BP33" s="277">
        <v>0</v>
      </c>
      <c r="BQ33" s="399">
        <v>0</v>
      </c>
      <c r="BR33" s="400">
        <v>0</v>
      </c>
      <c r="BS33" s="401">
        <v>0</v>
      </c>
      <c r="BT33" s="278">
        <v>30</v>
      </c>
      <c r="BU33" s="352">
        <v>87.581012436503769</v>
      </c>
      <c r="BV33" s="279">
        <v>220</v>
      </c>
      <c r="BW33" s="353">
        <v>150</v>
      </c>
      <c r="BX33" s="934" t="s">
        <v>657</v>
      </c>
      <c r="BY33" s="552">
        <v>180</v>
      </c>
      <c r="BZ33" s="552">
        <v>3.0561455566704896</v>
      </c>
      <c r="CA33" s="941">
        <v>2</v>
      </c>
      <c r="CB33" s="553" t="s">
        <v>647</v>
      </c>
      <c r="CC33" s="952"/>
      <c r="CD33" s="554"/>
      <c r="CE33" s="554"/>
      <c r="CF33" s="513"/>
      <c r="CG33" s="555"/>
      <c r="CH33" s="556">
        <v>3.0561455566704896</v>
      </c>
      <c r="CI33" s="379">
        <v>12000</v>
      </c>
      <c r="CJ33" s="380">
        <v>12000</v>
      </c>
      <c r="CK33" s="381">
        <v>6000</v>
      </c>
      <c r="CL33" s="370">
        <v>10000</v>
      </c>
      <c r="CM33" s="371">
        <v>10000</v>
      </c>
      <c r="CN33" s="372">
        <v>10000</v>
      </c>
      <c r="CO33" s="70" t="s">
        <v>32</v>
      </c>
      <c r="CP33" s="97" t="s">
        <v>26</v>
      </c>
      <c r="CQ33" s="69" t="s">
        <v>27</v>
      </c>
      <c r="CR33" s="280" t="s">
        <v>510</v>
      </c>
      <c r="CS33" s="118">
        <v>1</v>
      </c>
      <c r="CT33" s="119">
        <v>0.8</v>
      </c>
      <c r="CU33" s="120"/>
      <c r="CV33" s="882">
        <v>0</v>
      </c>
      <c r="CW33" s="340">
        <v>87.581012436503755</v>
      </c>
      <c r="CX33" s="345">
        <v>100</v>
      </c>
      <c r="CY33" s="121">
        <v>109.4762655456297</v>
      </c>
      <c r="CZ33" s="122"/>
      <c r="DA33" s="104">
        <v>0.9</v>
      </c>
      <c r="DB33" s="123">
        <v>0.43588989435406728</v>
      </c>
      <c r="DC33" s="949" t="s">
        <v>621</v>
      </c>
      <c r="DD33" s="124">
        <v>135</v>
      </c>
      <c r="DE33" s="124">
        <v>120</v>
      </c>
      <c r="DF33" s="125">
        <v>0.24287656915575526</v>
      </c>
      <c r="DG33" s="126">
        <v>350</v>
      </c>
      <c r="DH33" s="121">
        <v>250</v>
      </c>
      <c r="DI33" s="127"/>
      <c r="DJ33" s="120"/>
      <c r="DK33" s="122"/>
      <c r="DL33" s="106">
        <v>87.581012436503769</v>
      </c>
      <c r="DM33" s="107">
        <v>150</v>
      </c>
      <c r="DN33" s="948">
        <v>350</v>
      </c>
      <c r="DO33" s="128">
        <v>0.33</v>
      </c>
      <c r="DP33" s="129">
        <v>0.16700000000000001</v>
      </c>
      <c r="DQ33" s="121">
        <v>16.21</v>
      </c>
      <c r="DR33" s="121">
        <v>206.37492414000002</v>
      </c>
      <c r="DS33" s="121">
        <v>6.7235202246750774</v>
      </c>
      <c r="DT33" s="121">
        <v>33.6</v>
      </c>
      <c r="DU33" s="130">
        <v>859.0996965600001</v>
      </c>
      <c r="DV33" s="131"/>
      <c r="DW33" s="131"/>
      <c r="DX33" s="127"/>
      <c r="DY33" s="132"/>
      <c r="DZ33" s="132"/>
      <c r="EA33" s="132"/>
      <c r="EB33" s="132"/>
      <c r="EC33" s="133"/>
      <c r="ED33" s="134" t="s">
        <v>53</v>
      </c>
      <c r="EE33" s="135"/>
      <c r="EF33" s="136">
        <v>250</v>
      </c>
      <c r="EG33" s="393">
        <v>150</v>
      </c>
      <c r="EH33" s="536"/>
      <c r="EI33" s="544">
        <v>30</v>
      </c>
      <c r="EJ33" s="14"/>
      <c r="EK33" s="14"/>
      <c r="EL33" s="14"/>
      <c r="EM33" s="540"/>
      <c r="EN33" s="546"/>
      <c r="EO33" s="11">
        <v>859.0996965600001</v>
      </c>
      <c r="EP33" s="883" t="s">
        <v>79</v>
      </c>
      <c r="EQ33" s="883" t="s">
        <v>80</v>
      </c>
      <c r="ER33" s="883" t="s">
        <v>648</v>
      </c>
      <c r="ES33" s="883" t="s">
        <v>649</v>
      </c>
      <c r="ET33" s="3">
        <v>14</v>
      </c>
      <c r="EU33" s="3" t="s">
        <v>659</v>
      </c>
      <c r="EV33" s="3">
        <v>120</v>
      </c>
      <c r="EW33" s="3">
        <v>4</v>
      </c>
      <c r="EX33" s="930">
        <v>36617</v>
      </c>
      <c r="EY33" s="3">
        <v>1</v>
      </c>
      <c r="EZ33" s="3">
        <v>2</v>
      </c>
      <c r="FA33" s="3">
        <v>1</v>
      </c>
      <c r="FB33" s="3" t="s">
        <v>647</v>
      </c>
      <c r="FC33" s="3">
        <v>120</v>
      </c>
      <c r="FD33" s="254"/>
      <c r="FE33" s="254"/>
      <c r="FF33" s="884">
        <v>1</v>
      </c>
      <c r="FG33" s="254"/>
      <c r="FH33" s="884"/>
      <c r="FI33" s="254"/>
      <c r="FJ33" s="884"/>
      <c r="FK33" s="3">
        <v>11</v>
      </c>
      <c r="FL33" s="3" t="s">
        <v>80</v>
      </c>
      <c r="FM33" s="3" t="s">
        <v>684</v>
      </c>
      <c r="FN33" s="3" t="s">
        <v>546</v>
      </c>
      <c r="FO33" s="3">
        <v>1.75</v>
      </c>
    </row>
    <row r="34" spans="1:171" s="3" customFormat="1">
      <c r="A34" s="885"/>
      <c r="B34" s="255">
        <v>8</v>
      </c>
      <c r="C34" s="97">
        <v>10</v>
      </c>
      <c r="D34" s="97">
        <v>12</v>
      </c>
      <c r="E34" s="880" t="s">
        <v>671</v>
      </c>
      <c r="F34" s="256">
        <v>3</v>
      </c>
      <c r="G34" s="257">
        <v>3</v>
      </c>
      <c r="H34" s="881" t="s">
        <v>688</v>
      </c>
      <c r="I34" s="258" t="s">
        <v>646</v>
      </c>
      <c r="J34" s="259">
        <v>8</v>
      </c>
      <c r="K34" s="260">
        <v>80</v>
      </c>
      <c r="L34" s="260">
        <v>3</v>
      </c>
      <c r="M34" s="261">
        <v>1</v>
      </c>
      <c r="N34" s="261">
        <v>1</v>
      </c>
      <c r="O34" s="262">
        <v>1</v>
      </c>
      <c r="P34" s="263">
        <v>4</v>
      </c>
      <c r="Q34" s="264">
        <v>1</v>
      </c>
      <c r="R34" s="264">
        <v>1</v>
      </c>
      <c r="S34" s="265">
        <v>1</v>
      </c>
      <c r="T34" s="265">
        <v>1</v>
      </c>
      <c r="U34" s="266">
        <v>1</v>
      </c>
      <c r="V34" s="267">
        <v>1</v>
      </c>
      <c r="W34" s="258" t="s">
        <v>311</v>
      </c>
      <c r="X34" s="268"/>
      <c r="Y34" s="269">
        <v>1</v>
      </c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70"/>
      <c r="BB34" s="271">
        <v>15.825348000000002</v>
      </c>
      <c r="BC34" s="272"/>
      <c r="BD34" s="273"/>
      <c r="BE34" s="273"/>
      <c r="BF34" s="273">
        <v>15.825348000000002</v>
      </c>
      <c r="BG34" s="273"/>
      <c r="BH34" s="273"/>
      <c r="BI34" s="274"/>
      <c r="BJ34" s="275"/>
      <c r="BK34" s="276"/>
      <c r="BL34" s="276"/>
      <c r="BM34" s="276"/>
      <c r="BN34" s="276"/>
      <c r="BO34" s="276"/>
      <c r="BP34" s="277"/>
      <c r="BQ34" s="399">
        <v>15.825348000000002</v>
      </c>
      <c r="BR34" s="400">
        <v>15.825348000000002</v>
      </c>
      <c r="BS34" s="401">
        <v>70</v>
      </c>
      <c r="BT34" s="278">
        <v>15.825348000000002</v>
      </c>
      <c r="BU34" s="352">
        <v>46.2</v>
      </c>
      <c r="BV34" s="279">
        <v>220</v>
      </c>
      <c r="BW34" s="353">
        <v>70</v>
      </c>
      <c r="BX34" s="934">
        <v>2</v>
      </c>
      <c r="BY34" s="552">
        <v>75</v>
      </c>
      <c r="BZ34" s="552">
        <v>2.9834527627337737</v>
      </c>
      <c r="CA34" s="941">
        <v>6</v>
      </c>
      <c r="CB34" s="553" t="s">
        <v>647</v>
      </c>
      <c r="CC34" s="330"/>
      <c r="CD34" s="554"/>
      <c r="CE34" s="554"/>
      <c r="CF34" s="513"/>
      <c r="CG34" s="555"/>
      <c r="CH34" s="556">
        <v>2.9834527627337737</v>
      </c>
      <c r="CI34" s="379">
        <v>5275.1160000000009</v>
      </c>
      <c r="CJ34" s="380">
        <v>5275.1160000000009</v>
      </c>
      <c r="CK34" s="381">
        <v>5275.1160000000009</v>
      </c>
      <c r="CL34" s="370">
        <v>5275.1160000000009</v>
      </c>
      <c r="CM34" s="371">
        <v>5275.1160000000009</v>
      </c>
      <c r="CN34" s="372">
        <v>5275.1160000000009</v>
      </c>
      <c r="CO34" s="70" t="s">
        <v>32</v>
      </c>
      <c r="CP34" s="97" t="s">
        <v>26</v>
      </c>
      <c r="CQ34" s="69" t="s">
        <v>27</v>
      </c>
      <c r="CR34" s="280" t="s">
        <v>27</v>
      </c>
      <c r="CS34" s="118">
        <v>1</v>
      </c>
      <c r="CT34" s="119">
        <v>0.7</v>
      </c>
      <c r="CU34" s="120"/>
      <c r="CV34" s="882">
        <v>15.825348000000002</v>
      </c>
      <c r="CW34" s="340">
        <v>46.2</v>
      </c>
      <c r="CX34" s="345">
        <v>70</v>
      </c>
      <c r="CY34" s="121">
        <v>82.5</v>
      </c>
      <c r="CZ34" s="122"/>
      <c r="DA34" s="104">
        <v>0.9</v>
      </c>
      <c r="DB34" s="123">
        <v>0.43588989435406728</v>
      </c>
      <c r="DC34" s="949">
        <v>2</v>
      </c>
      <c r="DD34" s="124">
        <v>90</v>
      </c>
      <c r="DE34" s="124">
        <v>75</v>
      </c>
      <c r="DF34" s="125">
        <v>1.0322047894302229</v>
      </c>
      <c r="DG34" s="126">
        <v>4</v>
      </c>
      <c r="DH34" s="121">
        <v>55</v>
      </c>
      <c r="DI34" s="127"/>
      <c r="DJ34" s="120"/>
      <c r="DK34" s="122"/>
      <c r="DL34" s="106">
        <v>69.300000000000011</v>
      </c>
      <c r="DM34" s="107">
        <v>70</v>
      </c>
      <c r="DN34" s="948">
        <v>2</v>
      </c>
      <c r="DO34" s="128">
        <v>1.05</v>
      </c>
      <c r="DP34" s="129">
        <v>0.187</v>
      </c>
      <c r="DQ34" s="121">
        <v>9.6999999999999993</v>
      </c>
      <c r="DR34" s="121">
        <v>73.898285999999985</v>
      </c>
      <c r="DS34" s="121">
        <v>6.5635960780143021</v>
      </c>
      <c r="DT34" s="121">
        <v>13.3</v>
      </c>
      <c r="DU34" s="130">
        <v>234.99485799999997</v>
      </c>
      <c r="DV34" s="131"/>
      <c r="DW34" s="131"/>
      <c r="DX34" s="127"/>
      <c r="DY34" s="132"/>
      <c r="DZ34" s="132"/>
      <c r="EA34" s="132"/>
      <c r="EB34" s="132"/>
      <c r="EC34" s="133"/>
      <c r="ED34" s="134" t="s">
        <v>53</v>
      </c>
      <c r="EE34" s="135"/>
      <c r="EF34" s="136">
        <v>75</v>
      </c>
      <c r="EG34" s="393">
        <v>75</v>
      </c>
      <c r="EH34" s="536"/>
      <c r="EI34" s="544">
        <v>30</v>
      </c>
      <c r="EJ34" s="14">
        <v>15</v>
      </c>
      <c r="EK34" s="14"/>
      <c r="EL34" s="14"/>
      <c r="EM34" s="540"/>
      <c r="EN34" s="546">
        <v>15</v>
      </c>
      <c r="EO34" s="11">
        <v>234.99485799999997</v>
      </c>
      <c r="EP34" s="883" t="s">
        <v>79</v>
      </c>
      <c r="EQ34" s="883" t="s">
        <v>689</v>
      </c>
      <c r="ER34" s="883"/>
      <c r="ES34" s="883"/>
      <c r="ET34" s="3" t="s">
        <v>690</v>
      </c>
      <c r="EU34" s="3" t="s">
        <v>691</v>
      </c>
      <c r="EV34" s="3">
        <v>80</v>
      </c>
      <c r="EW34" s="3">
        <v>3</v>
      </c>
      <c r="EX34" s="930">
        <v>2</v>
      </c>
      <c r="EY34" s="3">
        <v>1</v>
      </c>
      <c r="EZ34" s="3">
        <v>6</v>
      </c>
      <c r="FA34" s="3">
        <v>1</v>
      </c>
      <c r="FB34" s="3" t="s">
        <v>647</v>
      </c>
      <c r="FC34" s="3">
        <v>80</v>
      </c>
      <c r="FD34" s="254"/>
      <c r="FE34" s="254"/>
      <c r="FF34" s="884">
        <v>1</v>
      </c>
      <c r="FG34" s="254"/>
      <c r="FH34" s="884"/>
      <c r="FI34" s="254"/>
      <c r="FJ34" s="884"/>
      <c r="FK34" s="3">
        <v>12</v>
      </c>
      <c r="FL34" s="3" t="s">
        <v>689</v>
      </c>
      <c r="FM34" s="3" t="s">
        <v>684</v>
      </c>
      <c r="FN34" s="3" t="s">
        <v>546</v>
      </c>
    </row>
    <row r="35" spans="1:171" s="3" customFormat="1">
      <c r="A35" s="885"/>
      <c r="B35" s="255">
        <v>13</v>
      </c>
      <c r="C35" s="97">
        <v>15</v>
      </c>
      <c r="D35" s="97">
        <v>17</v>
      </c>
      <c r="E35" s="880" t="s">
        <v>672</v>
      </c>
      <c r="F35" s="256">
        <v>3</v>
      </c>
      <c r="G35" s="257">
        <v>3</v>
      </c>
      <c r="H35" s="881" t="s">
        <v>688</v>
      </c>
      <c r="I35" s="258" t="s">
        <v>595</v>
      </c>
      <c r="J35" s="259">
        <v>8</v>
      </c>
      <c r="K35" s="260">
        <v>43</v>
      </c>
      <c r="L35" s="260">
        <v>3</v>
      </c>
      <c r="M35" s="261">
        <v>1</v>
      </c>
      <c r="N35" s="261">
        <v>1</v>
      </c>
      <c r="O35" s="262">
        <v>1</v>
      </c>
      <c r="P35" s="263">
        <v>4</v>
      </c>
      <c r="Q35" s="264">
        <v>1</v>
      </c>
      <c r="R35" s="264">
        <v>1</v>
      </c>
      <c r="S35" s="265">
        <v>1</v>
      </c>
      <c r="T35" s="265">
        <v>1</v>
      </c>
      <c r="U35" s="266">
        <v>1</v>
      </c>
      <c r="V35" s="267">
        <v>1</v>
      </c>
      <c r="W35" s="258" t="s">
        <v>311</v>
      </c>
      <c r="X35" s="268"/>
      <c r="Y35" s="269"/>
      <c r="Z35" s="269">
        <v>1</v>
      </c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70"/>
      <c r="BB35" s="271">
        <v>5.7204179999999996</v>
      </c>
      <c r="BC35" s="272"/>
      <c r="BD35" s="273"/>
      <c r="BE35" s="273"/>
      <c r="BF35" s="273">
        <v>5.7204179999999996</v>
      </c>
      <c r="BG35" s="273"/>
      <c r="BH35" s="273"/>
      <c r="BI35" s="274"/>
      <c r="BJ35" s="275"/>
      <c r="BK35" s="276"/>
      <c r="BL35" s="276"/>
      <c r="BM35" s="276"/>
      <c r="BN35" s="276"/>
      <c r="BO35" s="276"/>
      <c r="BP35" s="277"/>
      <c r="BQ35" s="399">
        <v>5.7204179999999996</v>
      </c>
      <c r="BR35" s="400">
        <v>5.7204179999999996</v>
      </c>
      <c r="BS35" s="401">
        <v>30</v>
      </c>
      <c r="BT35" s="278">
        <v>5.7204179999999996</v>
      </c>
      <c r="BU35" s="352">
        <v>16.7</v>
      </c>
      <c r="BV35" s="279">
        <v>220</v>
      </c>
      <c r="BW35" s="353">
        <v>30</v>
      </c>
      <c r="BX35" s="934">
        <v>10</v>
      </c>
      <c r="BY35" s="552">
        <v>35</v>
      </c>
      <c r="BZ35" s="552">
        <v>2.0330052492005497</v>
      </c>
      <c r="CA35" s="941">
        <v>10</v>
      </c>
      <c r="CB35" s="553" t="s">
        <v>623</v>
      </c>
      <c r="CC35" s="330"/>
      <c r="CD35" s="554"/>
      <c r="CE35" s="554"/>
      <c r="CF35" s="513"/>
      <c r="CG35" s="555"/>
      <c r="CH35" s="556">
        <v>2.0330052492005497</v>
      </c>
      <c r="CI35" s="379">
        <v>1906.8059999999998</v>
      </c>
      <c r="CJ35" s="380">
        <v>1906.8059999999998</v>
      </c>
      <c r="CK35" s="381">
        <v>1906.8059999999998</v>
      </c>
      <c r="CL35" s="370">
        <v>1906.8059999999998</v>
      </c>
      <c r="CM35" s="371">
        <v>1906.8059999999998</v>
      </c>
      <c r="CN35" s="372">
        <v>1906.8059999999998</v>
      </c>
      <c r="CO35" s="70" t="s">
        <v>32</v>
      </c>
      <c r="CP35" s="97" t="s">
        <v>26</v>
      </c>
      <c r="CQ35" s="69" t="s">
        <v>27</v>
      </c>
      <c r="CR35" s="280" t="s">
        <v>27</v>
      </c>
      <c r="CS35" s="118">
        <v>1</v>
      </c>
      <c r="CT35" s="119">
        <v>0.7</v>
      </c>
      <c r="CU35" s="120"/>
      <c r="CV35" s="882">
        <v>5.7204179999999996</v>
      </c>
      <c r="CW35" s="340">
        <v>16.7</v>
      </c>
      <c r="CX35" s="345">
        <v>30</v>
      </c>
      <c r="CY35" s="121">
        <v>29.821428571428573</v>
      </c>
      <c r="CZ35" s="122"/>
      <c r="DA35" s="104">
        <v>0.9</v>
      </c>
      <c r="DB35" s="123">
        <v>0.43588989435406728</v>
      </c>
      <c r="DC35" s="949">
        <v>10</v>
      </c>
      <c r="DD35" s="124">
        <v>35</v>
      </c>
      <c r="DE35" s="124">
        <v>35</v>
      </c>
      <c r="DF35" s="125">
        <v>5.3126708003538567</v>
      </c>
      <c r="DG35" s="126">
        <v>10</v>
      </c>
      <c r="DH35" s="121">
        <v>35</v>
      </c>
      <c r="DI35" s="127"/>
      <c r="DJ35" s="120"/>
      <c r="DK35" s="122"/>
      <c r="DL35" s="106">
        <v>25.049999999999997</v>
      </c>
      <c r="DM35" s="107">
        <v>30</v>
      </c>
      <c r="DN35" s="948">
        <v>10</v>
      </c>
      <c r="DO35" s="128">
        <v>3.9</v>
      </c>
      <c r="DP35" s="129">
        <v>0.20699999999999999</v>
      </c>
      <c r="DQ35" s="121">
        <v>4.5999999999999996</v>
      </c>
      <c r="DR35" s="121">
        <v>16.619063999999998</v>
      </c>
      <c r="DS35" s="121">
        <v>4.4726115482412094</v>
      </c>
      <c r="DT35" s="121">
        <v>5.26</v>
      </c>
      <c r="DU35" s="130">
        <v>78</v>
      </c>
      <c r="DV35" s="131"/>
      <c r="DW35" s="131"/>
      <c r="DX35" s="127"/>
      <c r="DY35" s="132"/>
      <c r="DZ35" s="132"/>
      <c r="EA35" s="132"/>
      <c r="EB35" s="132"/>
      <c r="EC35" s="133"/>
      <c r="ED35" s="134" t="s">
        <v>53</v>
      </c>
      <c r="EE35" s="135"/>
      <c r="EF35" s="136">
        <v>35</v>
      </c>
      <c r="EG35" s="393">
        <v>35</v>
      </c>
      <c r="EH35" s="536"/>
      <c r="EI35" s="544">
        <v>30</v>
      </c>
      <c r="EJ35" s="14">
        <v>5</v>
      </c>
      <c r="EK35" s="14"/>
      <c r="EL35" s="14"/>
      <c r="EM35" s="540"/>
      <c r="EN35" s="546">
        <v>5</v>
      </c>
      <c r="EO35" s="11">
        <v>55.117191999999996</v>
      </c>
      <c r="EP35" s="883" t="s">
        <v>79</v>
      </c>
      <c r="EQ35" s="883" t="s">
        <v>689</v>
      </c>
      <c r="ER35" s="883"/>
      <c r="ES35" s="883"/>
      <c r="ET35" s="3" t="s">
        <v>692</v>
      </c>
      <c r="EU35" s="3" t="s">
        <v>693</v>
      </c>
      <c r="EV35" s="3">
        <v>43</v>
      </c>
      <c r="EW35" s="3">
        <v>3</v>
      </c>
      <c r="EX35" s="3">
        <v>10</v>
      </c>
      <c r="EY35" s="3">
        <v>1</v>
      </c>
      <c r="EZ35" s="3">
        <v>10</v>
      </c>
      <c r="FA35" s="3">
        <v>1</v>
      </c>
      <c r="FB35" s="3" t="s">
        <v>623</v>
      </c>
      <c r="FC35" s="3">
        <v>43</v>
      </c>
      <c r="FD35" s="254"/>
      <c r="FE35" s="254"/>
      <c r="FF35" s="884">
        <v>1</v>
      </c>
      <c r="FG35" s="254"/>
      <c r="FH35" s="884"/>
      <c r="FI35" s="254"/>
      <c r="FJ35" s="884"/>
      <c r="FK35" s="3">
        <v>17</v>
      </c>
      <c r="FL35" s="3" t="s">
        <v>689</v>
      </c>
      <c r="FM35" s="3" t="s">
        <v>684</v>
      </c>
      <c r="FN35" s="3" t="s">
        <v>546</v>
      </c>
    </row>
    <row r="36" spans="1:171" s="3" customFormat="1">
      <c r="A36" s="885"/>
      <c r="B36" s="255">
        <v>14</v>
      </c>
      <c r="C36" s="97">
        <v>16</v>
      </c>
      <c r="D36" s="97">
        <v>18</v>
      </c>
      <c r="E36" s="880" t="s">
        <v>672</v>
      </c>
      <c r="F36" s="256">
        <v>3</v>
      </c>
      <c r="G36" s="257">
        <v>2</v>
      </c>
      <c r="H36" s="881" t="s">
        <v>688</v>
      </c>
      <c r="I36" s="258" t="s">
        <v>595</v>
      </c>
      <c r="J36" s="259">
        <v>8</v>
      </c>
      <c r="K36" s="260">
        <v>46</v>
      </c>
      <c r="L36" s="260">
        <v>3</v>
      </c>
      <c r="M36" s="261">
        <v>1</v>
      </c>
      <c r="N36" s="261">
        <v>1</v>
      </c>
      <c r="O36" s="262">
        <v>1</v>
      </c>
      <c r="P36" s="263">
        <v>4</v>
      </c>
      <c r="Q36" s="264">
        <v>1</v>
      </c>
      <c r="R36" s="264">
        <v>1</v>
      </c>
      <c r="S36" s="265">
        <v>1</v>
      </c>
      <c r="T36" s="265">
        <v>1</v>
      </c>
      <c r="U36" s="266">
        <v>1</v>
      </c>
      <c r="V36" s="267">
        <v>1</v>
      </c>
      <c r="W36" s="258" t="s">
        <v>311</v>
      </c>
      <c r="X36" s="268"/>
      <c r="Y36" s="269"/>
      <c r="Z36" s="269">
        <v>1</v>
      </c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70"/>
      <c r="BB36" s="271">
        <v>5.7204179999999996</v>
      </c>
      <c r="BC36" s="272"/>
      <c r="BD36" s="273"/>
      <c r="BE36" s="273"/>
      <c r="BF36" s="273">
        <v>5.7204179999999996</v>
      </c>
      <c r="BG36" s="273"/>
      <c r="BH36" s="273"/>
      <c r="BI36" s="274"/>
      <c r="BJ36" s="275"/>
      <c r="BK36" s="276"/>
      <c r="BL36" s="276"/>
      <c r="BM36" s="276"/>
      <c r="BN36" s="276"/>
      <c r="BO36" s="276"/>
      <c r="BP36" s="277"/>
      <c r="BQ36" s="399">
        <v>5.7204179999999996</v>
      </c>
      <c r="BR36" s="400">
        <v>5.7204179999999996</v>
      </c>
      <c r="BS36" s="401">
        <v>30</v>
      </c>
      <c r="BT36" s="278">
        <v>5.7204179999999996</v>
      </c>
      <c r="BU36" s="352">
        <v>16.7</v>
      </c>
      <c r="BV36" s="279">
        <v>220</v>
      </c>
      <c r="BW36" s="353">
        <v>30</v>
      </c>
      <c r="BX36" s="934">
        <v>10</v>
      </c>
      <c r="BY36" s="552">
        <v>35</v>
      </c>
      <c r="BZ36" s="552">
        <v>2.17484282472617</v>
      </c>
      <c r="CA36" s="941">
        <v>10</v>
      </c>
      <c r="CB36" s="553" t="s">
        <v>623</v>
      </c>
      <c r="CC36" s="330"/>
      <c r="CD36" s="554"/>
      <c r="CE36" s="554"/>
      <c r="CF36" s="513"/>
      <c r="CG36" s="555"/>
      <c r="CH36" s="556">
        <v>2.17484282472617</v>
      </c>
      <c r="CI36" s="379">
        <v>1906.8059999999998</v>
      </c>
      <c r="CJ36" s="380">
        <v>1906.8059999999998</v>
      </c>
      <c r="CK36" s="381">
        <v>1906.8059999999998</v>
      </c>
      <c r="CL36" s="370">
        <v>1906.8059999999998</v>
      </c>
      <c r="CM36" s="371">
        <v>1906.8059999999998</v>
      </c>
      <c r="CN36" s="372">
        <v>1906.8059999999998</v>
      </c>
      <c r="CO36" s="70" t="s">
        <v>32</v>
      </c>
      <c r="CP36" s="97" t="s">
        <v>26</v>
      </c>
      <c r="CQ36" s="69" t="s">
        <v>27</v>
      </c>
      <c r="CR36" s="280" t="s">
        <v>27</v>
      </c>
      <c r="CS36" s="118">
        <v>1</v>
      </c>
      <c r="CT36" s="119">
        <v>0.7</v>
      </c>
      <c r="CU36" s="120"/>
      <c r="CV36" s="882">
        <v>5.7204179999999996</v>
      </c>
      <c r="CW36" s="340">
        <v>16.7</v>
      </c>
      <c r="CX36" s="345">
        <v>30</v>
      </c>
      <c r="CY36" s="121">
        <v>29.821428571428573</v>
      </c>
      <c r="CZ36" s="122"/>
      <c r="DA36" s="104">
        <v>0.9</v>
      </c>
      <c r="DB36" s="123">
        <v>0.43588989435406728</v>
      </c>
      <c r="DC36" s="949">
        <v>10</v>
      </c>
      <c r="DD36" s="124">
        <v>35</v>
      </c>
      <c r="DE36" s="124">
        <v>35</v>
      </c>
      <c r="DF36" s="125">
        <v>4.9661922698959966</v>
      </c>
      <c r="DG36" s="126">
        <v>10</v>
      </c>
      <c r="DH36" s="121">
        <v>35</v>
      </c>
      <c r="DI36" s="127"/>
      <c r="DJ36" s="120"/>
      <c r="DK36" s="122"/>
      <c r="DL36" s="106">
        <v>25.049999999999997</v>
      </c>
      <c r="DM36" s="107">
        <v>30</v>
      </c>
      <c r="DN36" s="948">
        <v>10</v>
      </c>
      <c r="DO36" s="128">
        <v>3.9</v>
      </c>
      <c r="DP36" s="129">
        <v>0.20699999999999999</v>
      </c>
      <c r="DQ36" s="121">
        <v>4.5999999999999996</v>
      </c>
      <c r="DR36" s="121">
        <v>16.619063999999998</v>
      </c>
      <c r="DS36" s="121">
        <v>4.7846542143975732</v>
      </c>
      <c r="DT36" s="121">
        <v>5.26</v>
      </c>
      <c r="DU36" s="130">
        <v>78</v>
      </c>
      <c r="DV36" s="131"/>
      <c r="DW36" s="131"/>
      <c r="DX36" s="127"/>
      <c r="DY36" s="132"/>
      <c r="DZ36" s="132"/>
      <c r="EA36" s="132"/>
      <c r="EB36" s="132"/>
      <c r="EC36" s="133"/>
      <c r="ED36" s="134" t="s">
        <v>53</v>
      </c>
      <c r="EE36" s="135"/>
      <c r="EF36" s="136">
        <v>35</v>
      </c>
      <c r="EG36" s="393">
        <v>35</v>
      </c>
      <c r="EH36" s="536"/>
      <c r="EI36" s="544">
        <v>30</v>
      </c>
      <c r="EJ36" s="14">
        <v>5</v>
      </c>
      <c r="EK36" s="14"/>
      <c r="EL36" s="14"/>
      <c r="EM36" s="540"/>
      <c r="EN36" s="546">
        <v>5</v>
      </c>
      <c r="EO36" s="11">
        <v>38.498127999999994</v>
      </c>
      <c r="EP36" s="883" t="s">
        <v>79</v>
      </c>
      <c r="EQ36" s="883" t="s">
        <v>689</v>
      </c>
      <c r="ER36" s="883"/>
      <c r="ES36" s="883"/>
      <c r="ET36" s="3" t="s">
        <v>692</v>
      </c>
      <c r="EU36" s="3" t="s">
        <v>694</v>
      </c>
      <c r="EV36" s="3">
        <v>46</v>
      </c>
      <c r="EW36" s="3">
        <v>2</v>
      </c>
      <c r="EX36" s="930">
        <v>10</v>
      </c>
      <c r="EY36" s="3">
        <v>1</v>
      </c>
      <c r="EZ36" s="3">
        <v>10</v>
      </c>
      <c r="FA36" s="3">
        <v>1</v>
      </c>
      <c r="FB36" s="3" t="s">
        <v>623</v>
      </c>
      <c r="FC36" s="3">
        <v>46</v>
      </c>
      <c r="FD36" s="254"/>
      <c r="FE36" s="254"/>
      <c r="FF36" s="884">
        <v>1</v>
      </c>
      <c r="FG36" s="254"/>
      <c r="FH36" s="884"/>
      <c r="FI36" s="254"/>
      <c r="FJ36" s="884"/>
      <c r="FK36" s="3">
        <v>18</v>
      </c>
      <c r="FL36" s="3" t="s">
        <v>689</v>
      </c>
      <c r="FM36" s="3" t="s">
        <v>684</v>
      </c>
      <c r="FN36" s="3" t="s">
        <v>546</v>
      </c>
    </row>
    <row r="37" spans="1:171" s="3" customFormat="1">
      <c r="A37" s="885"/>
      <c r="B37" s="255">
        <v>19</v>
      </c>
      <c r="C37" s="97">
        <v>21</v>
      </c>
      <c r="D37" s="97">
        <v>23</v>
      </c>
      <c r="E37" s="880" t="s">
        <v>672</v>
      </c>
      <c r="F37" s="256">
        <v>3</v>
      </c>
      <c r="G37" s="257">
        <v>3</v>
      </c>
      <c r="H37" s="881" t="s">
        <v>688</v>
      </c>
      <c r="I37" s="258" t="s">
        <v>595</v>
      </c>
      <c r="J37" s="259">
        <v>8</v>
      </c>
      <c r="K37" s="260">
        <v>49</v>
      </c>
      <c r="L37" s="260">
        <v>3</v>
      </c>
      <c r="M37" s="261">
        <v>1</v>
      </c>
      <c r="N37" s="261">
        <v>1</v>
      </c>
      <c r="O37" s="262">
        <v>1</v>
      </c>
      <c r="P37" s="263">
        <v>4</v>
      </c>
      <c r="Q37" s="264">
        <v>1</v>
      </c>
      <c r="R37" s="264">
        <v>1</v>
      </c>
      <c r="S37" s="265">
        <v>1</v>
      </c>
      <c r="T37" s="265">
        <v>1</v>
      </c>
      <c r="U37" s="266">
        <v>1</v>
      </c>
      <c r="V37" s="267">
        <v>1</v>
      </c>
      <c r="W37" s="258" t="s">
        <v>311</v>
      </c>
      <c r="X37" s="268"/>
      <c r="Y37" s="269"/>
      <c r="Z37" s="269">
        <v>1</v>
      </c>
      <c r="AA37" s="269"/>
      <c r="AB37" s="269"/>
      <c r="AC37" s="269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70"/>
      <c r="BB37" s="271">
        <v>5.7204179999999996</v>
      </c>
      <c r="BC37" s="272"/>
      <c r="BD37" s="273"/>
      <c r="BE37" s="273"/>
      <c r="BF37" s="273">
        <v>5.7204179999999996</v>
      </c>
      <c r="BG37" s="273"/>
      <c r="BH37" s="273"/>
      <c r="BI37" s="274"/>
      <c r="BJ37" s="275"/>
      <c r="BK37" s="276"/>
      <c r="BL37" s="276"/>
      <c r="BM37" s="276"/>
      <c r="BN37" s="276"/>
      <c r="BO37" s="276"/>
      <c r="BP37" s="277"/>
      <c r="BQ37" s="399">
        <v>5.7204179999999996</v>
      </c>
      <c r="BR37" s="400">
        <v>5.7204179999999996</v>
      </c>
      <c r="BS37" s="401">
        <v>30</v>
      </c>
      <c r="BT37" s="278">
        <v>5.7204179999999996</v>
      </c>
      <c r="BU37" s="352">
        <v>16.7</v>
      </c>
      <c r="BV37" s="279">
        <v>220</v>
      </c>
      <c r="BW37" s="353">
        <v>30</v>
      </c>
      <c r="BX37" s="934">
        <v>10</v>
      </c>
      <c r="BY37" s="552">
        <v>35</v>
      </c>
      <c r="BZ37" s="552">
        <v>2.3166804002517893</v>
      </c>
      <c r="CA37" s="941">
        <v>10</v>
      </c>
      <c r="CB37" s="553" t="s">
        <v>623</v>
      </c>
      <c r="CC37" s="330"/>
      <c r="CD37" s="554"/>
      <c r="CE37" s="554"/>
      <c r="CF37" s="513"/>
      <c r="CG37" s="555"/>
      <c r="CH37" s="556">
        <v>2.3166804002517893</v>
      </c>
      <c r="CI37" s="379">
        <v>1906.8059999999998</v>
      </c>
      <c r="CJ37" s="380">
        <v>1906.8059999999998</v>
      </c>
      <c r="CK37" s="381">
        <v>1906.8059999999998</v>
      </c>
      <c r="CL37" s="370">
        <v>1906.8059999999998</v>
      </c>
      <c r="CM37" s="371">
        <v>1906.8059999999998</v>
      </c>
      <c r="CN37" s="372">
        <v>1906.8059999999998</v>
      </c>
      <c r="CO37" s="70" t="s">
        <v>32</v>
      </c>
      <c r="CP37" s="97" t="s">
        <v>26</v>
      </c>
      <c r="CQ37" s="69" t="s">
        <v>27</v>
      </c>
      <c r="CR37" s="280" t="s">
        <v>27</v>
      </c>
      <c r="CS37" s="118">
        <v>1</v>
      </c>
      <c r="CT37" s="119">
        <v>0.7</v>
      </c>
      <c r="CU37" s="120"/>
      <c r="CV37" s="882">
        <v>5.7204179999999996</v>
      </c>
      <c r="CW37" s="340">
        <v>16.7</v>
      </c>
      <c r="CX37" s="345">
        <v>30</v>
      </c>
      <c r="CY37" s="121">
        <v>29.821428571428573</v>
      </c>
      <c r="CZ37" s="122"/>
      <c r="DA37" s="104">
        <v>0.9</v>
      </c>
      <c r="DB37" s="123">
        <v>0.43588989435406728</v>
      </c>
      <c r="DC37" s="949">
        <v>10</v>
      </c>
      <c r="DD37" s="124">
        <v>35</v>
      </c>
      <c r="DE37" s="124">
        <v>35</v>
      </c>
      <c r="DF37" s="125">
        <v>4.66213968194318</v>
      </c>
      <c r="DG37" s="126">
        <v>10</v>
      </c>
      <c r="DH37" s="121">
        <v>35</v>
      </c>
      <c r="DI37" s="127"/>
      <c r="DJ37" s="120"/>
      <c r="DK37" s="122"/>
      <c r="DL37" s="106">
        <v>25.049999999999997</v>
      </c>
      <c r="DM37" s="107">
        <v>30</v>
      </c>
      <c r="DN37" s="948">
        <v>10</v>
      </c>
      <c r="DO37" s="128">
        <v>3.9</v>
      </c>
      <c r="DP37" s="129">
        <v>0.20699999999999999</v>
      </c>
      <c r="DQ37" s="121">
        <v>4.5999999999999996</v>
      </c>
      <c r="DR37" s="121">
        <v>16.619063999999998</v>
      </c>
      <c r="DS37" s="121">
        <v>5.0966968805539361</v>
      </c>
      <c r="DT37" s="121">
        <v>5.26</v>
      </c>
      <c r="DU37" s="130">
        <v>78</v>
      </c>
      <c r="DV37" s="131"/>
      <c r="DW37" s="131"/>
      <c r="DX37" s="127"/>
      <c r="DY37" s="132"/>
      <c r="DZ37" s="132"/>
      <c r="EA37" s="132"/>
      <c r="EB37" s="132"/>
      <c r="EC37" s="133"/>
      <c r="ED37" s="134" t="s">
        <v>53</v>
      </c>
      <c r="EE37" s="135"/>
      <c r="EF37" s="136">
        <v>35</v>
      </c>
      <c r="EG37" s="393">
        <v>35</v>
      </c>
      <c r="EH37" s="536"/>
      <c r="EI37" s="544">
        <v>30</v>
      </c>
      <c r="EJ37" s="14">
        <v>5</v>
      </c>
      <c r="EK37" s="14"/>
      <c r="EL37" s="14"/>
      <c r="EM37" s="540"/>
      <c r="EN37" s="546">
        <v>5</v>
      </c>
      <c r="EO37" s="11">
        <v>55.117191999999996</v>
      </c>
      <c r="EP37" s="883" t="s">
        <v>79</v>
      </c>
      <c r="EQ37" s="883" t="s">
        <v>689</v>
      </c>
      <c r="ER37" s="883"/>
      <c r="ES37" s="883"/>
      <c r="ET37" s="3" t="s">
        <v>692</v>
      </c>
      <c r="EU37" s="3" t="s">
        <v>693</v>
      </c>
      <c r="EV37" s="3">
        <v>49</v>
      </c>
      <c r="EW37" s="3">
        <v>3</v>
      </c>
      <c r="EX37" s="3">
        <v>10</v>
      </c>
      <c r="EY37" s="3">
        <v>1</v>
      </c>
      <c r="EZ37" s="3">
        <v>10</v>
      </c>
      <c r="FA37" s="3">
        <v>1</v>
      </c>
      <c r="FB37" s="3" t="s">
        <v>623</v>
      </c>
      <c r="FC37" s="3">
        <v>49</v>
      </c>
      <c r="FD37" s="254"/>
      <c r="FE37" s="254"/>
      <c r="FF37" s="884">
        <v>1</v>
      </c>
      <c r="FG37" s="254"/>
      <c r="FH37" s="884"/>
      <c r="FI37" s="254"/>
      <c r="FJ37" s="884"/>
      <c r="FK37" s="3">
        <v>23</v>
      </c>
      <c r="FL37" s="3" t="s">
        <v>689</v>
      </c>
      <c r="FM37" s="3" t="s">
        <v>684</v>
      </c>
      <c r="FN37" s="3" t="s">
        <v>546</v>
      </c>
    </row>
    <row r="38" spans="1:171" s="3" customFormat="1">
      <c r="A38" s="885"/>
      <c r="B38" s="255">
        <v>24</v>
      </c>
      <c r="C38" s="97">
        <v>26</v>
      </c>
      <c r="D38" s="97">
        <v>28</v>
      </c>
      <c r="E38" s="880" t="s">
        <v>672</v>
      </c>
      <c r="F38" s="256">
        <v>3</v>
      </c>
      <c r="G38" s="257">
        <v>3</v>
      </c>
      <c r="H38" s="881" t="s">
        <v>688</v>
      </c>
      <c r="I38" s="258" t="s">
        <v>595</v>
      </c>
      <c r="J38" s="259">
        <v>8</v>
      </c>
      <c r="K38" s="260">
        <v>52</v>
      </c>
      <c r="L38" s="260">
        <v>3</v>
      </c>
      <c r="M38" s="261">
        <v>1</v>
      </c>
      <c r="N38" s="261">
        <v>1</v>
      </c>
      <c r="O38" s="262">
        <v>1</v>
      </c>
      <c r="P38" s="263">
        <v>4</v>
      </c>
      <c r="Q38" s="264">
        <v>1</v>
      </c>
      <c r="R38" s="264">
        <v>1</v>
      </c>
      <c r="S38" s="265">
        <v>1</v>
      </c>
      <c r="T38" s="265">
        <v>1</v>
      </c>
      <c r="U38" s="266">
        <v>1</v>
      </c>
      <c r="V38" s="267">
        <v>1</v>
      </c>
      <c r="W38" s="258" t="s">
        <v>311</v>
      </c>
      <c r="X38" s="268"/>
      <c r="Y38" s="269"/>
      <c r="Z38" s="269">
        <v>1</v>
      </c>
      <c r="AA38" s="269"/>
      <c r="AB38" s="269"/>
      <c r="AC38" s="269"/>
      <c r="AD38" s="269"/>
      <c r="AE38" s="269"/>
      <c r="AF38" s="269"/>
      <c r="AG38" s="269"/>
      <c r="AH38" s="269"/>
      <c r="AI38" s="269"/>
      <c r="AJ38" s="269"/>
      <c r="AK38" s="269"/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70"/>
      <c r="BB38" s="271">
        <v>5.7204179999999996</v>
      </c>
      <c r="BC38" s="272"/>
      <c r="BD38" s="273"/>
      <c r="BE38" s="273"/>
      <c r="BF38" s="273">
        <v>5.7204179999999996</v>
      </c>
      <c r="BG38" s="273"/>
      <c r="BH38" s="273"/>
      <c r="BI38" s="274"/>
      <c r="BJ38" s="275"/>
      <c r="BK38" s="276"/>
      <c r="BL38" s="276"/>
      <c r="BM38" s="276"/>
      <c r="BN38" s="276"/>
      <c r="BO38" s="276"/>
      <c r="BP38" s="277"/>
      <c r="BQ38" s="399">
        <v>5.7204179999999996</v>
      </c>
      <c r="BR38" s="400">
        <v>5.7204179999999996</v>
      </c>
      <c r="BS38" s="401">
        <v>30</v>
      </c>
      <c r="BT38" s="278">
        <v>5.7204179999999996</v>
      </c>
      <c r="BU38" s="352">
        <v>16.7</v>
      </c>
      <c r="BV38" s="279">
        <v>220</v>
      </c>
      <c r="BW38" s="353">
        <v>30</v>
      </c>
      <c r="BX38" s="934">
        <v>10</v>
      </c>
      <c r="BY38" s="552">
        <v>35</v>
      </c>
      <c r="BZ38" s="552">
        <v>2.4585179757774087</v>
      </c>
      <c r="CA38" s="941">
        <v>10</v>
      </c>
      <c r="CB38" s="553" t="s">
        <v>623</v>
      </c>
      <c r="CC38" s="330"/>
      <c r="CD38" s="554"/>
      <c r="CE38" s="554"/>
      <c r="CF38" s="513"/>
      <c r="CG38" s="555"/>
      <c r="CH38" s="556">
        <v>2.4585179757774087</v>
      </c>
      <c r="CI38" s="379">
        <v>1906.8059999999998</v>
      </c>
      <c r="CJ38" s="380">
        <v>1906.8059999999998</v>
      </c>
      <c r="CK38" s="381">
        <v>1906.8059999999998</v>
      </c>
      <c r="CL38" s="370">
        <v>1906.8059999999998</v>
      </c>
      <c r="CM38" s="371">
        <v>1906.8059999999998</v>
      </c>
      <c r="CN38" s="372">
        <v>1906.8059999999998</v>
      </c>
      <c r="CO38" s="70" t="s">
        <v>27</v>
      </c>
      <c r="CP38" s="97" t="s">
        <v>32</v>
      </c>
      <c r="CQ38" s="69" t="s">
        <v>26</v>
      </c>
      <c r="CR38" s="280" t="s">
        <v>27</v>
      </c>
      <c r="CS38" s="118">
        <v>1</v>
      </c>
      <c r="CT38" s="119">
        <v>0.7</v>
      </c>
      <c r="CU38" s="120"/>
      <c r="CV38" s="882">
        <v>5.7204179999999996</v>
      </c>
      <c r="CW38" s="340">
        <v>16.7</v>
      </c>
      <c r="CX38" s="345">
        <v>30</v>
      </c>
      <c r="CY38" s="121">
        <v>29.821428571428573</v>
      </c>
      <c r="CZ38" s="122"/>
      <c r="DA38" s="104">
        <v>0.9</v>
      </c>
      <c r="DB38" s="123">
        <v>0.43588989435406728</v>
      </c>
      <c r="DC38" s="949">
        <v>10</v>
      </c>
      <c r="DD38" s="124">
        <v>35</v>
      </c>
      <c r="DE38" s="124">
        <v>35</v>
      </c>
      <c r="DF38" s="125">
        <v>4.3931700849079967</v>
      </c>
      <c r="DG38" s="126">
        <v>10</v>
      </c>
      <c r="DH38" s="121">
        <v>35</v>
      </c>
      <c r="DI38" s="127"/>
      <c r="DJ38" s="120"/>
      <c r="DK38" s="122"/>
      <c r="DL38" s="106">
        <v>25.049999999999997</v>
      </c>
      <c r="DM38" s="107">
        <v>30</v>
      </c>
      <c r="DN38" s="948">
        <v>10</v>
      </c>
      <c r="DO38" s="128">
        <v>3.9</v>
      </c>
      <c r="DP38" s="129">
        <v>0.20699999999999999</v>
      </c>
      <c r="DQ38" s="121">
        <v>4.5999999999999996</v>
      </c>
      <c r="DR38" s="121">
        <v>16.619063999999998</v>
      </c>
      <c r="DS38" s="121">
        <v>5.4087395467102999</v>
      </c>
      <c r="DT38" s="121">
        <v>5.26</v>
      </c>
      <c r="DU38" s="130">
        <v>78</v>
      </c>
      <c r="DV38" s="131"/>
      <c r="DW38" s="131"/>
      <c r="DX38" s="127"/>
      <c r="DY38" s="132"/>
      <c r="DZ38" s="132"/>
      <c r="EA38" s="132"/>
      <c r="EB38" s="132"/>
      <c r="EC38" s="133"/>
      <c r="ED38" s="134" t="s">
        <v>53</v>
      </c>
      <c r="EE38" s="135"/>
      <c r="EF38" s="136">
        <v>35</v>
      </c>
      <c r="EG38" s="393">
        <v>35</v>
      </c>
      <c r="EH38" s="536"/>
      <c r="EI38" s="544">
        <v>30</v>
      </c>
      <c r="EJ38" s="14">
        <v>5</v>
      </c>
      <c r="EK38" s="14"/>
      <c r="EL38" s="14"/>
      <c r="EM38" s="540"/>
      <c r="EN38" s="546">
        <v>5</v>
      </c>
      <c r="EO38" s="11">
        <v>55.117191999999996</v>
      </c>
      <c r="EP38" s="883" t="s">
        <v>79</v>
      </c>
      <c r="EQ38" s="883" t="s">
        <v>689</v>
      </c>
      <c r="ER38" s="883"/>
      <c r="ES38" s="883"/>
      <c r="ET38" s="3" t="s">
        <v>692</v>
      </c>
      <c r="EU38" s="3" t="s">
        <v>693</v>
      </c>
      <c r="EV38" s="3">
        <v>52</v>
      </c>
      <c r="EW38" s="3">
        <v>3</v>
      </c>
      <c r="EX38" s="3">
        <v>10</v>
      </c>
      <c r="EY38" s="3">
        <v>1</v>
      </c>
      <c r="EZ38" s="3">
        <v>10</v>
      </c>
      <c r="FA38" s="3">
        <v>1</v>
      </c>
      <c r="FB38" s="3" t="s">
        <v>623</v>
      </c>
      <c r="FC38" s="3">
        <v>52</v>
      </c>
      <c r="FD38" s="254"/>
      <c r="FE38" s="254"/>
      <c r="FF38" s="884">
        <v>1</v>
      </c>
      <c r="FG38" s="254"/>
      <c r="FH38" s="884"/>
      <c r="FI38" s="254"/>
      <c r="FJ38" s="884"/>
      <c r="FK38" s="3">
        <v>28</v>
      </c>
      <c r="FL38" s="3" t="s">
        <v>689</v>
      </c>
      <c r="FM38" s="3" t="s">
        <v>684</v>
      </c>
      <c r="FN38" s="3" t="s">
        <v>546</v>
      </c>
    </row>
    <row r="39" spans="1:171" s="3" customFormat="1">
      <c r="A39" s="885"/>
      <c r="B39" s="255">
        <v>25</v>
      </c>
      <c r="C39" s="97">
        <v>27</v>
      </c>
      <c r="D39" s="97">
        <v>29</v>
      </c>
      <c r="E39" s="880" t="s">
        <v>695</v>
      </c>
      <c r="F39" s="256">
        <v>3</v>
      </c>
      <c r="G39" s="257">
        <v>4</v>
      </c>
      <c r="H39" s="881" t="s">
        <v>29</v>
      </c>
      <c r="I39" s="258" t="s">
        <v>595</v>
      </c>
      <c r="J39" s="259">
        <v>8</v>
      </c>
      <c r="K39" s="260">
        <v>25</v>
      </c>
      <c r="L39" s="260">
        <v>3</v>
      </c>
      <c r="M39" s="261">
        <v>1</v>
      </c>
      <c r="N39" s="261">
        <v>1</v>
      </c>
      <c r="O39" s="262">
        <v>1</v>
      </c>
      <c r="P39" s="263">
        <v>4</v>
      </c>
      <c r="Q39" s="264">
        <v>1</v>
      </c>
      <c r="R39" s="264">
        <v>1</v>
      </c>
      <c r="S39" s="265">
        <v>1</v>
      </c>
      <c r="T39" s="265">
        <v>1</v>
      </c>
      <c r="U39" s="266">
        <v>1</v>
      </c>
      <c r="V39" s="267">
        <v>1</v>
      </c>
      <c r="W39" s="258" t="s">
        <v>311</v>
      </c>
      <c r="X39" s="268"/>
      <c r="Y39" s="269"/>
      <c r="Z39" s="269"/>
      <c r="AA39" s="269">
        <v>1</v>
      </c>
      <c r="AB39" s="269"/>
      <c r="AC39" s="269"/>
      <c r="AD39" s="269"/>
      <c r="AE39" s="269"/>
      <c r="AF39" s="269"/>
      <c r="AG39" s="269"/>
      <c r="AH39" s="269"/>
      <c r="AI39" s="269"/>
      <c r="AJ39" s="269"/>
      <c r="AK39" s="269"/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70"/>
      <c r="BB39" s="271">
        <v>2.5</v>
      </c>
      <c r="BC39" s="272"/>
      <c r="BD39" s="273"/>
      <c r="BE39" s="273"/>
      <c r="BF39" s="273"/>
      <c r="BG39" s="273"/>
      <c r="BH39" s="273"/>
      <c r="BI39" s="274"/>
      <c r="BJ39" s="275"/>
      <c r="BK39" s="276">
        <v>2.5</v>
      </c>
      <c r="BL39" s="276"/>
      <c r="BM39" s="276"/>
      <c r="BN39" s="276"/>
      <c r="BO39" s="276"/>
      <c r="BP39" s="277"/>
      <c r="BQ39" s="399"/>
      <c r="BR39" s="400"/>
      <c r="BS39" s="401"/>
      <c r="BT39" s="278">
        <v>2.5</v>
      </c>
      <c r="BU39" s="352">
        <v>7.2984177030419799</v>
      </c>
      <c r="BV39" s="279">
        <v>220</v>
      </c>
      <c r="BW39" s="353">
        <v>20</v>
      </c>
      <c r="BX39" s="934">
        <v>10</v>
      </c>
      <c r="BY39" s="552">
        <v>30</v>
      </c>
      <c r="BZ39" s="552">
        <v>0.51656181246144572</v>
      </c>
      <c r="CA39" s="941">
        <v>10</v>
      </c>
      <c r="CB39" s="553" t="s">
        <v>623</v>
      </c>
      <c r="CC39" s="330"/>
      <c r="CD39" s="554"/>
      <c r="CE39" s="554"/>
      <c r="CF39" s="513"/>
      <c r="CG39" s="555"/>
      <c r="CH39" s="556">
        <v>0.51656181246144572</v>
      </c>
      <c r="CI39" s="379">
        <v>833.33333333333337</v>
      </c>
      <c r="CJ39" s="380">
        <v>833.33333333333337</v>
      </c>
      <c r="CK39" s="381">
        <v>833.33333333333337</v>
      </c>
      <c r="CL39" s="370">
        <v>833.33333333333337</v>
      </c>
      <c r="CM39" s="371">
        <v>833.33333333333337</v>
      </c>
      <c r="CN39" s="372">
        <v>833.33333333333337</v>
      </c>
      <c r="CO39" s="70" t="s">
        <v>32</v>
      </c>
      <c r="CP39" s="97" t="s">
        <v>26</v>
      </c>
      <c r="CQ39" s="69" t="s">
        <v>27</v>
      </c>
      <c r="CR39" s="280" t="s">
        <v>510</v>
      </c>
      <c r="CS39" s="118">
        <v>1</v>
      </c>
      <c r="CT39" s="119">
        <v>0.7</v>
      </c>
      <c r="CU39" s="120"/>
      <c r="CV39" s="882">
        <v>2.5</v>
      </c>
      <c r="CW39" s="340">
        <v>7.2984177030419799</v>
      </c>
      <c r="CX39" s="345">
        <v>20</v>
      </c>
      <c r="CY39" s="121">
        <v>10.426311004345687</v>
      </c>
      <c r="CZ39" s="122"/>
      <c r="DA39" s="104">
        <v>0.9</v>
      </c>
      <c r="DB39" s="123">
        <v>0.43588989435406728</v>
      </c>
      <c r="DC39" s="949">
        <v>14</v>
      </c>
      <c r="DD39" s="124">
        <v>20</v>
      </c>
      <c r="DE39" s="124">
        <v>20</v>
      </c>
      <c r="DF39" s="125">
        <v>20.908800000000003</v>
      </c>
      <c r="DG39" s="126">
        <v>14</v>
      </c>
      <c r="DH39" s="121">
        <v>20</v>
      </c>
      <c r="DI39" s="127"/>
      <c r="DJ39" s="120"/>
      <c r="DK39" s="122"/>
      <c r="DL39" s="106">
        <v>7.2984177030419799</v>
      </c>
      <c r="DM39" s="107">
        <v>30</v>
      </c>
      <c r="DN39" s="948">
        <v>10</v>
      </c>
      <c r="DO39" s="128">
        <v>3.9</v>
      </c>
      <c r="DP39" s="129">
        <v>0.20699999999999999</v>
      </c>
      <c r="DQ39" s="121">
        <v>4.5999999999999996</v>
      </c>
      <c r="DR39" s="121">
        <v>16.619063999999998</v>
      </c>
      <c r="DS39" s="121">
        <v>1.1364359874151806</v>
      </c>
      <c r="DT39" s="121">
        <v>5.26</v>
      </c>
      <c r="DU39" s="130">
        <v>78</v>
      </c>
      <c r="DV39" s="131"/>
      <c r="DW39" s="131"/>
      <c r="DX39" s="127"/>
      <c r="DY39" s="132"/>
      <c r="DZ39" s="132"/>
      <c r="EA39" s="132"/>
      <c r="EB39" s="132"/>
      <c r="EC39" s="133"/>
      <c r="ED39" s="134" t="s">
        <v>53</v>
      </c>
      <c r="EE39" s="135"/>
      <c r="EF39" s="136">
        <v>30</v>
      </c>
      <c r="EG39" s="393">
        <v>30</v>
      </c>
      <c r="EH39" s="536"/>
      <c r="EI39" s="544">
        <v>30</v>
      </c>
      <c r="EJ39" s="14">
        <v>0</v>
      </c>
      <c r="EK39" s="14"/>
      <c r="EL39" s="14"/>
      <c r="EM39" s="540"/>
      <c r="EN39" s="546"/>
      <c r="EO39" s="11">
        <v>71.736255999999997</v>
      </c>
      <c r="EP39" s="883" t="s">
        <v>79</v>
      </c>
      <c r="EQ39" s="883" t="s">
        <v>187</v>
      </c>
      <c r="ER39" s="883"/>
      <c r="ES39" s="883"/>
      <c r="ET39" s="3" t="s">
        <v>696</v>
      </c>
      <c r="EU39" s="3" t="s">
        <v>697</v>
      </c>
      <c r="EV39" s="3">
        <v>25</v>
      </c>
      <c r="EW39" s="3">
        <v>4</v>
      </c>
      <c r="EX39" s="930">
        <v>10</v>
      </c>
      <c r="EY39" s="3">
        <v>1</v>
      </c>
      <c r="EZ39" s="3">
        <v>10</v>
      </c>
      <c r="FA39" s="3">
        <v>1</v>
      </c>
      <c r="FB39" s="3" t="s">
        <v>623</v>
      </c>
      <c r="FC39" s="3">
        <v>25</v>
      </c>
      <c r="FD39" s="254"/>
      <c r="FE39" s="254"/>
      <c r="FF39" s="884">
        <v>1</v>
      </c>
      <c r="FG39" s="254"/>
      <c r="FH39" s="884"/>
      <c r="FI39" s="254"/>
      <c r="FJ39" s="884"/>
      <c r="FK39" s="3">
        <v>29</v>
      </c>
      <c r="FL39" s="3" t="s">
        <v>698</v>
      </c>
      <c r="FM39" s="3" t="s">
        <v>684</v>
      </c>
      <c r="FN39" s="3" t="s">
        <v>546</v>
      </c>
    </row>
    <row r="40" spans="1:171" s="3" customFormat="1">
      <c r="A40" s="885"/>
      <c r="B40" s="255"/>
      <c r="C40" s="97"/>
      <c r="D40" s="97"/>
      <c r="E40" s="880"/>
      <c r="F40" s="256">
        <v>1</v>
      </c>
      <c r="G40" s="257">
        <v>2</v>
      </c>
      <c r="H40" s="881" t="s">
        <v>48</v>
      </c>
      <c r="I40" s="258" t="s">
        <v>595</v>
      </c>
      <c r="J40" s="259">
        <v>8</v>
      </c>
      <c r="K40" s="260">
        <v>58</v>
      </c>
      <c r="L40" s="260">
        <v>3</v>
      </c>
      <c r="M40" s="261">
        <v>1</v>
      </c>
      <c r="N40" s="261">
        <v>1</v>
      </c>
      <c r="O40" s="262">
        <v>1</v>
      </c>
      <c r="P40" s="263">
        <v>4</v>
      </c>
      <c r="Q40" s="264">
        <v>1</v>
      </c>
      <c r="R40" s="264">
        <v>1</v>
      </c>
      <c r="S40" s="265">
        <v>1</v>
      </c>
      <c r="T40" s="265">
        <v>1</v>
      </c>
      <c r="U40" s="266">
        <v>1</v>
      </c>
      <c r="V40" s="267">
        <v>1</v>
      </c>
      <c r="W40" s="258" t="s">
        <v>311</v>
      </c>
      <c r="X40" s="268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70"/>
      <c r="BB40" s="271">
        <v>0</v>
      </c>
      <c r="BC40" s="272"/>
      <c r="BD40" s="273"/>
      <c r="BE40" s="273"/>
      <c r="BF40" s="273"/>
      <c r="BG40" s="273"/>
      <c r="BH40" s="273"/>
      <c r="BI40" s="274"/>
      <c r="BJ40" s="275"/>
      <c r="BK40" s="276"/>
      <c r="BL40" s="276"/>
      <c r="BM40" s="276"/>
      <c r="BN40" s="276"/>
      <c r="BO40" s="276"/>
      <c r="BP40" s="277"/>
      <c r="BQ40" s="399"/>
      <c r="BR40" s="400"/>
      <c r="BS40" s="401"/>
      <c r="BT40" s="278"/>
      <c r="BU40" s="352"/>
      <c r="BV40" s="279">
        <v>127</v>
      </c>
      <c r="BW40" s="353"/>
      <c r="BX40" s="934" t="s">
        <v>120</v>
      </c>
      <c r="BY40" s="552"/>
      <c r="BZ40" s="552"/>
      <c r="CA40" s="941" t="s">
        <v>120</v>
      </c>
      <c r="CB40" s="553"/>
      <c r="CC40" s="330"/>
      <c r="CD40" s="554"/>
      <c r="CE40" s="554"/>
      <c r="CF40" s="513"/>
      <c r="CG40" s="555"/>
      <c r="CH40" s="556"/>
      <c r="CI40" s="379" t="s">
        <v>509</v>
      </c>
      <c r="CJ40" s="380" t="s">
        <v>509</v>
      </c>
      <c r="CK40" s="381" t="s">
        <v>509</v>
      </c>
      <c r="CL40" s="370" t="s">
        <v>509</v>
      </c>
      <c r="CM40" s="371" t="s">
        <v>509</v>
      </c>
      <c r="CN40" s="372" t="s">
        <v>509</v>
      </c>
      <c r="CO40" s="70" t="s">
        <v>509</v>
      </c>
      <c r="CP40" s="97" t="s">
        <v>509</v>
      </c>
      <c r="CQ40" s="69" t="s">
        <v>509</v>
      </c>
      <c r="CR40" s="280" t="s">
        <v>27</v>
      </c>
      <c r="CS40" s="118">
        <v>1</v>
      </c>
      <c r="CT40" s="119">
        <v>0.7</v>
      </c>
      <c r="CU40" s="120"/>
      <c r="CV40" s="882">
        <v>0</v>
      </c>
      <c r="CW40" s="340"/>
      <c r="CX40" s="345"/>
      <c r="CY40" s="121"/>
      <c r="CZ40" s="122"/>
      <c r="DA40" s="104">
        <v>0.9</v>
      </c>
      <c r="DB40" s="123">
        <v>0.43588989435406728</v>
      </c>
      <c r="DC40" s="949" t="s">
        <v>120</v>
      </c>
      <c r="DD40" s="124"/>
      <c r="DE40" s="124"/>
      <c r="DF40" s="125"/>
      <c r="DG40" s="126"/>
      <c r="DH40" s="121"/>
      <c r="DI40" s="127"/>
      <c r="DJ40" s="120"/>
      <c r="DK40" s="122"/>
      <c r="DL40" s="106"/>
      <c r="DM40" s="107" t="e">
        <v>#VALUE!</v>
      </c>
      <c r="DN40" s="948" t="s">
        <v>120</v>
      </c>
      <c r="DO40" s="128"/>
      <c r="DP40" s="129"/>
      <c r="DQ40" s="121"/>
      <c r="DR40" s="121"/>
      <c r="DS40" s="121"/>
      <c r="DT40" s="121"/>
      <c r="DU40" s="130"/>
      <c r="DV40" s="131"/>
      <c r="DW40" s="131"/>
      <c r="DX40" s="127"/>
      <c r="DY40" s="132"/>
      <c r="DZ40" s="132"/>
      <c r="EA40" s="132"/>
      <c r="EB40" s="132"/>
      <c r="EC40" s="133"/>
      <c r="ED40" s="134"/>
      <c r="EE40" s="135"/>
      <c r="EF40" s="136" t="e">
        <v>#VALUE!</v>
      </c>
      <c r="EG40" s="393" t="e">
        <v>#VALUE!</v>
      </c>
      <c r="EH40" s="536"/>
      <c r="EI40" s="544">
        <v>30</v>
      </c>
      <c r="EJ40" s="14"/>
      <c r="EK40" s="14"/>
      <c r="EL40" s="14"/>
      <c r="EM40" s="540"/>
      <c r="EN40" s="546"/>
      <c r="EO40" s="11"/>
      <c r="EP40" s="883" t="s">
        <v>79</v>
      </c>
      <c r="EQ40" s="883"/>
      <c r="ER40" s="883"/>
      <c r="ES40" s="883"/>
      <c r="EX40" s="930"/>
      <c r="FC40" s="3">
        <v>0</v>
      </c>
      <c r="FD40" s="254"/>
      <c r="FE40" s="254"/>
      <c r="FF40" s="884">
        <v>1</v>
      </c>
      <c r="FG40" s="254"/>
      <c r="FH40" s="884"/>
      <c r="FI40" s="254"/>
      <c r="FJ40" s="884"/>
      <c r="FK40" s="3">
        <v>0</v>
      </c>
    </row>
    <row r="41" spans="1:171" s="3" customFormat="1">
      <c r="A41" s="885"/>
      <c r="B41" s="255"/>
      <c r="C41" s="97"/>
      <c r="D41" s="97"/>
      <c r="E41" s="880"/>
      <c r="F41" s="256">
        <v>1</v>
      </c>
      <c r="G41" s="257">
        <v>2</v>
      </c>
      <c r="H41" s="881" t="s">
        <v>48</v>
      </c>
      <c r="I41" s="258" t="s">
        <v>595</v>
      </c>
      <c r="J41" s="259">
        <v>8</v>
      </c>
      <c r="K41" s="260">
        <v>61</v>
      </c>
      <c r="L41" s="260">
        <v>3</v>
      </c>
      <c r="M41" s="261">
        <v>1</v>
      </c>
      <c r="N41" s="261">
        <v>1</v>
      </c>
      <c r="O41" s="262">
        <v>1</v>
      </c>
      <c r="P41" s="263">
        <v>4</v>
      </c>
      <c r="Q41" s="264">
        <v>1</v>
      </c>
      <c r="R41" s="264">
        <v>1</v>
      </c>
      <c r="S41" s="265">
        <v>1</v>
      </c>
      <c r="T41" s="265">
        <v>1</v>
      </c>
      <c r="U41" s="266">
        <v>1</v>
      </c>
      <c r="V41" s="267">
        <v>1</v>
      </c>
      <c r="W41" s="258" t="s">
        <v>311</v>
      </c>
      <c r="X41" s="268"/>
      <c r="Y41" s="269"/>
      <c r="Z41" s="269"/>
      <c r="AA41" s="269"/>
      <c r="AB41" s="269"/>
      <c r="AC41" s="269"/>
      <c r="AD41" s="269"/>
      <c r="AE41" s="269"/>
      <c r="AF41" s="269"/>
      <c r="AG41" s="269"/>
      <c r="AH41" s="269"/>
      <c r="AI41" s="269"/>
      <c r="AJ41" s="269"/>
      <c r="AK41" s="269"/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70"/>
      <c r="BB41" s="271">
        <v>0</v>
      </c>
      <c r="BC41" s="272"/>
      <c r="BD41" s="273"/>
      <c r="BE41" s="273"/>
      <c r="BF41" s="273"/>
      <c r="BG41" s="273"/>
      <c r="BH41" s="273"/>
      <c r="BI41" s="274"/>
      <c r="BJ41" s="275"/>
      <c r="BK41" s="276"/>
      <c r="BL41" s="276"/>
      <c r="BM41" s="276"/>
      <c r="BN41" s="276"/>
      <c r="BO41" s="276"/>
      <c r="BP41" s="277"/>
      <c r="BQ41" s="399"/>
      <c r="BR41" s="400"/>
      <c r="BS41" s="401"/>
      <c r="BT41" s="278"/>
      <c r="BU41" s="352"/>
      <c r="BV41" s="279">
        <v>127</v>
      </c>
      <c r="BW41" s="353"/>
      <c r="BX41" s="934" t="s">
        <v>120</v>
      </c>
      <c r="BY41" s="552"/>
      <c r="BZ41" s="552"/>
      <c r="CA41" s="941" t="s">
        <v>120</v>
      </c>
      <c r="CB41" s="553"/>
      <c r="CC41" s="330"/>
      <c r="CD41" s="554"/>
      <c r="CE41" s="554"/>
      <c r="CF41" s="513"/>
      <c r="CG41" s="555"/>
      <c r="CH41" s="556"/>
      <c r="CI41" s="379" t="s">
        <v>509</v>
      </c>
      <c r="CJ41" s="380" t="s">
        <v>509</v>
      </c>
      <c r="CK41" s="381" t="s">
        <v>509</v>
      </c>
      <c r="CL41" s="370" t="s">
        <v>509</v>
      </c>
      <c r="CM41" s="371" t="s">
        <v>509</v>
      </c>
      <c r="CN41" s="372" t="s">
        <v>509</v>
      </c>
      <c r="CO41" s="70" t="s">
        <v>509</v>
      </c>
      <c r="CP41" s="97" t="s">
        <v>509</v>
      </c>
      <c r="CQ41" s="69" t="s">
        <v>509</v>
      </c>
      <c r="CR41" s="280" t="s">
        <v>27</v>
      </c>
      <c r="CS41" s="118">
        <v>1</v>
      </c>
      <c r="CT41" s="119">
        <v>0.7</v>
      </c>
      <c r="CU41" s="120"/>
      <c r="CV41" s="882">
        <v>0</v>
      </c>
      <c r="CW41" s="340"/>
      <c r="CX41" s="345"/>
      <c r="CY41" s="121"/>
      <c r="CZ41" s="122"/>
      <c r="DA41" s="104">
        <v>0.9</v>
      </c>
      <c r="DB41" s="123">
        <v>0.43588989435406728</v>
      </c>
      <c r="DC41" s="949" t="s">
        <v>120</v>
      </c>
      <c r="DD41" s="124"/>
      <c r="DE41" s="124"/>
      <c r="DF41" s="125"/>
      <c r="DG41" s="126"/>
      <c r="DH41" s="121"/>
      <c r="DI41" s="127"/>
      <c r="DJ41" s="120"/>
      <c r="DK41" s="122"/>
      <c r="DL41" s="106"/>
      <c r="DM41" s="107" t="e">
        <v>#VALUE!</v>
      </c>
      <c r="DN41" s="948" t="s">
        <v>120</v>
      </c>
      <c r="DO41" s="128"/>
      <c r="DP41" s="129"/>
      <c r="DQ41" s="121"/>
      <c r="DR41" s="121"/>
      <c r="DS41" s="121"/>
      <c r="DT41" s="121"/>
      <c r="DU41" s="130"/>
      <c r="DV41" s="131"/>
      <c r="DW41" s="131"/>
      <c r="DX41" s="127"/>
      <c r="DY41" s="132"/>
      <c r="DZ41" s="132"/>
      <c r="EA41" s="132"/>
      <c r="EB41" s="132"/>
      <c r="EC41" s="133"/>
      <c r="ED41" s="134"/>
      <c r="EE41" s="135"/>
      <c r="EF41" s="136" t="e">
        <v>#VALUE!</v>
      </c>
      <c r="EG41" s="393" t="e">
        <v>#VALUE!</v>
      </c>
      <c r="EH41" s="536"/>
      <c r="EI41" s="544">
        <v>30</v>
      </c>
      <c r="EJ41" s="14"/>
      <c r="EK41" s="14"/>
      <c r="EL41" s="14"/>
      <c r="EM41" s="540"/>
      <c r="EN41" s="546"/>
      <c r="EO41" s="11"/>
      <c r="EP41" s="883" t="s">
        <v>79</v>
      </c>
      <c r="EQ41" s="883"/>
      <c r="ER41" s="883"/>
      <c r="ES41" s="883"/>
      <c r="FC41" s="3">
        <v>0</v>
      </c>
      <c r="FD41" s="254"/>
      <c r="FE41" s="254"/>
      <c r="FF41" s="884">
        <v>1</v>
      </c>
      <c r="FG41" s="254"/>
      <c r="FH41" s="884"/>
      <c r="FI41" s="254"/>
      <c r="FJ41" s="884"/>
      <c r="FK41" s="3">
        <v>0</v>
      </c>
    </row>
    <row r="42" spans="1:171" s="3" customFormat="1">
      <c r="A42" s="885"/>
      <c r="B42" s="255"/>
      <c r="C42" s="97"/>
      <c r="D42" s="97"/>
      <c r="E42" s="880"/>
      <c r="F42" s="256">
        <v>1</v>
      </c>
      <c r="G42" s="257">
        <v>2</v>
      </c>
      <c r="H42" s="881" t="s">
        <v>48</v>
      </c>
      <c r="I42" s="258" t="s">
        <v>595</v>
      </c>
      <c r="J42" s="259">
        <v>8</v>
      </c>
      <c r="K42" s="260">
        <v>64</v>
      </c>
      <c r="L42" s="260">
        <v>3</v>
      </c>
      <c r="M42" s="261">
        <v>1</v>
      </c>
      <c r="N42" s="261">
        <v>1</v>
      </c>
      <c r="O42" s="262">
        <v>1</v>
      </c>
      <c r="P42" s="263">
        <v>4</v>
      </c>
      <c r="Q42" s="264">
        <v>1</v>
      </c>
      <c r="R42" s="264">
        <v>1</v>
      </c>
      <c r="S42" s="265">
        <v>1</v>
      </c>
      <c r="T42" s="265">
        <v>1</v>
      </c>
      <c r="U42" s="266">
        <v>1</v>
      </c>
      <c r="V42" s="267">
        <v>1</v>
      </c>
      <c r="W42" s="258" t="s">
        <v>311</v>
      </c>
      <c r="X42" s="268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70"/>
      <c r="BB42" s="271">
        <v>0</v>
      </c>
      <c r="BC42" s="272"/>
      <c r="BD42" s="273"/>
      <c r="BE42" s="273"/>
      <c r="BF42" s="273"/>
      <c r="BG42" s="273"/>
      <c r="BH42" s="273"/>
      <c r="BI42" s="274"/>
      <c r="BJ42" s="275"/>
      <c r="BK42" s="276"/>
      <c r="BL42" s="276"/>
      <c r="BM42" s="276"/>
      <c r="BN42" s="276"/>
      <c r="BO42" s="276"/>
      <c r="BP42" s="277"/>
      <c r="BQ42" s="399"/>
      <c r="BR42" s="400"/>
      <c r="BS42" s="401"/>
      <c r="BT42" s="278"/>
      <c r="BU42" s="352"/>
      <c r="BV42" s="279">
        <v>127</v>
      </c>
      <c r="BW42" s="353"/>
      <c r="BX42" s="934" t="s">
        <v>120</v>
      </c>
      <c r="BY42" s="552"/>
      <c r="BZ42" s="552"/>
      <c r="CA42" s="941" t="s">
        <v>120</v>
      </c>
      <c r="CB42" s="553"/>
      <c r="CC42" s="330"/>
      <c r="CD42" s="554"/>
      <c r="CE42" s="554"/>
      <c r="CF42" s="513"/>
      <c r="CG42" s="555"/>
      <c r="CH42" s="556"/>
      <c r="CI42" s="379" t="s">
        <v>509</v>
      </c>
      <c r="CJ42" s="380" t="s">
        <v>509</v>
      </c>
      <c r="CK42" s="381" t="s">
        <v>509</v>
      </c>
      <c r="CL42" s="370" t="s">
        <v>509</v>
      </c>
      <c r="CM42" s="371" t="s">
        <v>509</v>
      </c>
      <c r="CN42" s="372" t="s">
        <v>509</v>
      </c>
      <c r="CO42" s="70" t="s">
        <v>509</v>
      </c>
      <c r="CP42" s="97" t="s">
        <v>509</v>
      </c>
      <c r="CQ42" s="69" t="s">
        <v>509</v>
      </c>
      <c r="CR42" s="280" t="s">
        <v>27</v>
      </c>
      <c r="CS42" s="118">
        <v>1</v>
      </c>
      <c r="CT42" s="119">
        <v>0.7</v>
      </c>
      <c r="CU42" s="120"/>
      <c r="CV42" s="882">
        <v>0</v>
      </c>
      <c r="CW42" s="340"/>
      <c r="CX42" s="345"/>
      <c r="CY42" s="121"/>
      <c r="CZ42" s="122"/>
      <c r="DA42" s="104">
        <v>0.9</v>
      </c>
      <c r="DB42" s="123">
        <v>0.43588989435406728</v>
      </c>
      <c r="DC42" s="949" t="s">
        <v>120</v>
      </c>
      <c r="DD42" s="124"/>
      <c r="DE42" s="124"/>
      <c r="DF42" s="125"/>
      <c r="DG42" s="126"/>
      <c r="DH42" s="121"/>
      <c r="DI42" s="127"/>
      <c r="DJ42" s="120"/>
      <c r="DK42" s="122"/>
      <c r="DL42" s="106"/>
      <c r="DM42" s="107" t="e">
        <v>#VALUE!</v>
      </c>
      <c r="DN42" s="948" t="s">
        <v>120</v>
      </c>
      <c r="DO42" s="128"/>
      <c r="DP42" s="129"/>
      <c r="DQ42" s="121"/>
      <c r="DR42" s="121"/>
      <c r="DS42" s="121"/>
      <c r="DT42" s="121"/>
      <c r="DU42" s="130"/>
      <c r="DV42" s="131"/>
      <c r="DW42" s="131"/>
      <c r="DX42" s="127"/>
      <c r="DY42" s="132"/>
      <c r="DZ42" s="132"/>
      <c r="EA42" s="132"/>
      <c r="EB42" s="132"/>
      <c r="EC42" s="133"/>
      <c r="ED42" s="134"/>
      <c r="EE42" s="135"/>
      <c r="EF42" s="136" t="e">
        <v>#VALUE!</v>
      </c>
      <c r="EG42" s="393" t="e">
        <v>#VALUE!</v>
      </c>
      <c r="EH42" s="536"/>
      <c r="EI42" s="544">
        <v>30</v>
      </c>
      <c r="EJ42" s="14"/>
      <c r="EK42" s="14"/>
      <c r="EL42" s="14"/>
      <c r="EM42" s="540"/>
      <c r="EN42" s="546"/>
      <c r="EO42" s="11"/>
      <c r="EP42" s="883" t="s">
        <v>79</v>
      </c>
      <c r="EQ42" s="883"/>
      <c r="ER42" s="254"/>
      <c r="ES42" s="254"/>
      <c r="FC42" s="3">
        <v>0</v>
      </c>
      <c r="FD42" s="254"/>
      <c r="FE42" s="254"/>
      <c r="FF42" s="884">
        <v>1</v>
      </c>
      <c r="FG42" s="254"/>
      <c r="FH42" s="884"/>
      <c r="FI42" s="254"/>
      <c r="FJ42" s="884"/>
      <c r="FK42" s="3">
        <v>0</v>
      </c>
    </row>
    <row r="43" spans="1:171" s="3" customFormat="1">
      <c r="A43" s="885"/>
      <c r="B43" s="255"/>
      <c r="C43" s="97"/>
      <c r="D43" s="97"/>
      <c r="E43" s="880"/>
      <c r="F43" s="256">
        <v>1</v>
      </c>
      <c r="G43" s="257">
        <v>2</v>
      </c>
      <c r="H43" s="881" t="s">
        <v>48</v>
      </c>
      <c r="I43" s="258" t="s">
        <v>595</v>
      </c>
      <c r="J43" s="259">
        <v>8</v>
      </c>
      <c r="K43" s="260">
        <v>67</v>
      </c>
      <c r="L43" s="260">
        <v>3</v>
      </c>
      <c r="M43" s="261">
        <v>1</v>
      </c>
      <c r="N43" s="261">
        <v>1</v>
      </c>
      <c r="O43" s="262">
        <v>1</v>
      </c>
      <c r="P43" s="263">
        <v>4</v>
      </c>
      <c r="Q43" s="264">
        <v>1</v>
      </c>
      <c r="R43" s="264">
        <v>1</v>
      </c>
      <c r="S43" s="265">
        <v>1</v>
      </c>
      <c r="T43" s="265">
        <v>1</v>
      </c>
      <c r="U43" s="266">
        <v>1</v>
      </c>
      <c r="V43" s="267">
        <v>1</v>
      </c>
      <c r="W43" s="258" t="s">
        <v>311</v>
      </c>
      <c r="X43" s="268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269"/>
      <c r="AK43" s="269"/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70"/>
      <c r="BB43" s="271">
        <v>0</v>
      </c>
      <c r="BC43" s="272"/>
      <c r="BD43" s="273"/>
      <c r="BE43" s="273"/>
      <c r="BF43" s="273"/>
      <c r="BG43" s="273"/>
      <c r="BH43" s="273"/>
      <c r="BI43" s="274"/>
      <c r="BJ43" s="275"/>
      <c r="BK43" s="276"/>
      <c r="BL43" s="276"/>
      <c r="BM43" s="276"/>
      <c r="BN43" s="276"/>
      <c r="BO43" s="276"/>
      <c r="BP43" s="277"/>
      <c r="BQ43" s="399"/>
      <c r="BR43" s="400"/>
      <c r="BS43" s="401"/>
      <c r="BT43" s="278"/>
      <c r="BU43" s="352"/>
      <c r="BV43" s="279">
        <v>127</v>
      </c>
      <c r="BW43" s="353"/>
      <c r="BX43" s="934" t="s">
        <v>120</v>
      </c>
      <c r="BY43" s="552"/>
      <c r="BZ43" s="552"/>
      <c r="CA43" s="941" t="s">
        <v>120</v>
      </c>
      <c r="CB43" s="553"/>
      <c r="CC43" s="330"/>
      <c r="CD43" s="554"/>
      <c r="CE43" s="554"/>
      <c r="CF43" s="513"/>
      <c r="CG43" s="555"/>
      <c r="CH43" s="556"/>
      <c r="CI43" s="379" t="s">
        <v>509</v>
      </c>
      <c r="CJ43" s="380" t="s">
        <v>509</v>
      </c>
      <c r="CK43" s="381" t="s">
        <v>509</v>
      </c>
      <c r="CL43" s="370" t="s">
        <v>509</v>
      </c>
      <c r="CM43" s="371" t="s">
        <v>509</v>
      </c>
      <c r="CN43" s="372" t="s">
        <v>509</v>
      </c>
      <c r="CO43" s="70" t="s">
        <v>509</v>
      </c>
      <c r="CP43" s="97" t="s">
        <v>509</v>
      </c>
      <c r="CQ43" s="69" t="s">
        <v>509</v>
      </c>
      <c r="CR43" s="280" t="s">
        <v>27</v>
      </c>
      <c r="CS43" s="118">
        <v>1</v>
      </c>
      <c r="CT43" s="119">
        <v>0.7</v>
      </c>
      <c r="CU43" s="120"/>
      <c r="CV43" s="882">
        <v>0</v>
      </c>
      <c r="CW43" s="340"/>
      <c r="CX43" s="345"/>
      <c r="CY43" s="121"/>
      <c r="CZ43" s="122"/>
      <c r="DA43" s="104">
        <v>0.9</v>
      </c>
      <c r="DB43" s="123">
        <v>0.43588989435406728</v>
      </c>
      <c r="DC43" s="949" t="s">
        <v>120</v>
      </c>
      <c r="DD43" s="124"/>
      <c r="DE43" s="124"/>
      <c r="DF43" s="125"/>
      <c r="DG43" s="126"/>
      <c r="DH43" s="121"/>
      <c r="DI43" s="127"/>
      <c r="DJ43" s="120"/>
      <c r="DK43" s="122"/>
      <c r="DL43" s="106"/>
      <c r="DM43" s="107" t="e">
        <v>#VALUE!</v>
      </c>
      <c r="DN43" s="948" t="s">
        <v>120</v>
      </c>
      <c r="DO43" s="128"/>
      <c r="DP43" s="129"/>
      <c r="DQ43" s="121"/>
      <c r="DR43" s="121"/>
      <c r="DS43" s="121"/>
      <c r="DT43" s="121"/>
      <c r="DU43" s="130"/>
      <c r="DV43" s="131"/>
      <c r="DW43" s="131"/>
      <c r="DX43" s="127"/>
      <c r="DY43" s="132"/>
      <c r="DZ43" s="132"/>
      <c r="EA43" s="132"/>
      <c r="EB43" s="132"/>
      <c r="EC43" s="133"/>
      <c r="ED43" s="134"/>
      <c r="EE43" s="135"/>
      <c r="EF43" s="136" t="e">
        <v>#VALUE!</v>
      </c>
      <c r="EG43" s="393" t="e">
        <v>#VALUE!</v>
      </c>
      <c r="EH43" s="536"/>
      <c r="EI43" s="544">
        <v>30</v>
      </c>
      <c r="EJ43" s="14"/>
      <c r="EK43" s="14"/>
      <c r="EL43" s="14"/>
      <c r="EM43" s="540"/>
      <c r="EN43" s="546"/>
      <c r="EO43" s="11"/>
      <c r="EP43" s="883" t="s">
        <v>79</v>
      </c>
      <c r="EQ43" s="883"/>
      <c r="ER43" s="254"/>
      <c r="ES43" s="254"/>
      <c r="FC43" s="3">
        <v>0</v>
      </c>
      <c r="FD43" s="254"/>
      <c r="FE43" s="254"/>
      <c r="FF43" s="884">
        <v>1</v>
      </c>
      <c r="FG43" s="254"/>
      <c r="FH43" s="884"/>
      <c r="FI43" s="254"/>
      <c r="FJ43" s="884"/>
      <c r="FK43" s="3">
        <v>0</v>
      </c>
    </row>
    <row r="44" spans="1:171" s="3" customFormat="1">
      <c r="A44" s="885"/>
      <c r="B44" s="255"/>
      <c r="C44" s="97"/>
      <c r="D44" s="97"/>
      <c r="E44" s="880"/>
      <c r="F44" s="256">
        <v>1</v>
      </c>
      <c r="G44" s="257">
        <v>2</v>
      </c>
      <c r="H44" s="881" t="s">
        <v>48</v>
      </c>
      <c r="I44" s="258" t="s">
        <v>595</v>
      </c>
      <c r="J44" s="259">
        <v>8</v>
      </c>
      <c r="K44" s="260">
        <v>70</v>
      </c>
      <c r="L44" s="260">
        <v>3</v>
      </c>
      <c r="M44" s="261">
        <v>1</v>
      </c>
      <c r="N44" s="261">
        <v>1</v>
      </c>
      <c r="O44" s="262">
        <v>1</v>
      </c>
      <c r="P44" s="263">
        <v>4</v>
      </c>
      <c r="Q44" s="264">
        <v>1</v>
      </c>
      <c r="R44" s="264">
        <v>1</v>
      </c>
      <c r="S44" s="265">
        <v>1</v>
      </c>
      <c r="T44" s="265">
        <v>1</v>
      </c>
      <c r="U44" s="266">
        <v>1</v>
      </c>
      <c r="V44" s="267">
        <v>1</v>
      </c>
      <c r="W44" s="258" t="s">
        <v>311</v>
      </c>
      <c r="X44" s="268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70"/>
      <c r="BB44" s="271">
        <v>0</v>
      </c>
      <c r="BC44" s="272"/>
      <c r="BD44" s="273"/>
      <c r="BE44" s="273"/>
      <c r="BF44" s="273"/>
      <c r="BG44" s="273"/>
      <c r="BH44" s="273"/>
      <c r="BI44" s="274"/>
      <c r="BJ44" s="275"/>
      <c r="BK44" s="276"/>
      <c r="BL44" s="276"/>
      <c r="BM44" s="276"/>
      <c r="BN44" s="276"/>
      <c r="BO44" s="276"/>
      <c r="BP44" s="277"/>
      <c r="BQ44" s="399"/>
      <c r="BR44" s="400"/>
      <c r="BS44" s="401"/>
      <c r="BT44" s="278"/>
      <c r="BU44" s="352"/>
      <c r="BV44" s="279">
        <v>127</v>
      </c>
      <c r="BW44" s="353"/>
      <c r="BX44" s="934" t="s">
        <v>120</v>
      </c>
      <c r="BY44" s="552"/>
      <c r="BZ44" s="552"/>
      <c r="CA44" s="941" t="s">
        <v>120</v>
      </c>
      <c r="CB44" s="553"/>
      <c r="CC44" s="330"/>
      <c r="CD44" s="554"/>
      <c r="CE44" s="554"/>
      <c r="CF44" s="513"/>
      <c r="CG44" s="555"/>
      <c r="CH44" s="556"/>
      <c r="CI44" s="379" t="s">
        <v>509</v>
      </c>
      <c r="CJ44" s="380" t="s">
        <v>509</v>
      </c>
      <c r="CK44" s="381" t="s">
        <v>509</v>
      </c>
      <c r="CL44" s="370" t="s">
        <v>509</v>
      </c>
      <c r="CM44" s="371" t="s">
        <v>509</v>
      </c>
      <c r="CN44" s="372" t="s">
        <v>509</v>
      </c>
      <c r="CO44" s="70" t="s">
        <v>509</v>
      </c>
      <c r="CP44" s="97" t="s">
        <v>509</v>
      </c>
      <c r="CQ44" s="69" t="s">
        <v>509</v>
      </c>
      <c r="CR44" s="280" t="s">
        <v>27</v>
      </c>
      <c r="CS44" s="118">
        <v>1</v>
      </c>
      <c r="CT44" s="119">
        <v>0.7</v>
      </c>
      <c r="CU44" s="120"/>
      <c r="CV44" s="882">
        <v>0</v>
      </c>
      <c r="CW44" s="340"/>
      <c r="CX44" s="345"/>
      <c r="CY44" s="121"/>
      <c r="CZ44" s="122"/>
      <c r="DA44" s="104">
        <v>0.9</v>
      </c>
      <c r="DB44" s="123">
        <v>0.43588989435406728</v>
      </c>
      <c r="DC44" s="949" t="s">
        <v>120</v>
      </c>
      <c r="DD44" s="124"/>
      <c r="DE44" s="124"/>
      <c r="DF44" s="125"/>
      <c r="DG44" s="126"/>
      <c r="DH44" s="121"/>
      <c r="DI44" s="127"/>
      <c r="DJ44" s="120"/>
      <c r="DK44" s="122"/>
      <c r="DL44" s="106"/>
      <c r="DM44" s="107" t="e">
        <v>#VALUE!</v>
      </c>
      <c r="DN44" s="948" t="s">
        <v>120</v>
      </c>
      <c r="DO44" s="128"/>
      <c r="DP44" s="129"/>
      <c r="DQ44" s="121"/>
      <c r="DR44" s="121"/>
      <c r="DS44" s="121"/>
      <c r="DT44" s="121"/>
      <c r="DU44" s="130"/>
      <c r="DV44" s="131"/>
      <c r="DW44" s="131"/>
      <c r="DX44" s="127"/>
      <c r="DY44" s="132"/>
      <c r="DZ44" s="132"/>
      <c r="EA44" s="132"/>
      <c r="EB44" s="132"/>
      <c r="EC44" s="133"/>
      <c r="ED44" s="134"/>
      <c r="EE44" s="135"/>
      <c r="EF44" s="136" t="e">
        <v>#VALUE!</v>
      </c>
      <c r="EG44" s="393" t="e">
        <v>#VALUE!</v>
      </c>
      <c r="EH44" s="536"/>
      <c r="EI44" s="544">
        <v>30</v>
      </c>
      <c r="EJ44" s="14"/>
      <c r="EK44" s="14"/>
      <c r="EL44" s="14"/>
      <c r="EM44" s="540"/>
      <c r="EN44" s="546"/>
      <c r="EO44" s="11"/>
      <c r="EP44" s="883" t="s">
        <v>79</v>
      </c>
      <c r="EQ44" s="883"/>
      <c r="ER44" s="254"/>
      <c r="ES44" s="254"/>
      <c r="FC44" s="3">
        <v>0</v>
      </c>
      <c r="FD44" s="254"/>
      <c r="FE44" s="254"/>
      <c r="FF44" s="884">
        <v>1</v>
      </c>
      <c r="FG44" s="254"/>
      <c r="FH44" s="884"/>
      <c r="FI44" s="254"/>
      <c r="FJ44" s="884"/>
      <c r="FK44" s="3">
        <v>0</v>
      </c>
    </row>
    <row r="45" spans="1:171" s="3" customFormat="1">
      <c r="A45" s="885"/>
      <c r="B45" s="255"/>
      <c r="C45" s="97"/>
      <c r="D45" s="97"/>
      <c r="E45" s="880"/>
      <c r="F45" s="256">
        <v>1</v>
      </c>
      <c r="G45" s="257">
        <v>2</v>
      </c>
      <c r="H45" s="881" t="s">
        <v>48</v>
      </c>
      <c r="I45" s="258" t="s">
        <v>595</v>
      </c>
      <c r="J45" s="259">
        <v>8</v>
      </c>
      <c r="K45" s="260">
        <v>73</v>
      </c>
      <c r="L45" s="260">
        <v>3</v>
      </c>
      <c r="M45" s="261">
        <v>1</v>
      </c>
      <c r="N45" s="261">
        <v>1</v>
      </c>
      <c r="O45" s="262">
        <v>1</v>
      </c>
      <c r="P45" s="263">
        <v>4</v>
      </c>
      <c r="Q45" s="264">
        <v>1</v>
      </c>
      <c r="R45" s="264">
        <v>1</v>
      </c>
      <c r="S45" s="265">
        <v>1</v>
      </c>
      <c r="T45" s="265">
        <v>1</v>
      </c>
      <c r="U45" s="266">
        <v>1</v>
      </c>
      <c r="V45" s="267">
        <v>1</v>
      </c>
      <c r="W45" s="258" t="s">
        <v>311</v>
      </c>
      <c r="X45" s="268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  <c r="AJ45" s="269"/>
      <c r="AK45" s="269"/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70"/>
      <c r="BB45" s="271">
        <v>0</v>
      </c>
      <c r="BC45" s="272"/>
      <c r="BD45" s="273"/>
      <c r="BE45" s="273"/>
      <c r="BF45" s="273"/>
      <c r="BG45" s="273"/>
      <c r="BH45" s="273"/>
      <c r="BI45" s="274"/>
      <c r="BJ45" s="275"/>
      <c r="BK45" s="276"/>
      <c r="BL45" s="276"/>
      <c r="BM45" s="276"/>
      <c r="BN45" s="276"/>
      <c r="BO45" s="276"/>
      <c r="BP45" s="277"/>
      <c r="BQ45" s="399"/>
      <c r="BR45" s="400"/>
      <c r="BS45" s="401"/>
      <c r="BT45" s="278"/>
      <c r="BU45" s="352"/>
      <c r="BV45" s="279">
        <v>127</v>
      </c>
      <c r="BW45" s="353"/>
      <c r="BX45" s="934" t="s">
        <v>120</v>
      </c>
      <c r="BY45" s="552"/>
      <c r="BZ45" s="552"/>
      <c r="CA45" s="941" t="s">
        <v>120</v>
      </c>
      <c r="CB45" s="553"/>
      <c r="CC45" s="330"/>
      <c r="CD45" s="554"/>
      <c r="CE45" s="554"/>
      <c r="CF45" s="513"/>
      <c r="CG45" s="555"/>
      <c r="CH45" s="556"/>
      <c r="CI45" s="379" t="s">
        <v>509</v>
      </c>
      <c r="CJ45" s="380" t="s">
        <v>509</v>
      </c>
      <c r="CK45" s="381" t="s">
        <v>509</v>
      </c>
      <c r="CL45" s="370" t="s">
        <v>509</v>
      </c>
      <c r="CM45" s="371" t="s">
        <v>509</v>
      </c>
      <c r="CN45" s="372" t="s">
        <v>509</v>
      </c>
      <c r="CO45" s="70" t="s">
        <v>509</v>
      </c>
      <c r="CP45" s="97" t="s">
        <v>509</v>
      </c>
      <c r="CQ45" s="69" t="s">
        <v>509</v>
      </c>
      <c r="CR45" s="280" t="s">
        <v>27</v>
      </c>
      <c r="CS45" s="118">
        <v>1</v>
      </c>
      <c r="CT45" s="119">
        <v>0.7</v>
      </c>
      <c r="CU45" s="120"/>
      <c r="CV45" s="882">
        <v>0</v>
      </c>
      <c r="CW45" s="340"/>
      <c r="CX45" s="345"/>
      <c r="CY45" s="121"/>
      <c r="CZ45" s="122"/>
      <c r="DA45" s="104">
        <v>0.9</v>
      </c>
      <c r="DB45" s="123">
        <v>0.43588989435406728</v>
      </c>
      <c r="DC45" s="949" t="s">
        <v>120</v>
      </c>
      <c r="DD45" s="124"/>
      <c r="DE45" s="124"/>
      <c r="DF45" s="125"/>
      <c r="DG45" s="126"/>
      <c r="DH45" s="121"/>
      <c r="DI45" s="127"/>
      <c r="DJ45" s="120"/>
      <c r="DK45" s="122"/>
      <c r="DL45" s="106"/>
      <c r="DM45" s="107" t="e">
        <v>#VALUE!</v>
      </c>
      <c r="DN45" s="948" t="s">
        <v>120</v>
      </c>
      <c r="DO45" s="128"/>
      <c r="DP45" s="129"/>
      <c r="DQ45" s="121"/>
      <c r="DR45" s="121"/>
      <c r="DS45" s="121"/>
      <c r="DT45" s="121"/>
      <c r="DU45" s="130"/>
      <c r="DV45" s="131"/>
      <c r="DW45" s="131"/>
      <c r="DX45" s="127"/>
      <c r="DY45" s="132"/>
      <c r="DZ45" s="132"/>
      <c r="EA45" s="132"/>
      <c r="EB45" s="132"/>
      <c r="EC45" s="133"/>
      <c r="ED45" s="134"/>
      <c r="EE45" s="135"/>
      <c r="EF45" s="136" t="e">
        <v>#VALUE!</v>
      </c>
      <c r="EG45" s="393" t="e">
        <v>#VALUE!</v>
      </c>
      <c r="EH45" s="536"/>
      <c r="EI45" s="544">
        <v>30</v>
      </c>
      <c r="EJ45" s="14"/>
      <c r="EK45" s="14"/>
      <c r="EL45" s="14"/>
      <c r="EM45" s="540"/>
      <c r="EN45" s="546"/>
      <c r="EO45" s="11"/>
      <c r="EP45" s="883" t="s">
        <v>79</v>
      </c>
      <c r="EQ45" s="883"/>
      <c r="ER45" s="254"/>
      <c r="ES45" s="254"/>
      <c r="FC45" s="3">
        <v>0</v>
      </c>
      <c r="FD45" s="254"/>
      <c r="FE45" s="254"/>
      <c r="FF45" s="884">
        <v>1</v>
      </c>
      <c r="FG45" s="254"/>
      <c r="FH45" s="884"/>
      <c r="FI45" s="254"/>
      <c r="FJ45" s="884"/>
      <c r="FK45" s="3">
        <v>0</v>
      </c>
    </row>
    <row r="46" spans="1:171" s="3" customFormat="1">
      <c r="A46" s="885"/>
      <c r="B46" s="255"/>
      <c r="C46" s="97"/>
      <c r="D46" s="97"/>
      <c r="E46" s="880"/>
      <c r="F46" s="256">
        <v>1</v>
      </c>
      <c r="G46" s="257">
        <v>2</v>
      </c>
      <c r="H46" s="881" t="s">
        <v>48</v>
      </c>
      <c r="I46" s="258" t="s">
        <v>595</v>
      </c>
      <c r="J46" s="259">
        <v>8</v>
      </c>
      <c r="K46" s="260">
        <v>76</v>
      </c>
      <c r="L46" s="260">
        <v>3</v>
      </c>
      <c r="M46" s="261">
        <v>1</v>
      </c>
      <c r="N46" s="261">
        <v>1</v>
      </c>
      <c r="O46" s="262">
        <v>1</v>
      </c>
      <c r="P46" s="263">
        <v>4</v>
      </c>
      <c r="Q46" s="264">
        <v>1</v>
      </c>
      <c r="R46" s="264">
        <v>1</v>
      </c>
      <c r="S46" s="265">
        <v>1</v>
      </c>
      <c r="T46" s="265">
        <v>1</v>
      </c>
      <c r="U46" s="266">
        <v>1</v>
      </c>
      <c r="V46" s="267">
        <v>1</v>
      </c>
      <c r="W46" s="258" t="s">
        <v>311</v>
      </c>
      <c r="X46" s="268"/>
      <c r="Y46" s="269"/>
      <c r="Z46" s="269"/>
      <c r="AA46" s="269"/>
      <c r="AB46" s="269"/>
      <c r="AC46" s="269"/>
      <c r="AD46" s="269"/>
      <c r="AE46" s="269"/>
      <c r="AF46" s="269"/>
      <c r="AG46" s="269"/>
      <c r="AH46" s="269"/>
      <c r="AI46" s="269"/>
      <c r="AJ46" s="269"/>
      <c r="AK46" s="269"/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70"/>
      <c r="BB46" s="271">
        <v>0</v>
      </c>
      <c r="BC46" s="272"/>
      <c r="BD46" s="273"/>
      <c r="BE46" s="273"/>
      <c r="BF46" s="273"/>
      <c r="BG46" s="273"/>
      <c r="BH46" s="273"/>
      <c r="BI46" s="274"/>
      <c r="BJ46" s="275"/>
      <c r="BK46" s="276"/>
      <c r="BL46" s="276"/>
      <c r="BM46" s="276"/>
      <c r="BN46" s="276"/>
      <c r="BO46" s="276"/>
      <c r="BP46" s="277"/>
      <c r="BQ46" s="399"/>
      <c r="BR46" s="400"/>
      <c r="BS46" s="401"/>
      <c r="BT46" s="278"/>
      <c r="BU46" s="352"/>
      <c r="BV46" s="279">
        <v>127</v>
      </c>
      <c r="BW46" s="353"/>
      <c r="BX46" s="934" t="s">
        <v>120</v>
      </c>
      <c r="BY46" s="552"/>
      <c r="BZ46" s="552"/>
      <c r="CA46" s="941" t="s">
        <v>120</v>
      </c>
      <c r="CB46" s="553"/>
      <c r="CC46" s="330"/>
      <c r="CD46" s="554"/>
      <c r="CE46" s="554"/>
      <c r="CF46" s="513"/>
      <c r="CG46" s="555"/>
      <c r="CH46" s="556"/>
      <c r="CI46" s="379" t="s">
        <v>509</v>
      </c>
      <c r="CJ46" s="380" t="s">
        <v>509</v>
      </c>
      <c r="CK46" s="381" t="s">
        <v>509</v>
      </c>
      <c r="CL46" s="370" t="s">
        <v>509</v>
      </c>
      <c r="CM46" s="371" t="s">
        <v>509</v>
      </c>
      <c r="CN46" s="372" t="s">
        <v>509</v>
      </c>
      <c r="CO46" s="70" t="s">
        <v>509</v>
      </c>
      <c r="CP46" s="97" t="s">
        <v>509</v>
      </c>
      <c r="CQ46" s="69" t="s">
        <v>509</v>
      </c>
      <c r="CR46" s="280" t="s">
        <v>27</v>
      </c>
      <c r="CS46" s="118">
        <v>1</v>
      </c>
      <c r="CT46" s="119">
        <v>0.7</v>
      </c>
      <c r="CU46" s="120"/>
      <c r="CV46" s="882">
        <v>0</v>
      </c>
      <c r="CW46" s="340"/>
      <c r="CX46" s="345"/>
      <c r="CY46" s="121"/>
      <c r="CZ46" s="122"/>
      <c r="DA46" s="104">
        <v>0.9</v>
      </c>
      <c r="DB46" s="123">
        <v>0.43588989435406728</v>
      </c>
      <c r="DC46" s="949" t="s">
        <v>120</v>
      </c>
      <c r="DD46" s="124"/>
      <c r="DE46" s="124"/>
      <c r="DF46" s="125"/>
      <c r="DG46" s="126"/>
      <c r="DH46" s="121"/>
      <c r="DI46" s="127"/>
      <c r="DJ46" s="120"/>
      <c r="DK46" s="122"/>
      <c r="DL46" s="106"/>
      <c r="DM46" s="107" t="e">
        <v>#VALUE!</v>
      </c>
      <c r="DN46" s="948" t="s">
        <v>120</v>
      </c>
      <c r="DO46" s="128"/>
      <c r="DP46" s="129"/>
      <c r="DQ46" s="121"/>
      <c r="DR46" s="121"/>
      <c r="DS46" s="121"/>
      <c r="DT46" s="121"/>
      <c r="DU46" s="130"/>
      <c r="DV46" s="131"/>
      <c r="DW46" s="131"/>
      <c r="DX46" s="127"/>
      <c r="DY46" s="132"/>
      <c r="DZ46" s="132"/>
      <c r="EA46" s="132"/>
      <c r="EB46" s="132"/>
      <c r="EC46" s="133"/>
      <c r="ED46" s="134"/>
      <c r="EE46" s="135"/>
      <c r="EF46" s="136" t="e">
        <v>#VALUE!</v>
      </c>
      <c r="EG46" s="393" t="e">
        <v>#VALUE!</v>
      </c>
      <c r="EH46" s="536"/>
      <c r="EI46" s="544">
        <v>30</v>
      </c>
      <c r="EJ46" s="14"/>
      <c r="EK46" s="14"/>
      <c r="EL46" s="14"/>
      <c r="EM46" s="540"/>
      <c r="EN46" s="546"/>
      <c r="EO46" s="11"/>
      <c r="EP46" s="883" t="s">
        <v>79</v>
      </c>
      <c r="EQ46" s="883"/>
      <c r="ER46" s="254"/>
      <c r="ES46" s="254"/>
      <c r="FC46" s="3">
        <v>0</v>
      </c>
      <c r="FD46" s="254"/>
      <c r="FE46" s="254"/>
      <c r="FF46" s="884">
        <v>1</v>
      </c>
      <c r="FG46" s="254"/>
      <c r="FH46" s="884"/>
      <c r="FI46" s="254"/>
      <c r="FJ46" s="884"/>
      <c r="FK46" s="3">
        <v>0</v>
      </c>
    </row>
    <row r="47" spans="1:171" s="3" customFormat="1">
      <c r="A47" s="885"/>
      <c r="B47" s="255"/>
      <c r="C47" s="97"/>
      <c r="D47" s="97"/>
      <c r="E47" s="880"/>
      <c r="F47" s="256">
        <v>1</v>
      </c>
      <c r="G47" s="257">
        <v>2</v>
      </c>
      <c r="H47" s="881" t="s">
        <v>48</v>
      </c>
      <c r="I47" s="258" t="s">
        <v>595</v>
      </c>
      <c r="J47" s="259">
        <v>8</v>
      </c>
      <c r="K47" s="260">
        <v>79</v>
      </c>
      <c r="L47" s="260">
        <v>3</v>
      </c>
      <c r="M47" s="261">
        <v>1</v>
      </c>
      <c r="N47" s="261">
        <v>1</v>
      </c>
      <c r="O47" s="262">
        <v>1</v>
      </c>
      <c r="P47" s="263">
        <v>4</v>
      </c>
      <c r="Q47" s="264">
        <v>1</v>
      </c>
      <c r="R47" s="264">
        <v>1</v>
      </c>
      <c r="S47" s="265">
        <v>1</v>
      </c>
      <c r="T47" s="265">
        <v>1</v>
      </c>
      <c r="U47" s="266">
        <v>1</v>
      </c>
      <c r="V47" s="267">
        <v>1</v>
      </c>
      <c r="W47" s="258" t="s">
        <v>311</v>
      </c>
      <c r="X47" s="268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  <c r="AJ47" s="269"/>
      <c r="AK47" s="269"/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70"/>
      <c r="BB47" s="271">
        <v>0</v>
      </c>
      <c r="BC47" s="272"/>
      <c r="BD47" s="273"/>
      <c r="BE47" s="273"/>
      <c r="BF47" s="273"/>
      <c r="BG47" s="273"/>
      <c r="BH47" s="273"/>
      <c r="BI47" s="274"/>
      <c r="BJ47" s="275"/>
      <c r="BK47" s="276"/>
      <c r="BL47" s="276"/>
      <c r="BM47" s="276"/>
      <c r="BN47" s="276"/>
      <c r="BO47" s="276"/>
      <c r="BP47" s="277"/>
      <c r="BQ47" s="399"/>
      <c r="BR47" s="400"/>
      <c r="BS47" s="401"/>
      <c r="BT47" s="278"/>
      <c r="BU47" s="352"/>
      <c r="BV47" s="279">
        <v>127</v>
      </c>
      <c r="BW47" s="353"/>
      <c r="BX47" s="934" t="s">
        <v>120</v>
      </c>
      <c r="BY47" s="552"/>
      <c r="BZ47" s="552"/>
      <c r="CA47" s="941" t="s">
        <v>120</v>
      </c>
      <c r="CB47" s="553"/>
      <c r="CC47" s="330"/>
      <c r="CD47" s="554"/>
      <c r="CE47" s="554"/>
      <c r="CF47" s="513"/>
      <c r="CG47" s="555"/>
      <c r="CH47" s="556"/>
      <c r="CI47" s="379" t="s">
        <v>509</v>
      </c>
      <c r="CJ47" s="380" t="s">
        <v>509</v>
      </c>
      <c r="CK47" s="381" t="s">
        <v>509</v>
      </c>
      <c r="CL47" s="370" t="s">
        <v>509</v>
      </c>
      <c r="CM47" s="371" t="s">
        <v>509</v>
      </c>
      <c r="CN47" s="372" t="s">
        <v>509</v>
      </c>
      <c r="CO47" s="70" t="s">
        <v>509</v>
      </c>
      <c r="CP47" s="97" t="s">
        <v>509</v>
      </c>
      <c r="CQ47" s="69" t="s">
        <v>509</v>
      </c>
      <c r="CR47" s="280" t="s">
        <v>27</v>
      </c>
      <c r="CS47" s="118">
        <v>1</v>
      </c>
      <c r="CT47" s="119">
        <v>0.7</v>
      </c>
      <c r="CU47" s="120"/>
      <c r="CV47" s="882">
        <v>0</v>
      </c>
      <c r="CW47" s="340"/>
      <c r="CX47" s="345"/>
      <c r="CY47" s="121"/>
      <c r="CZ47" s="122"/>
      <c r="DA47" s="104">
        <v>0.9</v>
      </c>
      <c r="DB47" s="123">
        <v>0.43588989435406728</v>
      </c>
      <c r="DC47" s="949" t="s">
        <v>120</v>
      </c>
      <c r="DD47" s="124"/>
      <c r="DE47" s="124"/>
      <c r="DF47" s="125"/>
      <c r="DG47" s="126"/>
      <c r="DH47" s="121"/>
      <c r="DI47" s="127"/>
      <c r="DJ47" s="120"/>
      <c r="DK47" s="122"/>
      <c r="DL47" s="106"/>
      <c r="DM47" s="107" t="e">
        <v>#VALUE!</v>
      </c>
      <c r="DN47" s="948" t="s">
        <v>120</v>
      </c>
      <c r="DO47" s="128"/>
      <c r="DP47" s="129"/>
      <c r="DQ47" s="121"/>
      <c r="DR47" s="121"/>
      <c r="DS47" s="121"/>
      <c r="DT47" s="121"/>
      <c r="DU47" s="130"/>
      <c r="DV47" s="131"/>
      <c r="DW47" s="131"/>
      <c r="DX47" s="127"/>
      <c r="DY47" s="132"/>
      <c r="DZ47" s="132"/>
      <c r="EA47" s="132"/>
      <c r="EB47" s="132"/>
      <c r="EC47" s="133"/>
      <c r="ED47" s="134"/>
      <c r="EE47" s="135"/>
      <c r="EF47" s="136" t="e">
        <v>#VALUE!</v>
      </c>
      <c r="EG47" s="393" t="e">
        <v>#VALUE!</v>
      </c>
      <c r="EH47" s="536"/>
      <c r="EI47" s="544">
        <v>30</v>
      </c>
      <c r="EJ47" s="14"/>
      <c r="EK47" s="14"/>
      <c r="EL47" s="14"/>
      <c r="EM47" s="540"/>
      <c r="EN47" s="546"/>
      <c r="EO47" s="11"/>
      <c r="EP47" s="883" t="s">
        <v>79</v>
      </c>
      <c r="EQ47" s="883"/>
      <c r="ER47" s="254"/>
      <c r="ES47" s="254"/>
      <c r="FC47" s="3">
        <v>0</v>
      </c>
      <c r="FD47" s="254"/>
      <c r="FE47" s="254"/>
      <c r="FF47" s="884">
        <v>1</v>
      </c>
      <c r="FG47" s="254"/>
      <c r="FH47" s="884"/>
      <c r="FI47" s="254"/>
      <c r="FJ47" s="884"/>
      <c r="FK47" s="3">
        <v>0</v>
      </c>
    </row>
    <row r="48" spans="1:171" s="3" customFormat="1">
      <c r="A48" s="885"/>
      <c r="B48" s="255"/>
      <c r="C48" s="97"/>
      <c r="D48" s="97"/>
      <c r="E48" s="880"/>
      <c r="F48" s="256">
        <v>1</v>
      </c>
      <c r="G48" s="257">
        <v>2</v>
      </c>
      <c r="H48" s="881" t="s">
        <v>48</v>
      </c>
      <c r="I48" s="258" t="s">
        <v>595</v>
      </c>
      <c r="J48" s="259">
        <v>8</v>
      </c>
      <c r="K48" s="260">
        <v>82</v>
      </c>
      <c r="L48" s="260">
        <v>3</v>
      </c>
      <c r="M48" s="261">
        <v>1</v>
      </c>
      <c r="N48" s="261">
        <v>1</v>
      </c>
      <c r="O48" s="262">
        <v>1</v>
      </c>
      <c r="P48" s="263">
        <v>4</v>
      </c>
      <c r="Q48" s="264">
        <v>1</v>
      </c>
      <c r="R48" s="264">
        <v>1</v>
      </c>
      <c r="S48" s="265">
        <v>1</v>
      </c>
      <c r="T48" s="265">
        <v>1</v>
      </c>
      <c r="U48" s="266">
        <v>1</v>
      </c>
      <c r="V48" s="267">
        <v>1</v>
      </c>
      <c r="W48" s="258" t="s">
        <v>311</v>
      </c>
      <c r="X48" s="268"/>
      <c r="Y48" s="269"/>
      <c r="Z48" s="269"/>
      <c r="AA48" s="269"/>
      <c r="AB48" s="269"/>
      <c r="AC48" s="269"/>
      <c r="AD48" s="269"/>
      <c r="AE48" s="269"/>
      <c r="AF48" s="269"/>
      <c r="AG48" s="269"/>
      <c r="AH48" s="269"/>
      <c r="AI48" s="269"/>
      <c r="AJ48" s="269"/>
      <c r="AK48" s="269"/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70"/>
      <c r="BB48" s="271">
        <v>0</v>
      </c>
      <c r="BC48" s="272"/>
      <c r="BD48" s="273"/>
      <c r="BE48" s="273"/>
      <c r="BF48" s="273"/>
      <c r="BG48" s="273"/>
      <c r="BH48" s="273"/>
      <c r="BI48" s="274"/>
      <c r="BJ48" s="275"/>
      <c r="BK48" s="276"/>
      <c r="BL48" s="276"/>
      <c r="BM48" s="276"/>
      <c r="BN48" s="276"/>
      <c r="BO48" s="276"/>
      <c r="BP48" s="277"/>
      <c r="BQ48" s="399"/>
      <c r="BR48" s="400"/>
      <c r="BS48" s="401"/>
      <c r="BT48" s="278"/>
      <c r="BU48" s="352"/>
      <c r="BV48" s="279">
        <v>127</v>
      </c>
      <c r="BW48" s="353"/>
      <c r="BX48" s="934" t="s">
        <v>120</v>
      </c>
      <c r="BY48" s="552"/>
      <c r="BZ48" s="552"/>
      <c r="CA48" s="941" t="s">
        <v>120</v>
      </c>
      <c r="CB48" s="553"/>
      <c r="CC48" s="330"/>
      <c r="CD48" s="554"/>
      <c r="CE48" s="554"/>
      <c r="CF48" s="513"/>
      <c r="CG48" s="555"/>
      <c r="CH48" s="556"/>
      <c r="CI48" s="379" t="s">
        <v>509</v>
      </c>
      <c r="CJ48" s="380" t="s">
        <v>509</v>
      </c>
      <c r="CK48" s="381" t="s">
        <v>509</v>
      </c>
      <c r="CL48" s="370" t="s">
        <v>509</v>
      </c>
      <c r="CM48" s="371" t="s">
        <v>509</v>
      </c>
      <c r="CN48" s="372" t="s">
        <v>509</v>
      </c>
      <c r="CO48" s="70" t="s">
        <v>509</v>
      </c>
      <c r="CP48" s="97" t="s">
        <v>509</v>
      </c>
      <c r="CQ48" s="69" t="s">
        <v>509</v>
      </c>
      <c r="CR48" s="280" t="s">
        <v>27</v>
      </c>
      <c r="CS48" s="118">
        <v>1</v>
      </c>
      <c r="CT48" s="119">
        <v>0.7</v>
      </c>
      <c r="CU48" s="120"/>
      <c r="CV48" s="882">
        <v>0</v>
      </c>
      <c r="CW48" s="340"/>
      <c r="CX48" s="345"/>
      <c r="CY48" s="121"/>
      <c r="CZ48" s="122"/>
      <c r="DA48" s="104">
        <v>0.9</v>
      </c>
      <c r="DB48" s="123">
        <v>0.43588989435406728</v>
      </c>
      <c r="DC48" s="949" t="s">
        <v>120</v>
      </c>
      <c r="DD48" s="124"/>
      <c r="DE48" s="124"/>
      <c r="DF48" s="125"/>
      <c r="DG48" s="126"/>
      <c r="DH48" s="121"/>
      <c r="DI48" s="127"/>
      <c r="DJ48" s="120"/>
      <c r="DK48" s="122"/>
      <c r="DL48" s="106"/>
      <c r="DM48" s="107" t="e">
        <v>#VALUE!</v>
      </c>
      <c r="DN48" s="948" t="s">
        <v>120</v>
      </c>
      <c r="DO48" s="128"/>
      <c r="DP48" s="129"/>
      <c r="DQ48" s="121"/>
      <c r="DR48" s="121"/>
      <c r="DS48" s="121"/>
      <c r="DT48" s="121"/>
      <c r="DU48" s="130"/>
      <c r="DV48" s="131"/>
      <c r="DW48" s="131"/>
      <c r="DX48" s="127"/>
      <c r="DY48" s="132"/>
      <c r="DZ48" s="132"/>
      <c r="EA48" s="132"/>
      <c r="EB48" s="132"/>
      <c r="EC48" s="133"/>
      <c r="ED48" s="134"/>
      <c r="EE48" s="135"/>
      <c r="EF48" s="136" t="e">
        <v>#VALUE!</v>
      </c>
      <c r="EG48" s="393" t="e">
        <v>#VALUE!</v>
      </c>
      <c r="EH48" s="536"/>
      <c r="EI48" s="544">
        <v>30</v>
      </c>
      <c r="EJ48" s="14"/>
      <c r="EK48" s="14"/>
      <c r="EL48" s="14"/>
      <c r="EM48" s="540"/>
      <c r="EN48" s="546"/>
      <c r="EO48" s="11"/>
      <c r="EP48" s="883" t="s">
        <v>79</v>
      </c>
      <c r="EQ48" s="883"/>
      <c r="ER48" s="254"/>
      <c r="ES48" s="254"/>
      <c r="FC48" s="3">
        <v>0</v>
      </c>
      <c r="FD48" s="254"/>
      <c r="FE48" s="254"/>
      <c r="FF48" s="884">
        <v>1</v>
      </c>
      <c r="FG48" s="254"/>
      <c r="FH48" s="884"/>
      <c r="FI48" s="254"/>
      <c r="FJ48" s="884"/>
      <c r="FK48" s="3">
        <v>0</v>
      </c>
    </row>
    <row r="49" spans="1:167" s="3" customFormat="1">
      <c r="A49" s="885"/>
      <c r="B49" s="255"/>
      <c r="C49" s="97"/>
      <c r="D49" s="97"/>
      <c r="E49" s="880"/>
      <c r="F49" s="256">
        <v>1</v>
      </c>
      <c r="G49" s="257">
        <v>2</v>
      </c>
      <c r="H49" s="881" t="s">
        <v>29</v>
      </c>
      <c r="I49" s="258" t="s">
        <v>595</v>
      </c>
      <c r="J49" s="259">
        <v>8</v>
      </c>
      <c r="K49" s="260">
        <v>16</v>
      </c>
      <c r="L49" s="260">
        <v>3</v>
      </c>
      <c r="M49" s="261">
        <v>1</v>
      </c>
      <c r="N49" s="261">
        <v>1</v>
      </c>
      <c r="O49" s="262">
        <v>1</v>
      </c>
      <c r="P49" s="263">
        <v>4</v>
      </c>
      <c r="Q49" s="264">
        <v>1</v>
      </c>
      <c r="R49" s="264">
        <v>1</v>
      </c>
      <c r="S49" s="265">
        <v>1</v>
      </c>
      <c r="T49" s="265">
        <v>1</v>
      </c>
      <c r="U49" s="266">
        <v>1</v>
      </c>
      <c r="V49" s="267">
        <v>1</v>
      </c>
      <c r="W49" s="258" t="s">
        <v>311</v>
      </c>
      <c r="X49" s="268"/>
      <c r="Y49" s="269"/>
      <c r="Z49" s="269"/>
      <c r="AA49" s="269"/>
      <c r="AB49" s="269"/>
      <c r="AC49" s="269"/>
      <c r="AD49" s="269"/>
      <c r="AE49" s="269"/>
      <c r="AF49" s="269"/>
      <c r="AG49" s="269"/>
      <c r="AH49" s="269"/>
      <c r="AI49" s="269"/>
      <c r="AJ49" s="269"/>
      <c r="AK49" s="269"/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70"/>
      <c r="BB49" s="271">
        <v>0</v>
      </c>
      <c r="BC49" s="272"/>
      <c r="BD49" s="273"/>
      <c r="BE49" s="273"/>
      <c r="BF49" s="273"/>
      <c r="BG49" s="273"/>
      <c r="BH49" s="273"/>
      <c r="BI49" s="274"/>
      <c r="BJ49" s="275"/>
      <c r="BK49" s="276"/>
      <c r="BL49" s="276"/>
      <c r="BM49" s="276"/>
      <c r="BN49" s="276"/>
      <c r="BO49" s="276"/>
      <c r="BP49" s="277"/>
      <c r="BQ49" s="399"/>
      <c r="BR49" s="400"/>
      <c r="BS49" s="401"/>
      <c r="BT49" s="278"/>
      <c r="BU49" s="352"/>
      <c r="BV49" s="279">
        <v>127</v>
      </c>
      <c r="BW49" s="353"/>
      <c r="BX49" s="934" t="s">
        <v>120</v>
      </c>
      <c r="BY49" s="552"/>
      <c r="BZ49" s="552"/>
      <c r="CA49" s="941" t="s">
        <v>120</v>
      </c>
      <c r="CB49" s="553"/>
      <c r="CC49" s="330"/>
      <c r="CD49" s="554"/>
      <c r="CE49" s="554"/>
      <c r="CF49" s="513"/>
      <c r="CG49" s="555"/>
      <c r="CH49" s="556"/>
      <c r="CI49" s="379" t="s">
        <v>509</v>
      </c>
      <c r="CJ49" s="380" t="s">
        <v>509</v>
      </c>
      <c r="CK49" s="381" t="s">
        <v>509</v>
      </c>
      <c r="CL49" s="370" t="s">
        <v>509</v>
      </c>
      <c r="CM49" s="371" t="s">
        <v>509</v>
      </c>
      <c r="CN49" s="372" t="s">
        <v>509</v>
      </c>
      <c r="CO49" s="70" t="s">
        <v>509</v>
      </c>
      <c r="CP49" s="97" t="s">
        <v>509</v>
      </c>
      <c r="CQ49" s="69" t="s">
        <v>509</v>
      </c>
      <c r="CR49" s="280" t="s">
        <v>510</v>
      </c>
      <c r="CS49" s="118">
        <v>1</v>
      </c>
      <c r="CT49" s="119">
        <v>0.7</v>
      </c>
      <c r="CU49" s="120"/>
      <c r="CV49" s="882">
        <v>0</v>
      </c>
      <c r="CW49" s="340"/>
      <c r="CX49" s="345"/>
      <c r="CY49" s="121"/>
      <c r="CZ49" s="122"/>
      <c r="DA49" s="104">
        <v>0.9</v>
      </c>
      <c r="DB49" s="123">
        <v>0.43588989435406728</v>
      </c>
      <c r="DC49" s="949" t="s">
        <v>120</v>
      </c>
      <c r="DD49" s="124"/>
      <c r="DE49" s="124"/>
      <c r="DF49" s="125"/>
      <c r="DG49" s="126"/>
      <c r="DH49" s="121"/>
      <c r="DI49" s="127"/>
      <c r="DJ49" s="120"/>
      <c r="DK49" s="122"/>
      <c r="DL49" s="106"/>
      <c r="DM49" s="107">
        <v>0</v>
      </c>
      <c r="DN49" s="948" t="s">
        <v>120</v>
      </c>
      <c r="DO49" s="128"/>
      <c r="DP49" s="129"/>
      <c r="DQ49" s="121"/>
      <c r="DR49" s="121"/>
      <c r="DS49" s="121"/>
      <c r="DT49" s="121"/>
      <c r="DU49" s="130"/>
      <c r="DV49" s="131"/>
      <c r="DW49" s="131"/>
      <c r="DX49" s="127"/>
      <c r="DY49" s="132"/>
      <c r="DZ49" s="132"/>
      <c r="EA49" s="132"/>
      <c r="EB49" s="132"/>
      <c r="EC49" s="133"/>
      <c r="ED49" s="134"/>
      <c r="EE49" s="135"/>
      <c r="EF49" s="136">
        <v>0</v>
      </c>
      <c r="EG49" s="393">
        <v>0</v>
      </c>
      <c r="EH49" s="536"/>
      <c r="EI49" s="544">
        <v>30</v>
      </c>
      <c r="EJ49" s="14"/>
      <c r="EK49" s="14"/>
      <c r="EL49" s="14"/>
      <c r="EM49" s="540"/>
      <c r="EN49" s="546"/>
      <c r="EO49" s="11"/>
      <c r="EP49" s="883" t="s">
        <v>79</v>
      </c>
      <c r="EQ49" s="883"/>
      <c r="ER49" s="254"/>
      <c r="ES49" s="254"/>
      <c r="FC49" s="3">
        <v>0</v>
      </c>
      <c r="FD49" s="254"/>
      <c r="FE49" s="254"/>
      <c r="FF49" s="884">
        <v>1</v>
      </c>
      <c r="FG49" s="254"/>
      <c r="FH49" s="884"/>
      <c r="FI49" s="254"/>
      <c r="FJ49" s="884"/>
      <c r="FK49" s="3">
        <v>0</v>
      </c>
    </row>
    <row r="50" spans="1:167" s="3" customFormat="1">
      <c r="A50" s="885"/>
      <c r="B50" s="255"/>
      <c r="C50" s="97"/>
      <c r="D50" s="97"/>
      <c r="E50" s="880"/>
      <c r="F50" s="256">
        <v>1</v>
      </c>
      <c r="G50" s="257">
        <v>2</v>
      </c>
      <c r="H50" s="881" t="s">
        <v>29</v>
      </c>
      <c r="I50" s="258" t="s">
        <v>595</v>
      </c>
      <c r="J50" s="259">
        <v>8</v>
      </c>
      <c r="K50" s="260">
        <v>22</v>
      </c>
      <c r="L50" s="260">
        <v>3</v>
      </c>
      <c r="M50" s="261">
        <v>1</v>
      </c>
      <c r="N50" s="261">
        <v>1</v>
      </c>
      <c r="O50" s="262">
        <v>1</v>
      </c>
      <c r="P50" s="263">
        <v>4</v>
      </c>
      <c r="Q50" s="264">
        <v>1</v>
      </c>
      <c r="R50" s="264">
        <v>1</v>
      </c>
      <c r="S50" s="265">
        <v>1</v>
      </c>
      <c r="T50" s="265">
        <v>1</v>
      </c>
      <c r="U50" s="266">
        <v>1</v>
      </c>
      <c r="V50" s="267">
        <v>1</v>
      </c>
      <c r="W50" s="258" t="s">
        <v>311</v>
      </c>
      <c r="X50" s="268"/>
      <c r="Y50" s="269"/>
      <c r="Z50" s="269"/>
      <c r="AA50" s="269"/>
      <c r="AB50" s="269"/>
      <c r="AC50" s="269"/>
      <c r="AD50" s="269"/>
      <c r="AE50" s="269"/>
      <c r="AF50" s="269"/>
      <c r="AG50" s="269"/>
      <c r="AH50" s="269"/>
      <c r="AI50" s="269"/>
      <c r="AJ50" s="269"/>
      <c r="AK50" s="269"/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70"/>
      <c r="BB50" s="271">
        <v>0</v>
      </c>
      <c r="BC50" s="272"/>
      <c r="BD50" s="273"/>
      <c r="BE50" s="273"/>
      <c r="BF50" s="273"/>
      <c r="BG50" s="273"/>
      <c r="BH50" s="273"/>
      <c r="BI50" s="274"/>
      <c r="BJ50" s="275"/>
      <c r="BK50" s="276"/>
      <c r="BL50" s="276"/>
      <c r="BM50" s="276"/>
      <c r="BN50" s="276"/>
      <c r="BO50" s="276"/>
      <c r="BP50" s="277"/>
      <c r="BQ50" s="399"/>
      <c r="BR50" s="400"/>
      <c r="BS50" s="401"/>
      <c r="BT50" s="278"/>
      <c r="BU50" s="352"/>
      <c r="BV50" s="279">
        <v>127</v>
      </c>
      <c r="BW50" s="353"/>
      <c r="BX50" s="934" t="s">
        <v>120</v>
      </c>
      <c r="BY50" s="552"/>
      <c r="BZ50" s="552"/>
      <c r="CA50" s="941" t="s">
        <v>120</v>
      </c>
      <c r="CB50" s="553"/>
      <c r="CC50" s="330"/>
      <c r="CD50" s="554"/>
      <c r="CE50" s="554"/>
      <c r="CF50" s="513"/>
      <c r="CG50" s="555"/>
      <c r="CH50" s="556"/>
      <c r="CI50" s="379" t="s">
        <v>509</v>
      </c>
      <c r="CJ50" s="380" t="s">
        <v>509</v>
      </c>
      <c r="CK50" s="381" t="s">
        <v>509</v>
      </c>
      <c r="CL50" s="370" t="s">
        <v>509</v>
      </c>
      <c r="CM50" s="371" t="s">
        <v>509</v>
      </c>
      <c r="CN50" s="372" t="s">
        <v>509</v>
      </c>
      <c r="CO50" s="70" t="s">
        <v>509</v>
      </c>
      <c r="CP50" s="97" t="s">
        <v>509</v>
      </c>
      <c r="CQ50" s="69" t="s">
        <v>509</v>
      </c>
      <c r="CR50" s="280" t="s">
        <v>510</v>
      </c>
      <c r="CS50" s="118">
        <v>1</v>
      </c>
      <c r="CT50" s="119">
        <v>0.7</v>
      </c>
      <c r="CU50" s="120"/>
      <c r="CV50" s="882">
        <v>0</v>
      </c>
      <c r="CW50" s="340"/>
      <c r="CX50" s="345"/>
      <c r="CY50" s="121"/>
      <c r="CZ50" s="122"/>
      <c r="DA50" s="104">
        <v>0.9</v>
      </c>
      <c r="DB50" s="123">
        <v>0.43588989435406728</v>
      </c>
      <c r="DC50" s="949" t="s">
        <v>120</v>
      </c>
      <c r="DD50" s="124"/>
      <c r="DE50" s="124"/>
      <c r="DF50" s="125"/>
      <c r="DG50" s="126"/>
      <c r="DH50" s="121"/>
      <c r="DI50" s="127"/>
      <c r="DJ50" s="120"/>
      <c r="DK50" s="122"/>
      <c r="DL50" s="106"/>
      <c r="DM50" s="107">
        <v>0</v>
      </c>
      <c r="DN50" s="948" t="s">
        <v>120</v>
      </c>
      <c r="DO50" s="128"/>
      <c r="DP50" s="129"/>
      <c r="DQ50" s="121"/>
      <c r="DR50" s="121"/>
      <c r="DS50" s="121"/>
      <c r="DT50" s="121"/>
      <c r="DU50" s="130"/>
      <c r="DV50" s="131"/>
      <c r="DW50" s="131"/>
      <c r="DX50" s="127"/>
      <c r="DY50" s="132"/>
      <c r="DZ50" s="132"/>
      <c r="EA50" s="132"/>
      <c r="EB50" s="132"/>
      <c r="EC50" s="133"/>
      <c r="ED50" s="134"/>
      <c r="EE50" s="135"/>
      <c r="EF50" s="136">
        <v>0</v>
      </c>
      <c r="EG50" s="393">
        <v>0</v>
      </c>
      <c r="EH50" s="536"/>
      <c r="EI50" s="544">
        <v>30</v>
      </c>
      <c r="EJ50" s="14"/>
      <c r="EK50" s="14"/>
      <c r="EL50" s="14"/>
      <c r="EM50" s="540"/>
      <c r="EN50" s="546"/>
      <c r="EO50" s="11"/>
      <c r="EP50" s="883" t="s">
        <v>79</v>
      </c>
      <c r="EQ50" s="883"/>
      <c r="ER50" s="254"/>
      <c r="ES50" s="254"/>
      <c r="FC50" s="3">
        <v>0</v>
      </c>
      <c r="FD50" s="254"/>
      <c r="FE50" s="254"/>
      <c r="FF50" s="884">
        <v>1</v>
      </c>
      <c r="FG50" s="254"/>
      <c r="FH50" s="884"/>
      <c r="FI50" s="254"/>
      <c r="FJ50" s="884"/>
      <c r="FK50" s="3">
        <v>0</v>
      </c>
    </row>
    <row r="51" spans="1:167" s="3" customFormat="1">
      <c r="A51" s="885"/>
      <c r="B51" s="255"/>
      <c r="C51" s="97"/>
      <c r="D51" s="97"/>
      <c r="E51" s="880"/>
      <c r="F51" s="256">
        <v>1</v>
      </c>
      <c r="G51" s="257">
        <v>2</v>
      </c>
      <c r="H51" s="881" t="s">
        <v>29</v>
      </c>
      <c r="I51" s="258" t="s">
        <v>595</v>
      </c>
      <c r="J51" s="259">
        <v>8</v>
      </c>
      <c r="K51" s="260">
        <v>33</v>
      </c>
      <c r="L51" s="260">
        <v>3</v>
      </c>
      <c r="M51" s="261">
        <v>1</v>
      </c>
      <c r="N51" s="261">
        <v>1</v>
      </c>
      <c r="O51" s="262">
        <v>1</v>
      </c>
      <c r="P51" s="263">
        <v>4</v>
      </c>
      <c r="Q51" s="264">
        <v>1</v>
      </c>
      <c r="R51" s="264">
        <v>1</v>
      </c>
      <c r="S51" s="265">
        <v>1</v>
      </c>
      <c r="T51" s="265">
        <v>1</v>
      </c>
      <c r="U51" s="266">
        <v>1</v>
      </c>
      <c r="V51" s="267">
        <v>1</v>
      </c>
      <c r="W51" s="258" t="s">
        <v>311</v>
      </c>
      <c r="X51" s="268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  <c r="AJ51" s="269"/>
      <c r="AK51" s="269"/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70"/>
      <c r="BB51" s="271">
        <v>0</v>
      </c>
      <c r="BC51" s="272"/>
      <c r="BD51" s="273"/>
      <c r="BE51" s="273"/>
      <c r="BF51" s="273"/>
      <c r="BG51" s="273"/>
      <c r="BH51" s="273"/>
      <c r="BI51" s="274"/>
      <c r="BJ51" s="275"/>
      <c r="BK51" s="276"/>
      <c r="BL51" s="276"/>
      <c r="BM51" s="276"/>
      <c r="BN51" s="276"/>
      <c r="BO51" s="276"/>
      <c r="BP51" s="277"/>
      <c r="BQ51" s="399"/>
      <c r="BR51" s="400"/>
      <c r="BS51" s="401"/>
      <c r="BT51" s="278"/>
      <c r="BU51" s="352"/>
      <c r="BV51" s="279">
        <v>127</v>
      </c>
      <c r="BW51" s="353"/>
      <c r="BX51" s="934" t="s">
        <v>120</v>
      </c>
      <c r="BY51" s="552"/>
      <c r="BZ51" s="552"/>
      <c r="CA51" s="941" t="s">
        <v>120</v>
      </c>
      <c r="CB51" s="553"/>
      <c r="CC51" s="330"/>
      <c r="CD51" s="554"/>
      <c r="CE51" s="554"/>
      <c r="CF51" s="513"/>
      <c r="CG51" s="555"/>
      <c r="CH51" s="556"/>
      <c r="CI51" s="379" t="s">
        <v>509</v>
      </c>
      <c r="CJ51" s="380" t="s">
        <v>509</v>
      </c>
      <c r="CK51" s="381" t="s">
        <v>509</v>
      </c>
      <c r="CL51" s="370" t="s">
        <v>509</v>
      </c>
      <c r="CM51" s="371" t="s">
        <v>509</v>
      </c>
      <c r="CN51" s="372" t="s">
        <v>509</v>
      </c>
      <c r="CO51" s="70" t="s">
        <v>509</v>
      </c>
      <c r="CP51" s="97" t="s">
        <v>509</v>
      </c>
      <c r="CQ51" s="69" t="s">
        <v>509</v>
      </c>
      <c r="CR51" s="280" t="s">
        <v>510</v>
      </c>
      <c r="CS51" s="118">
        <v>1</v>
      </c>
      <c r="CT51" s="119">
        <v>0.7</v>
      </c>
      <c r="CU51" s="120"/>
      <c r="CV51" s="882">
        <v>0</v>
      </c>
      <c r="CW51" s="340"/>
      <c r="CX51" s="345"/>
      <c r="CY51" s="121"/>
      <c r="CZ51" s="122"/>
      <c r="DA51" s="104">
        <v>0.9</v>
      </c>
      <c r="DB51" s="123">
        <v>0.43588989435406728</v>
      </c>
      <c r="DC51" s="949" t="s">
        <v>120</v>
      </c>
      <c r="DD51" s="124"/>
      <c r="DE51" s="124"/>
      <c r="DF51" s="125"/>
      <c r="DG51" s="126"/>
      <c r="DH51" s="121"/>
      <c r="DI51" s="127"/>
      <c r="DJ51" s="120"/>
      <c r="DK51" s="122"/>
      <c r="DL51" s="106"/>
      <c r="DM51" s="107">
        <v>0</v>
      </c>
      <c r="DN51" s="948" t="s">
        <v>120</v>
      </c>
      <c r="DO51" s="128"/>
      <c r="DP51" s="129"/>
      <c r="DQ51" s="121"/>
      <c r="DR51" s="121"/>
      <c r="DS51" s="121"/>
      <c r="DT51" s="121"/>
      <c r="DU51" s="130"/>
      <c r="DV51" s="131"/>
      <c r="DW51" s="131"/>
      <c r="DX51" s="127"/>
      <c r="DY51" s="132"/>
      <c r="DZ51" s="132"/>
      <c r="EA51" s="132"/>
      <c r="EB51" s="132"/>
      <c r="EC51" s="133"/>
      <c r="ED51" s="134"/>
      <c r="EE51" s="135"/>
      <c r="EF51" s="136">
        <v>0</v>
      </c>
      <c r="EG51" s="393">
        <v>0</v>
      </c>
      <c r="EH51" s="536"/>
      <c r="EI51" s="544">
        <v>30</v>
      </c>
      <c r="EJ51" s="14"/>
      <c r="EK51" s="14"/>
      <c r="EL51" s="14"/>
      <c r="EM51" s="540"/>
      <c r="EN51" s="546"/>
      <c r="EO51" s="11"/>
      <c r="EP51" s="883" t="s">
        <v>79</v>
      </c>
      <c r="EQ51" s="883"/>
      <c r="ER51" s="254"/>
      <c r="ES51" s="254"/>
      <c r="FC51" s="3">
        <v>0</v>
      </c>
      <c r="FD51" s="254"/>
      <c r="FE51" s="254"/>
      <c r="FF51" s="884">
        <v>1</v>
      </c>
      <c r="FG51" s="254"/>
      <c r="FH51" s="884"/>
      <c r="FI51" s="254"/>
      <c r="FJ51" s="884"/>
      <c r="FK51" s="3">
        <v>0</v>
      </c>
    </row>
    <row r="52" spans="1:167" s="3" customFormat="1">
      <c r="A52" s="885"/>
      <c r="B52" s="255"/>
      <c r="C52" s="97"/>
      <c r="D52" s="97"/>
      <c r="E52" s="880"/>
      <c r="F52" s="256">
        <v>1</v>
      </c>
      <c r="G52" s="257">
        <v>2</v>
      </c>
      <c r="H52" s="881" t="s">
        <v>29</v>
      </c>
      <c r="I52" s="258" t="s">
        <v>595</v>
      </c>
      <c r="J52" s="259">
        <v>8</v>
      </c>
      <c r="K52" s="260">
        <v>25</v>
      </c>
      <c r="L52" s="260">
        <v>3</v>
      </c>
      <c r="M52" s="261">
        <v>1</v>
      </c>
      <c r="N52" s="261">
        <v>1</v>
      </c>
      <c r="O52" s="262">
        <v>1</v>
      </c>
      <c r="P52" s="263">
        <v>4</v>
      </c>
      <c r="Q52" s="264">
        <v>1</v>
      </c>
      <c r="R52" s="264">
        <v>1</v>
      </c>
      <c r="S52" s="265">
        <v>1</v>
      </c>
      <c r="T52" s="265">
        <v>1</v>
      </c>
      <c r="U52" s="266">
        <v>1</v>
      </c>
      <c r="V52" s="267">
        <v>1</v>
      </c>
      <c r="W52" s="258" t="s">
        <v>311</v>
      </c>
      <c r="X52" s="268"/>
      <c r="Y52" s="269"/>
      <c r="Z52" s="269"/>
      <c r="AA52" s="269"/>
      <c r="AB52" s="269"/>
      <c r="AC52" s="269"/>
      <c r="AD52" s="269"/>
      <c r="AE52" s="269"/>
      <c r="AF52" s="269"/>
      <c r="AG52" s="269"/>
      <c r="AH52" s="269"/>
      <c r="AI52" s="269"/>
      <c r="AJ52" s="269"/>
      <c r="AK52" s="269"/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70"/>
      <c r="BB52" s="271">
        <v>0</v>
      </c>
      <c r="BC52" s="272"/>
      <c r="BD52" s="273"/>
      <c r="BE52" s="273"/>
      <c r="BF52" s="273"/>
      <c r="BG52" s="273"/>
      <c r="BH52" s="273"/>
      <c r="BI52" s="274"/>
      <c r="BJ52" s="275"/>
      <c r="BK52" s="276"/>
      <c r="BL52" s="276"/>
      <c r="BM52" s="276"/>
      <c r="BN52" s="276"/>
      <c r="BO52" s="276"/>
      <c r="BP52" s="277"/>
      <c r="BQ52" s="399"/>
      <c r="BR52" s="400"/>
      <c r="BS52" s="401"/>
      <c r="BT52" s="278"/>
      <c r="BU52" s="352"/>
      <c r="BV52" s="279">
        <v>127</v>
      </c>
      <c r="BW52" s="353"/>
      <c r="BX52" s="934" t="s">
        <v>120</v>
      </c>
      <c r="BY52" s="552"/>
      <c r="BZ52" s="552"/>
      <c r="CA52" s="941" t="s">
        <v>120</v>
      </c>
      <c r="CB52" s="553"/>
      <c r="CC52" s="330"/>
      <c r="CD52" s="554"/>
      <c r="CE52" s="554"/>
      <c r="CF52" s="513"/>
      <c r="CG52" s="555"/>
      <c r="CH52" s="556"/>
      <c r="CI52" s="379" t="s">
        <v>509</v>
      </c>
      <c r="CJ52" s="380" t="s">
        <v>509</v>
      </c>
      <c r="CK52" s="381" t="s">
        <v>509</v>
      </c>
      <c r="CL52" s="370" t="s">
        <v>509</v>
      </c>
      <c r="CM52" s="371" t="s">
        <v>509</v>
      </c>
      <c r="CN52" s="372" t="s">
        <v>509</v>
      </c>
      <c r="CO52" s="70" t="s">
        <v>509</v>
      </c>
      <c r="CP52" s="97" t="s">
        <v>509</v>
      </c>
      <c r="CQ52" s="69" t="s">
        <v>509</v>
      </c>
      <c r="CR52" s="280" t="s">
        <v>510</v>
      </c>
      <c r="CS52" s="118">
        <v>1</v>
      </c>
      <c r="CT52" s="119">
        <v>0.7</v>
      </c>
      <c r="CU52" s="120"/>
      <c r="CV52" s="882">
        <v>0</v>
      </c>
      <c r="CW52" s="340"/>
      <c r="CX52" s="345"/>
      <c r="CY52" s="121"/>
      <c r="CZ52" s="122"/>
      <c r="DA52" s="104">
        <v>0.9</v>
      </c>
      <c r="DB52" s="123">
        <v>0.43588989435406728</v>
      </c>
      <c r="DC52" s="949" t="s">
        <v>120</v>
      </c>
      <c r="DD52" s="124"/>
      <c r="DE52" s="124"/>
      <c r="DF52" s="125"/>
      <c r="DG52" s="126"/>
      <c r="DH52" s="121"/>
      <c r="DI52" s="127"/>
      <c r="DJ52" s="120"/>
      <c r="DK52" s="122"/>
      <c r="DL52" s="106"/>
      <c r="DM52" s="107">
        <v>0</v>
      </c>
      <c r="DN52" s="948" t="s">
        <v>120</v>
      </c>
      <c r="DO52" s="128"/>
      <c r="DP52" s="129"/>
      <c r="DQ52" s="121"/>
      <c r="DR52" s="121"/>
      <c r="DS52" s="121"/>
      <c r="DT52" s="121"/>
      <c r="DU52" s="130"/>
      <c r="DV52" s="131"/>
      <c r="DW52" s="131"/>
      <c r="DX52" s="127"/>
      <c r="DY52" s="132"/>
      <c r="DZ52" s="132"/>
      <c r="EA52" s="132"/>
      <c r="EB52" s="132"/>
      <c r="EC52" s="133"/>
      <c r="ED52" s="134"/>
      <c r="EE52" s="135"/>
      <c r="EF52" s="136">
        <v>0</v>
      </c>
      <c r="EG52" s="393">
        <v>0</v>
      </c>
      <c r="EH52" s="536"/>
      <c r="EI52" s="544">
        <v>30</v>
      </c>
      <c r="EJ52" s="14"/>
      <c r="EK52" s="14"/>
      <c r="EL52" s="14"/>
      <c r="EM52" s="540"/>
      <c r="EN52" s="546"/>
      <c r="EO52" s="11"/>
      <c r="EP52" s="883" t="s">
        <v>79</v>
      </c>
      <c r="EQ52" s="883"/>
      <c r="ER52" s="254"/>
      <c r="ES52" s="254"/>
      <c r="FC52" s="3">
        <v>0</v>
      </c>
      <c r="FD52" s="254"/>
      <c r="FE52" s="254"/>
      <c r="FF52" s="884">
        <v>1</v>
      </c>
      <c r="FG52" s="254"/>
      <c r="FH52" s="884"/>
      <c r="FI52" s="254"/>
      <c r="FJ52" s="884"/>
      <c r="FK52" s="3">
        <v>0</v>
      </c>
    </row>
    <row r="53" spans="1:167" s="3" customFormat="1">
      <c r="A53" s="885"/>
      <c r="B53" s="255"/>
      <c r="C53" s="97"/>
      <c r="D53" s="97"/>
      <c r="E53" s="880"/>
      <c r="F53" s="256">
        <v>1</v>
      </c>
      <c r="G53" s="257">
        <v>2</v>
      </c>
      <c r="H53" s="881" t="s">
        <v>29</v>
      </c>
      <c r="I53" s="258" t="s">
        <v>595</v>
      </c>
      <c r="J53" s="259">
        <v>8</v>
      </c>
      <c r="K53" s="260">
        <v>17</v>
      </c>
      <c r="L53" s="260">
        <v>3</v>
      </c>
      <c r="M53" s="261">
        <v>1</v>
      </c>
      <c r="N53" s="261">
        <v>1</v>
      </c>
      <c r="O53" s="262">
        <v>1</v>
      </c>
      <c r="P53" s="263">
        <v>4</v>
      </c>
      <c r="Q53" s="264">
        <v>1</v>
      </c>
      <c r="R53" s="264">
        <v>1</v>
      </c>
      <c r="S53" s="265">
        <v>1</v>
      </c>
      <c r="T53" s="265">
        <v>1</v>
      </c>
      <c r="U53" s="266">
        <v>1</v>
      </c>
      <c r="V53" s="267">
        <v>1</v>
      </c>
      <c r="W53" s="258" t="s">
        <v>311</v>
      </c>
      <c r="X53" s="268"/>
      <c r="Y53" s="269"/>
      <c r="Z53" s="269"/>
      <c r="AA53" s="269"/>
      <c r="AB53" s="269"/>
      <c r="AC53" s="269"/>
      <c r="AD53" s="269"/>
      <c r="AE53" s="269"/>
      <c r="AF53" s="269"/>
      <c r="AG53" s="269"/>
      <c r="AH53" s="269"/>
      <c r="AI53" s="269"/>
      <c r="AJ53" s="269"/>
      <c r="AK53" s="269"/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70"/>
      <c r="BB53" s="271">
        <v>0</v>
      </c>
      <c r="BC53" s="272"/>
      <c r="BD53" s="273"/>
      <c r="BE53" s="273"/>
      <c r="BF53" s="273"/>
      <c r="BG53" s="273"/>
      <c r="BH53" s="273"/>
      <c r="BI53" s="274"/>
      <c r="BJ53" s="275"/>
      <c r="BK53" s="276"/>
      <c r="BL53" s="276"/>
      <c r="BM53" s="276"/>
      <c r="BN53" s="276"/>
      <c r="BO53" s="276"/>
      <c r="BP53" s="277"/>
      <c r="BQ53" s="399"/>
      <c r="BR53" s="400"/>
      <c r="BS53" s="401"/>
      <c r="BT53" s="278"/>
      <c r="BU53" s="352"/>
      <c r="BV53" s="279">
        <v>127</v>
      </c>
      <c r="BW53" s="353"/>
      <c r="BX53" s="934" t="s">
        <v>120</v>
      </c>
      <c r="BY53" s="552"/>
      <c r="BZ53" s="552"/>
      <c r="CA53" s="941" t="s">
        <v>120</v>
      </c>
      <c r="CB53" s="553"/>
      <c r="CC53" s="330"/>
      <c r="CD53" s="554"/>
      <c r="CE53" s="554"/>
      <c r="CF53" s="513"/>
      <c r="CG53" s="555"/>
      <c r="CH53" s="556"/>
      <c r="CI53" s="379" t="s">
        <v>509</v>
      </c>
      <c r="CJ53" s="380" t="s">
        <v>509</v>
      </c>
      <c r="CK53" s="381" t="s">
        <v>509</v>
      </c>
      <c r="CL53" s="370" t="s">
        <v>509</v>
      </c>
      <c r="CM53" s="371" t="s">
        <v>509</v>
      </c>
      <c r="CN53" s="372" t="s">
        <v>509</v>
      </c>
      <c r="CO53" s="70" t="s">
        <v>509</v>
      </c>
      <c r="CP53" s="97" t="s">
        <v>509</v>
      </c>
      <c r="CQ53" s="69" t="s">
        <v>509</v>
      </c>
      <c r="CR53" s="280" t="s">
        <v>510</v>
      </c>
      <c r="CS53" s="118">
        <v>1</v>
      </c>
      <c r="CT53" s="119">
        <v>0.7</v>
      </c>
      <c r="CU53" s="120"/>
      <c r="CV53" s="882">
        <v>0</v>
      </c>
      <c r="CW53" s="340"/>
      <c r="CX53" s="345"/>
      <c r="CY53" s="121"/>
      <c r="CZ53" s="122"/>
      <c r="DA53" s="104">
        <v>0.9</v>
      </c>
      <c r="DB53" s="123">
        <v>0.43588989435406728</v>
      </c>
      <c r="DC53" s="949" t="s">
        <v>120</v>
      </c>
      <c r="DD53" s="124"/>
      <c r="DE53" s="124"/>
      <c r="DF53" s="125"/>
      <c r="DG53" s="126"/>
      <c r="DH53" s="121"/>
      <c r="DI53" s="127"/>
      <c r="DJ53" s="120"/>
      <c r="DK53" s="122"/>
      <c r="DL53" s="106"/>
      <c r="DM53" s="107">
        <v>0</v>
      </c>
      <c r="DN53" s="948" t="s">
        <v>120</v>
      </c>
      <c r="DO53" s="128"/>
      <c r="DP53" s="129"/>
      <c r="DQ53" s="121"/>
      <c r="DR53" s="121"/>
      <c r="DS53" s="121"/>
      <c r="DT53" s="121"/>
      <c r="DU53" s="130"/>
      <c r="DV53" s="131"/>
      <c r="DW53" s="131"/>
      <c r="DX53" s="127"/>
      <c r="DY53" s="132"/>
      <c r="DZ53" s="132"/>
      <c r="EA53" s="132"/>
      <c r="EB53" s="132"/>
      <c r="EC53" s="133"/>
      <c r="ED53" s="134"/>
      <c r="EE53" s="135"/>
      <c r="EF53" s="136">
        <v>0</v>
      </c>
      <c r="EG53" s="393">
        <v>0</v>
      </c>
      <c r="EH53" s="536"/>
      <c r="EI53" s="544">
        <v>30</v>
      </c>
      <c r="EJ53" s="14"/>
      <c r="EK53" s="14"/>
      <c r="EL53" s="14"/>
      <c r="EM53" s="540"/>
      <c r="EN53" s="546"/>
      <c r="EO53" s="11"/>
      <c r="EP53" s="883" t="s">
        <v>79</v>
      </c>
      <c r="EQ53" s="883"/>
      <c r="ER53" s="254"/>
      <c r="ES53" s="254"/>
      <c r="FC53" s="3">
        <v>0</v>
      </c>
      <c r="FD53" s="254"/>
      <c r="FE53" s="254"/>
      <c r="FF53" s="884">
        <v>1</v>
      </c>
      <c r="FG53" s="254"/>
      <c r="FH53" s="884"/>
      <c r="FI53" s="254"/>
      <c r="FJ53" s="884"/>
      <c r="FK53" s="3">
        <v>0</v>
      </c>
    </row>
    <row r="54" spans="1:167" s="3" customFormat="1">
      <c r="A54" s="254"/>
      <c r="B54" s="255"/>
      <c r="C54" s="97"/>
      <c r="D54" s="97"/>
      <c r="E54" s="880"/>
      <c r="F54" s="256">
        <v>1</v>
      </c>
      <c r="G54" s="257">
        <v>2</v>
      </c>
      <c r="H54" s="881" t="s">
        <v>29</v>
      </c>
      <c r="I54" s="258" t="s">
        <v>595</v>
      </c>
      <c r="J54" s="259">
        <v>8</v>
      </c>
      <c r="K54" s="260">
        <v>14</v>
      </c>
      <c r="L54" s="260">
        <v>3</v>
      </c>
      <c r="M54" s="261">
        <v>1</v>
      </c>
      <c r="N54" s="261">
        <v>1</v>
      </c>
      <c r="O54" s="262">
        <v>1</v>
      </c>
      <c r="P54" s="263">
        <v>4</v>
      </c>
      <c r="Q54" s="264">
        <v>1</v>
      </c>
      <c r="R54" s="264">
        <v>1</v>
      </c>
      <c r="S54" s="265">
        <v>1</v>
      </c>
      <c r="T54" s="265">
        <v>1</v>
      </c>
      <c r="U54" s="266">
        <v>1</v>
      </c>
      <c r="V54" s="267">
        <v>1</v>
      </c>
      <c r="W54" s="258" t="s">
        <v>311</v>
      </c>
      <c r="X54" s="268"/>
      <c r="Y54" s="269"/>
      <c r="Z54" s="269"/>
      <c r="AA54" s="269"/>
      <c r="AB54" s="269"/>
      <c r="AC54" s="269"/>
      <c r="AD54" s="269"/>
      <c r="AE54" s="269"/>
      <c r="AF54" s="269"/>
      <c r="AG54" s="269"/>
      <c r="AH54" s="269"/>
      <c r="AI54" s="269"/>
      <c r="AJ54" s="269"/>
      <c r="AK54" s="269"/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70"/>
      <c r="BB54" s="271">
        <v>0</v>
      </c>
      <c r="BC54" s="272"/>
      <c r="BD54" s="273"/>
      <c r="BE54" s="273"/>
      <c r="BF54" s="273"/>
      <c r="BG54" s="273"/>
      <c r="BH54" s="273"/>
      <c r="BI54" s="274"/>
      <c r="BJ54" s="275"/>
      <c r="BK54" s="276"/>
      <c r="BL54" s="276"/>
      <c r="BM54" s="276"/>
      <c r="BN54" s="276"/>
      <c r="BO54" s="276"/>
      <c r="BP54" s="277"/>
      <c r="BQ54" s="399"/>
      <c r="BR54" s="400"/>
      <c r="BS54" s="401"/>
      <c r="BT54" s="278"/>
      <c r="BU54" s="352"/>
      <c r="BV54" s="279">
        <v>127</v>
      </c>
      <c r="BW54" s="353"/>
      <c r="BX54" s="934" t="s">
        <v>120</v>
      </c>
      <c r="BY54" s="552"/>
      <c r="BZ54" s="552"/>
      <c r="CA54" s="941" t="s">
        <v>120</v>
      </c>
      <c r="CB54" s="553"/>
      <c r="CC54" s="330"/>
      <c r="CD54" s="554"/>
      <c r="CE54" s="554"/>
      <c r="CF54" s="513"/>
      <c r="CG54" s="555"/>
      <c r="CH54" s="556"/>
      <c r="CI54" s="379" t="s">
        <v>509</v>
      </c>
      <c r="CJ54" s="380" t="s">
        <v>509</v>
      </c>
      <c r="CK54" s="381" t="s">
        <v>509</v>
      </c>
      <c r="CL54" s="370" t="s">
        <v>509</v>
      </c>
      <c r="CM54" s="371" t="s">
        <v>509</v>
      </c>
      <c r="CN54" s="372" t="s">
        <v>509</v>
      </c>
      <c r="CO54" s="70" t="s">
        <v>509</v>
      </c>
      <c r="CP54" s="97" t="s">
        <v>509</v>
      </c>
      <c r="CQ54" s="69" t="s">
        <v>509</v>
      </c>
      <c r="CR54" s="280" t="s">
        <v>510</v>
      </c>
      <c r="CS54" s="118">
        <v>1</v>
      </c>
      <c r="CT54" s="119">
        <v>0.7</v>
      </c>
      <c r="CU54" s="120"/>
      <c r="CV54" s="882">
        <v>0</v>
      </c>
      <c r="CW54" s="340"/>
      <c r="CX54" s="345"/>
      <c r="CY54" s="121"/>
      <c r="CZ54" s="122"/>
      <c r="DA54" s="104">
        <v>0.9</v>
      </c>
      <c r="DB54" s="123">
        <v>0.43588989435406728</v>
      </c>
      <c r="DC54" s="949" t="s">
        <v>120</v>
      </c>
      <c r="DD54" s="124"/>
      <c r="DE54" s="124"/>
      <c r="DF54" s="125"/>
      <c r="DG54" s="126"/>
      <c r="DH54" s="121"/>
      <c r="DI54" s="127"/>
      <c r="DJ54" s="120"/>
      <c r="DK54" s="122"/>
      <c r="DL54" s="106"/>
      <c r="DM54" s="107">
        <v>0</v>
      </c>
      <c r="DN54" s="948" t="s">
        <v>120</v>
      </c>
      <c r="DO54" s="128"/>
      <c r="DP54" s="129"/>
      <c r="DQ54" s="121"/>
      <c r="DR54" s="121"/>
      <c r="DS54" s="121"/>
      <c r="DT54" s="121"/>
      <c r="DU54" s="130"/>
      <c r="DV54" s="131"/>
      <c r="DW54" s="131"/>
      <c r="DX54" s="127"/>
      <c r="DY54" s="132"/>
      <c r="DZ54" s="132"/>
      <c r="EA54" s="132"/>
      <c r="EB54" s="132"/>
      <c r="EC54" s="133"/>
      <c r="ED54" s="134"/>
      <c r="EE54" s="135"/>
      <c r="EF54" s="136">
        <v>0</v>
      </c>
      <c r="EG54" s="393">
        <v>0</v>
      </c>
      <c r="EH54" s="536"/>
      <c r="EI54" s="544">
        <v>30</v>
      </c>
      <c r="EJ54" s="14"/>
      <c r="EK54" s="14"/>
      <c r="EL54" s="14"/>
      <c r="EM54" s="540"/>
      <c r="EN54" s="546"/>
      <c r="EO54" s="11"/>
      <c r="EP54" s="883" t="s">
        <v>79</v>
      </c>
      <c r="EQ54" s="883"/>
      <c r="ER54" s="254"/>
      <c r="ES54" s="254"/>
      <c r="FC54" s="3">
        <v>0</v>
      </c>
      <c r="FD54" s="254"/>
      <c r="FE54" s="254"/>
      <c r="FF54" s="884">
        <v>1</v>
      </c>
      <c r="FG54" s="254"/>
      <c r="FH54" s="884"/>
      <c r="FI54" s="254"/>
      <c r="FJ54" s="884"/>
      <c r="FK54" s="3">
        <v>0</v>
      </c>
    </row>
    <row r="55" spans="1:167" s="3" customFormat="1">
      <c r="A55" s="254"/>
      <c r="B55" s="255"/>
      <c r="C55" s="97"/>
      <c r="D55" s="97"/>
      <c r="E55" s="880"/>
      <c r="F55" s="256">
        <v>1</v>
      </c>
      <c r="G55" s="257">
        <v>2</v>
      </c>
      <c r="H55" s="881" t="s">
        <v>29</v>
      </c>
      <c r="I55" s="258" t="s">
        <v>595</v>
      </c>
      <c r="J55" s="259">
        <v>8</v>
      </c>
      <c r="K55" s="260">
        <v>25</v>
      </c>
      <c r="L55" s="260">
        <v>3</v>
      </c>
      <c r="M55" s="261">
        <v>1</v>
      </c>
      <c r="N55" s="261">
        <v>1</v>
      </c>
      <c r="O55" s="262">
        <v>1</v>
      </c>
      <c r="P55" s="263">
        <v>4</v>
      </c>
      <c r="Q55" s="264">
        <v>1</v>
      </c>
      <c r="R55" s="264">
        <v>1</v>
      </c>
      <c r="S55" s="265">
        <v>1</v>
      </c>
      <c r="T55" s="265">
        <v>1</v>
      </c>
      <c r="U55" s="266">
        <v>1</v>
      </c>
      <c r="V55" s="267">
        <v>1</v>
      </c>
      <c r="W55" s="258" t="s">
        <v>311</v>
      </c>
      <c r="X55" s="268"/>
      <c r="Y55" s="269"/>
      <c r="Z55" s="269"/>
      <c r="AA55" s="269"/>
      <c r="AB55" s="269"/>
      <c r="AC55" s="269"/>
      <c r="AD55" s="269"/>
      <c r="AE55" s="269"/>
      <c r="AF55" s="269"/>
      <c r="AG55" s="269"/>
      <c r="AH55" s="269"/>
      <c r="AI55" s="269"/>
      <c r="AJ55" s="269"/>
      <c r="AK55" s="269"/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70"/>
      <c r="BB55" s="271">
        <v>0</v>
      </c>
      <c r="BC55" s="272"/>
      <c r="BD55" s="273"/>
      <c r="BE55" s="273"/>
      <c r="BF55" s="273"/>
      <c r="BG55" s="273"/>
      <c r="BH55" s="273"/>
      <c r="BI55" s="274"/>
      <c r="BJ55" s="275"/>
      <c r="BK55" s="276"/>
      <c r="BL55" s="276"/>
      <c r="BM55" s="276"/>
      <c r="BN55" s="276"/>
      <c r="BO55" s="276"/>
      <c r="BP55" s="277"/>
      <c r="BQ55" s="399"/>
      <c r="BR55" s="400"/>
      <c r="BS55" s="401"/>
      <c r="BT55" s="278"/>
      <c r="BU55" s="352"/>
      <c r="BV55" s="279">
        <v>127</v>
      </c>
      <c r="BW55" s="353"/>
      <c r="BX55" s="934" t="s">
        <v>120</v>
      </c>
      <c r="BY55" s="552"/>
      <c r="BZ55" s="552"/>
      <c r="CA55" s="941" t="s">
        <v>120</v>
      </c>
      <c r="CB55" s="553"/>
      <c r="CC55" s="330"/>
      <c r="CD55" s="554"/>
      <c r="CE55" s="554"/>
      <c r="CF55" s="513"/>
      <c r="CG55" s="555"/>
      <c r="CH55" s="556"/>
      <c r="CI55" s="379" t="s">
        <v>509</v>
      </c>
      <c r="CJ55" s="380" t="s">
        <v>509</v>
      </c>
      <c r="CK55" s="381" t="s">
        <v>509</v>
      </c>
      <c r="CL55" s="370" t="s">
        <v>509</v>
      </c>
      <c r="CM55" s="371" t="s">
        <v>509</v>
      </c>
      <c r="CN55" s="372" t="s">
        <v>509</v>
      </c>
      <c r="CO55" s="70" t="s">
        <v>509</v>
      </c>
      <c r="CP55" s="97" t="s">
        <v>509</v>
      </c>
      <c r="CQ55" s="69" t="s">
        <v>509</v>
      </c>
      <c r="CR55" s="280" t="s">
        <v>510</v>
      </c>
      <c r="CS55" s="118">
        <v>1</v>
      </c>
      <c r="CT55" s="119">
        <v>0.7</v>
      </c>
      <c r="CU55" s="120"/>
      <c r="CV55" s="882">
        <v>0</v>
      </c>
      <c r="CW55" s="340"/>
      <c r="CX55" s="345"/>
      <c r="CY55" s="121"/>
      <c r="CZ55" s="122"/>
      <c r="DA55" s="104">
        <v>0.9</v>
      </c>
      <c r="DB55" s="123">
        <v>0.43588989435406728</v>
      </c>
      <c r="DC55" s="949" t="s">
        <v>120</v>
      </c>
      <c r="DD55" s="124"/>
      <c r="DE55" s="124"/>
      <c r="DF55" s="125"/>
      <c r="DG55" s="126"/>
      <c r="DH55" s="121"/>
      <c r="DI55" s="127"/>
      <c r="DJ55" s="120"/>
      <c r="DK55" s="122"/>
      <c r="DL55" s="106"/>
      <c r="DM55" s="107">
        <v>0</v>
      </c>
      <c r="DN55" s="948" t="s">
        <v>120</v>
      </c>
      <c r="DO55" s="128"/>
      <c r="DP55" s="129"/>
      <c r="DQ55" s="121"/>
      <c r="DR55" s="121"/>
      <c r="DS55" s="121"/>
      <c r="DT55" s="121"/>
      <c r="DU55" s="130"/>
      <c r="DV55" s="131"/>
      <c r="DW55" s="131"/>
      <c r="DX55" s="127"/>
      <c r="DY55" s="132"/>
      <c r="DZ55" s="132"/>
      <c r="EA55" s="132"/>
      <c r="EB55" s="132"/>
      <c r="EC55" s="133"/>
      <c r="ED55" s="134"/>
      <c r="EE55" s="135"/>
      <c r="EF55" s="136">
        <v>0</v>
      </c>
      <c r="EG55" s="393">
        <v>0</v>
      </c>
      <c r="EH55" s="536"/>
      <c r="EI55" s="544">
        <v>30</v>
      </c>
      <c r="EJ55" s="14"/>
      <c r="EK55" s="14"/>
      <c r="EL55" s="14"/>
      <c r="EM55" s="540"/>
      <c r="EN55" s="546"/>
      <c r="EO55" s="11"/>
      <c r="EP55" s="883" t="s">
        <v>79</v>
      </c>
      <c r="EQ55" s="883"/>
      <c r="ER55" s="254"/>
      <c r="ES55" s="254"/>
      <c r="FC55" s="3">
        <v>0</v>
      </c>
      <c r="FD55" s="254"/>
      <c r="FE55" s="254"/>
      <c r="FF55" s="884">
        <v>1</v>
      </c>
      <c r="FG55" s="254"/>
      <c r="FH55" s="884"/>
      <c r="FI55" s="254"/>
      <c r="FJ55" s="884"/>
      <c r="FK55" s="3">
        <v>0</v>
      </c>
    </row>
    <row r="56" spans="1:167" s="3" customFormat="1">
      <c r="A56" s="254"/>
      <c r="B56" s="255"/>
      <c r="C56" s="97"/>
      <c r="D56" s="97"/>
      <c r="E56" s="880"/>
      <c r="F56" s="256">
        <v>1</v>
      </c>
      <c r="G56" s="257">
        <v>2</v>
      </c>
      <c r="H56" s="881" t="s">
        <v>29</v>
      </c>
      <c r="I56" s="258" t="s">
        <v>595</v>
      </c>
      <c r="J56" s="259">
        <v>8</v>
      </c>
      <c r="K56" s="260">
        <v>25</v>
      </c>
      <c r="L56" s="260">
        <v>3</v>
      </c>
      <c r="M56" s="261">
        <v>1</v>
      </c>
      <c r="N56" s="261">
        <v>1</v>
      </c>
      <c r="O56" s="262">
        <v>1</v>
      </c>
      <c r="P56" s="263">
        <v>4</v>
      </c>
      <c r="Q56" s="264">
        <v>1</v>
      </c>
      <c r="R56" s="264">
        <v>1</v>
      </c>
      <c r="S56" s="265">
        <v>1</v>
      </c>
      <c r="T56" s="265">
        <v>1</v>
      </c>
      <c r="U56" s="266">
        <v>1</v>
      </c>
      <c r="V56" s="267">
        <v>1</v>
      </c>
      <c r="W56" s="258" t="s">
        <v>311</v>
      </c>
      <c r="X56" s="268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  <c r="AJ56" s="269"/>
      <c r="AK56" s="269"/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70"/>
      <c r="BB56" s="271">
        <v>0</v>
      </c>
      <c r="BC56" s="272"/>
      <c r="BD56" s="273"/>
      <c r="BE56" s="273"/>
      <c r="BF56" s="273"/>
      <c r="BG56" s="273"/>
      <c r="BH56" s="273"/>
      <c r="BI56" s="274"/>
      <c r="BJ56" s="275"/>
      <c r="BK56" s="276"/>
      <c r="BL56" s="276"/>
      <c r="BM56" s="276"/>
      <c r="BN56" s="276"/>
      <c r="BO56" s="276"/>
      <c r="BP56" s="277"/>
      <c r="BQ56" s="399"/>
      <c r="BR56" s="400"/>
      <c r="BS56" s="401"/>
      <c r="BT56" s="278"/>
      <c r="BU56" s="352"/>
      <c r="BV56" s="279">
        <v>127</v>
      </c>
      <c r="BW56" s="353"/>
      <c r="BX56" s="934" t="s">
        <v>120</v>
      </c>
      <c r="BY56" s="552"/>
      <c r="BZ56" s="552"/>
      <c r="CA56" s="941" t="s">
        <v>120</v>
      </c>
      <c r="CB56" s="553"/>
      <c r="CC56" s="330"/>
      <c r="CD56" s="554"/>
      <c r="CE56" s="554"/>
      <c r="CF56" s="513"/>
      <c r="CG56" s="555"/>
      <c r="CH56" s="556"/>
      <c r="CI56" s="379" t="s">
        <v>509</v>
      </c>
      <c r="CJ56" s="380" t="s">
        <v>509</v>
      </c>
      <c r="CK56" s="381" t="s">
        <v>509</v>
      </c>
      <c r="CL56" s="370" t="s">
        <v>509</v>
      </c>
      <c r="CM56" s="371" t="s">
        <v>509</v>
      </c>
      <c r="CN56" s="372" t="s">
        <v>509</v>
      </c>
      <c r="CO56" s="70" t="s">
        <v>509</v>
      </c>
      <c r="CP56" s="97" t="s">
        <v>509</v>
      </c>
      <c r="CQ56" s="69" t="s">
        <v>509</v>
      </c>
      <c r="CR56" s="280" t="s">
        <v>510</v>
      </c>
      <c r="CS56" s="118">
        <v>1</v>
      </c>
      <c r="CT56" s="119">
        <v>0.7</v>
      </c>
      <c r="CU56" s="120"/>
      <c r="CV56" s="882">
        <v>0</v>
      </c>
      <c r="CW56" s="340"/>
      <c r="CX56" s="345"/>
      <c r="CY56" s="121"/>
      <c r="CZ56" s="122"/>
      <c r="DA56" s="104">
        <v>0.9</v>
      </c>
      <c r="DB56" s="123">
        <v>0.43588989435406728</v>
      </c>
      <c r="DC56" s="949" t="s">
        <v>120</v>
      </c>
      <c r="DD56" s="124"/>
      <c r="DE56" s="124"/>
      <c r="DF56" s="125"/>
      <c r="DG56" s="126"/>
      <c r="DH56" s="121"/>
      <c r="DI56" s="127"/>
      <c r="DJ56" s="120"/>
      <c r="DK56" s="122"/>
      <c r="DL56" s="106"/>
      <c r="DM56" s="107">
        <v>0</v>
      </c>
      <c r="DN56" s="948" t="s">
        <v>120</v>
      </c>
      <c r="DO56" s="128"/>
      <c r="DP56" s="129"/>
      <c r="DQ56" s="121"/>
      <c r="DR56" s="121"/>
      <c r="DS56" s="121"/>
      <c r="DT56" s="121"/>
      <c r="DU56" s="130"/>
      <c r="DV56" s="131"/>
      <c r="DW56" s="131"/>
      <c r="DX56" s="127"/>
      <c r="DY56" s="132"/>
      <c r="DZ56" s="132"/>
      <c r="EA56" s="132"/>
      <c r="EB56" s="132"/>
      <c r="EC56" s="133"/>
      <c r="ED56" s="134"/>
      <c r="EE56" s="135"/>
      <c r="EF56" s="136">
        <v>0</v>
      </c>
      <c r="EG56" s="393">
        <v>0</v>
      </c>
      <c r="EH56" s="536"/>
      <c r="EI56" s="544">
        <v>30</v>
      </c>
      <c r="EJ56" s="14"/>
      <c r="EK56" s="14"/>
      <c r="EL56" s="14"/>
      <c r="EM56" s="540"/>
      <c r="EN56" s="546"/>
      <c r="EO56" s="11"/>
      <c r="EP56" s="883" t="s">
        <v>79</v>
      </c>
      <c r="EQ56" s="883"/>
      <c r="ER56" s="254"/>
      <c r="ES56" s="254"/>
      <c r="FC56" s="3">
        <v>0</v>
      </c>
      <c r="FD56" s="254"/>
      <c r="FE56" s="254"/>
      <c r="FF56" s="884">
        <v>1</v>
      </c>
      <c r="FG56" s="254"/>
      <c r="FH56" s="884"/>
      <c r="FI56" s="254"/>
      <c r="FJ56" s="884"/>
      <c r="FK56" s="3">
        <v>0</v>
      </c>
    </row>
    <row r="57" spans="1:167" s="3" customFormat="1">
      <c r="A57" s="254"/>
      <c r="B57" s="255"/>
      <c r="C57" s="97"/>
      <c r="D57" s="97"/>
      <c r="E57" s="880"/>
      <c r="F57" s="256">
        <v>1</v>
      </c>
      <c r="G57" s="257">
        <v>2</v>
      </c>
      <c r="H57" s="881" t="s">
        <v>29</v>
      </c>
      <c r="I57" s="258" t="s">
        <v>595</v>
      </c>
      <c r="J57" s="259">
        <v>8</v>
      </c>
      <c r="K57" s="260">
        <v>25</v>
      </c>
      <c r="L57" s="260">
        <v>3</v>
      </c>
      <c r="M57" s="261">
        <v>1</v>
      </c>
      <c r="N57" s="261">
        <v>1</v>
      </c>
      <c r="O57" s="262">
        <v>1</v>
      </c>
      <c r="P57" s="263">
        <v>4</v>
      </c>
      <c r="Q57" s="264">
        <v>1</v>
      </c>
      <c r="R57" s="264">
        <v>1</v>
      </c>
      <c r="S57" s="265">
        <v>1</v>
      </c>
      <c r="T57" s="265">
        <v>1</v>
      </c>
      <c r="U57" s="266">
        <v>1</v>
      </c>
      <c r="V57" s="267">
        <v>1</v>
      </c>
      <c r="W57" s="258" t="s">
        <v>311</v>
      </c>
      <c r="X57" s="268"/>
      <c r="Y57" s="269"/>
      <c r="Z57" s="269"/>
      <c r="AA57" s="269"/>
      <c r="AB57" s="269"/>
      <c r="AC57" s="269"/>
      <c r="AD57" s="269"/>
      <c r="AE57" s="269"/>
      <c r="AF57" s="269"/>
      <c r="AG57" s="269"/>
      <c r="AH57" s="269"/>
      <c r="AI57" s="269"/>
      <c r="AJ57" s="269"/>
      <c r="AK57" s="269"/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70"/>
      <c r="BB57" s="271">
        <v>0</v>
      </c>
      <c r="BC57" s="272"/>
      <c r="BD57" s="273"/>
      <c r="BE57" s="273"/>
      <c r="BF57" s="273"/>
      <c r="BG57" s="273"/>
      <c r="BH57" s="273"/>
      <c r="BI57" s="274"/>
      <c r="BJ57" s="275"/>
      <c r="BK57" s="276"/>
      <c r="BL57" s="276"/>
      <c r="BM57" s="276"/>
      <c r="BN57" s="276"/>
      <c r="BO57" s="276"/>
      <c r="BP57" s="277"/>
      <c r="BQ57" s="399"/>
      <c r="BR57" s="400"/>
      <c r="BS57" s="401"/>
      <c r="BT57" s="278"/>
      <c r="BU57" s="352"/>
      <c r="BV57" s="279">
        <v>127</v>
      </c>
      <c r="BW57" s="353"/>
      <c r="BX57" s="934" t="s">
        <v>120</v>
      </c>
      <c r="BY57" s="552"/>
      <c r="BZ57" s="552"/>
      <c r="CA57" s="941" t="s">
        <v>120</v>
      </c>
      <c r="CB57" s="553"/>
      <c r="CC57" s="330"/>
      <c r="CD57" s="554"/>
      <c r="CE57" s="554"/>
      <c r="CF57" s="513"/>
      <c r="CG57" s="555"/>
      <c r="CH57" s="556"/>
      <c r="CI57" s="379" t="s">
        <v>509</v>
      </c>
      <c r="CJ57" s="380" t="s">
        <v>509</v>
      </c>
      <c r="CK57" s="381" t="s">
        <v>509</v>
      </c>
      <c r="CL57" s="370" t="s">
        <v>509</v>
      </c>
      <c r="CM57" s="371" t="s">
        <v>509</v>
      </c>
      <c r="CN57" s="372" t="s">
        <v>509</v>
      </c>
      <c r="CO57" s="70" t="s">
        <v>509</v>
      </c>
      <c r="CP57" s="97" t="s">
        <v>509</v>
      </c>
      <c r="CQ57" s="69" t="s">
        <v>509</v>
      </c>
      <c r="CR57" s="280" t="s">
        <v>510</v>
      </c>
      <c r="CS57" s="118">
        <v>1</v>
      </c>
      <c r="CT57" s="119">
        <v>0.7</v>
      </c>
      <c r="CU57" s="120"/>
      <c r="CV57" s="882">
        <v>0</v>
      </c>
      <c r="CW57" s="340"/>
      <c r="CX57" s="345"/>
      <c r="CY57" s="121"/>
      <c r="CZ57" s="122"/>
      <c r="DA57" s="104">
        <v>0.9</v>
      </c>
      <c r="DB57" s="123">
        <v>0.43588989435406728</v>
      </c>
      <c r="DC57" s="949" t="s">
        <v>120</v>
      </c>
      <c r="DD57" s="124"/>
      <c r="DE57" s="124"/>
      <c r="DF57" s="125"/>
      <c r="DG57" s="126"/>
      <c r="DH57" s="121"/>
      <c r="DI57" s="127"/>
      <c r="DJ57" s="120"/>
      <c r="DK57" s="122"/>
      <c r="DL57" s="106"/>
      <c r="DM57" s="107">
        <v>0</v>
      </c>
      <c r="DN57" s="948" t="s">
        <v>120</v>
      </c>
      <c r="DO57" s="128"/>
      <c r="DP57" s="129"/>
      <c r="DQ57" s="121"/>
      <c r="DR57" s="121"/>
      <c r="DS57" s="121"/>
      <c r="DT57" s="121"/>
      <c r="DU57" s="130"/>
      <c r="DV57" s="131"/>
      <c r="DW57" s="131"/>
      <c r="DX57" s="127"/>
      <c r="DY57" s="132"/>
      <c r="DZ57" s="132"/>
      <c r="EA57" s="132"/>
      <c r="EB57" s="132"/>
      <c r="EC57" s="133"/>
      <c r="ED57" s="134"/>
      <c r="EE57" s="135"/>
      <c r="EF57" s="136">
        <v>0</v>
      </c>
      <c r="EG57" s="393">
        <v>0</v>
      </c>
      <c r="EH57" s="536"/>
      <c r="EI57" s="544">
        <v>30</v>
      </c>
      <c r="EJ57" s="14"/>
      <c r="EK57" s="14"/>
      <c r="EL57" s="14"/>
      <c r="EM57" s="540"/>
      <c r="EN57" s="546"/>
      <c r="EO57" s="11"/>
      <c r="EP57" s="883" t="s">
        <v>79</v>
      </c>
      <c r="EQ57" s="883"/>
      <c r="ER57" s="254"/>
      <c r="ES57" s="254"/>
      <c r="FC57" s="3">
        <v>0</v>
      </c>
      <c r="FD57" s="254"/>
      <c r="FE57" s="254"/>
      <c r="FF57" s="884">
        <v>1</v>
      </c>
      <c r="FG57" s="254"/>
      <c r="FH57" s="884"/>
      <c r="FI57" s="254"/>
      <c r="FJ57" s="884"/>
      <c r="FK57" s="3">
        <v>0</v>
      </c>
    </row>
    <row r="58" spans="1:167" s="3" customFormat="1">
      <c r="A58" s="254"/>
      <c r="B58" s="255"/>
      <c r="C58" s="97"/>
      <c r="D58" s="97"/>
      <c r="E58" s="880"/>
      <c r="F58" s="256">
        <v>1</v>
      </c>
      <c r="G58" s="257">
        <v>2</v>
      </c>
      <c r="H58" s="881" t="s">
        <v>29</v>
      </c>
      <c r="I58" s="258" t="s">
        <v>595</v>
      </c>
      <c r="J58" s="259">
        <v>8</v>
      </c>
      <c r="K58" s="260">
        <v>25</v>
      </c>
      <c r="L58" s="260">
        <v>3</v>
      </c>
      <c r="M58" s="261">
        <v>1</v>
      </c>
      <c r="N58" s="261">
        <v>1</v>
      </c>
      <c r="O58" s="262">
        <v>1</v>
      </c>
      <c r="P58" s="263">
        <v>4</v>
      </c>
      <c r="Q58" s="264">
        <v>1</v>
      </c>
      <c r="R58" s="264">
        <v>1</v>
      </c>
      <c r="S58" s="265">
        <v>1</v>
      </c>
      <c r="T58" s="265">
        <v>1</v>
      </c>
      <c r="U58" s="266">
        <v>1</v>
      </c>
      <c r="V58" s="267">
        <v>1</v>
      </c>
      <c r="W58" s="258" t="s">
        <v>311</v>
      </c>
      <c r="X58" s="268"/>
      <c r="Y58" s="269"/>
      <c r="Z58" s="269"/>
      <c r="AA58" s="269"/>
      <c r="AB58" s="269"/>
      <c r="AC58" s="269"/>
      <c r="AD58" s="269"/>
      <c r="AE58" s="269"/>
      <c r="AF58" s="269"/>
      <c r="AG58" s="269"/>
      <c r="AH58" s="269"/>
      <c r="AI58" s="269"/>
      <c r="AJ58" s="269"/>
      <c r="AK58" s="269"/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70"/>
      <c r="BB58" s="271">
        <v>0</v>
      </c>
      <c r="BC58" s="272"/>
      <c r="BD58" s="273"/>
      <c r="BE58" s="273"/>
      <c r="BF58" s="273"/>
      <c r="BG58" s="273"/>
      <c r="BH58" s="273"/>
      <c r="BI58" s="274"/>
      <c r="BJ58" s="275"/>
      <c r="BK58" s="276"/>
      <c r="BL58" s="276"/>
      <c r="BM58" s="276"/>
      <c r="BN58" s="276"/>
      <c r="BO58" s="276"/>
      <c r="BP58" s="277"/>
      <c r="BQ58" s="399"/>
      <c r="BR58" s="400"/>
      <c r="BS58" s="401"/>
      <c r="BT58" s="278"/>
      <c r="BU58" s="352"/>
      <c r="BV58" s="279">
        <v>127</v>
      </c>
      <c r="BW58" s="353"/>
      <c r="BX58" s="934" t="s">
        <v>120</v>
      </c>
      <c r="BY58" s="552"/>
      <c r="BZ58" s="552"/>
      <c r="CA58" s="941" t="s">
        <v>120</v>
      </c>
      <c r="CB58" s="553"/>
      <c r="CC58" s="330"/>
      <c r="CD58" s="554"/>
      <c r="CE58" s="554"/>
      <c r="CF58" s="513"/>
      <c r="CG58" s="555"/>
      <c r="CH58" s="556"/>
      <c r="CI58" s="379" t="s">
        <v>509</v>
      </c>
      <c r="CJ58" s="380" t="s">
        <v>509</v>
      </c>
      <c r="CK58" s="381" t="s">
        <v>509</v>
      </c>
      <c r="CL58" s="370" t="s">
        <v>509</v>
      </c>
      <c r="CM58" s="371" t="s">
        <v>509</v>
      </c>
      <c r="CN58" s="372" t="s">
        <v>509</v>
      </c>
      <c r="CO58" s="70" t="s">
        <v>509</v>
      </c>
      <c r="CP58" s="97" t="s">
        <v>509</v>
      </c>
      <c r="CQ58" s="69" t="s">
        <v>509</v>
      </c>
      <c r="CR58" s="280" t="s">
        <v>510</v>
      </c>
      <c r="CS58" s="118">
        <v>1</v>
      </c>
      <c r="CT58" s="119">
        <v>0.7</v>
      </c>
      <c r="CU58" s="120"/>
      <c r="CV58" s="882">
        <v>0</v>
      </c>
      <c r="CW58" s="340"/>
      <c r="CX58" s="345"/>
      <c r="CY58" s="121"/>
      <c r="CZ58" s="122"/>
      <c r="DA58" s="104">
        <v>0.9</v>
      </c>
      <c r="DB58" s="123">
        <v>0.43588989435406728</v>
      </c>
      <c r="DC58" s="949" t="s">
        <v>120</v>
      </c>
      <c r="DD58" s="124"/>
      <c r="DE58" s="124"/>
      <c r="DF58" s="125"/>
      <c r="DG58" s="126"/>
      <c r="DH58" s="121"/>
      <c r="DI58" s="127"/>
      <c r="DJ58" s="120"/>
      <c r="DK58" s="122"/>
      <c r="DL58" s="106"/>
      <c r="DM58" s="107">
        <v>0</v>
      </c>
      <c r="DN58" s="948" t="s">
        <v>120</v>
      </c>
      <c r="DO58" s="128"/>
      <c r="DP58" s="129"/>
      <c r="DQ58" s="121"/>
      <c r="DR58" s="121"/>
      <c r="DS58" s="121"/>
      <c r="DT58" s="121"/>
      <c r="DU58" s="130"/>
      <c r="DV58" s="131"/>
      <c r="DW58" s="131"/>
      <c r="DX58" s="127"/>
      <c r="DY58" s="132"/>
      <c r="DZ58" s="132"/>
      <c r="EA58" s="132"/>
      <c r="EB58" s="132"/>
      <c r="EC58" s="133"/>
      <c r="ED58" s="134"/>
      <c r="EE58" s="135"/>
      <c r="EF58" s="136">
        <v>0</v>
      </c>
      <c r="EG58" s="393">
        <v>0</v>
      </c>
      <c r="EH58" s="536"/>
      <c r="EI58" s="544">
        <v>30</v>
      </c>
      <c r="EJ58" s="14"/>
      <c r="EK58" s="14"/>
      <c r="EL58" s="14"/>
      <c r="EM58" s="540"/>
      <c r="EN58" s="546"/>
      <c r="EO58" s="11"/>
      <c r="EP58" s="883" t="s">
        <v>79</v>
      </c>
      <c r="EQ58" s="883"/>
      <c r="ER58" s="254"/>
      <c r="ES58" s="254"/>
      <c r="FC58" s="3">
        <v>0</v>
      </c>
      <c r="FD58" s="254"/>
      <c r="FE58" s="254"/>
      <c r="FF58" s="884">
        <v>1</v>
      </c>
      <c r="FG58" s="254"/>
      <c r="FH58" s="884"/>
      <c r="FI58" s="254"/>
      <c r="FJ58" s="884"/>
      <c r="FK58" s="3">
        <v>0</v>
      </c>
    </row>
    <row r="59" spans="1:167" s="3" customFormat="1">
      <c r="A59" s="254"/>
      <c r="B59" s="255"/>
      <c r="C59" s="97"/>
      <c r="D59" s="97"/>
      <c r="E59" s="880"/>
      <c r="F59" s="256">
        <v>1</v>
      </c>
      <c r="G59" s="257">
        <v>2</v>
      </c>
      <c r="H59" s="881" t="s">
        <v>29</v>
      </c>
      <c r="I59" s="258" t="s">
        <v>595</v>
      </c>
      <c r="J59" s="259">
        <v>8</v>
      </c>
      <c r="K59" s="260">
        <v>25</v>
      </c>
      <c r="L59" s="260">
        <v>3</v>
      </c>
      <c r="M59" s="261">
        <v>1</v>
      </c>
      <c r="N59" s="261">
        <v>1</v>
      </c>
      <c r="O59" s="262">
        <v>1</v>
      </c>
      <c r="P59" s="263">
        <v>4</v>
      </c>
      <c r="Q59" s="264">
        <v>1</v>
      </c>
      <c r="R59" s="264">
        <v>1</v>
      </c>
      <c r="S59" s="265">
        <v>1</v>
      </c>
      <c r="T59" s="265">
        <v>1</v>
      </c>
      <c r="U59" s="266">
        <v>1</v>
      </c>
      <c r="V59" s="267">
        <v>1</v>
      </c>
      <c r="W59" s="258" t="s">
        <v>311</v>
      </c>
      <c r="X59" s="268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  <c r="AJ59" s="269"/>
      <c r="AK59" s="269"/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70"/>
      <c r="BB59" s="271">
        <v>0</v>
      </c>
      <c r="BC59" s="272"/>
      <c r="BD59" s="273"/>
      <c r="BE59" s="273"/>
      <c r="BF59" s="273"/>
      <c r="BG59" s="273"/>
      <c r="BH59" s="273"/>
      <c r="BI59" s="274"/>
      <c r="BJ59" s="275"/>
      <c r="BK59" s="276"/>
      <c r="BL59" s="276"/>
      <c r="BM59" s="276"/>
      <c r="BN59" s="276"/>
      <c r="BO59" s="276"/>
      <c r="BP59" s="277"/>
      <c r="BQ59" s="399"/>
      <c r="BR59" s="400"/>
      <c r="BS59" s="401"/>
      <c r="BT59" s="278"/>
      <c r="BU59" s="352"/>
      <c r="BV59" s="279">
        <v>127</v>
      </c>
      <c r="BW59" s="353"/>
      <c r="BX59" s="934" t="s">
        <v>120</v>
      </c>
      <c r="BY59" s="552"/>
      <c r="BZ59" s="552"/>
      <c r="CA59" s="941" t="s">
        <v>120</v>
      </c>
      <c r="CB59" s="553"/>
      <c r="CC59" s="330"/>
      <c r="CD59" s="554"/>
      <c r="CE59" s="554"/>
      <c r="CF59" s="513"/>
      <c r="CG59" s="555"/>
      <c r="CH59" s="556"/>
      <c r="CI59" s="379" t="s">
        <v>509</v>
      </c>
      <c r="CJ59" s="380" t="s">
        <v>509</v>
      </c>
      <c r="CK59" s="381" t="s">
        <v>509</v>
      </c>
      <c r="CL59" s="370" t="s">
        <v>509</v>
      </c>
      <c r="CM59" s="371" t="s">
        <v>509</v>
      </c>
      <c r="CN59" s="372" t="s">
        <v>509</v>
      </c>
      <c r="CO59" s="70" t="s">
        <v>509</v>
      </c>
      <c r="CP59" s="97" t="s">
        <v>509</v>
      </c>
      <c r="CQ59" s="69" t="s">
        <v>509</v>
      </c>
      <c r="CR59" s="280" t="s">
        <v>510</v>
      </c>
      <c r="CS59" s="118">
        <v>1</v>
      </c>
      <c r="CT59" s="119">
        <v>0.7</v>
      </c>
      <c r="CU59" s="120"/>
      <c r="CV59" s="882">
        <v>0</v>
      </c>
      <c r="CW59" s="340"/>
      <c r="CX59" s="345"/>
      <c r="CY59" s="121"/>
      <c r="CZ59" s="122"/>
      <c r="DA59" s="104">
        <v>0.9</v>
      </c>
      <c r="DB59" s="123">
        <v>0.43588989435406728</v>
      </c>
      <c r="DC59" s="949" t="s">
        <v>120</v>
      </c>
      <c r="DD59" s="124"/>
      <c r="DE59" s="124"/>
      <c r="DF59" s="125"/>
      <c r="DG59" s="126"/>
      <c r="DH59" s="121"/>
      <c r="DI59" s="127"/>
      <c r="DJ59" s="120"/>
      <c r="DK59" s="122"/>
      <c r="DL59" s="106"/>
      <c r="DM59" s="107">
        <v>0</v>
      </c>
      <c r="DN59" s="948" t="s">
        <v>120</v>
      </c>
      <c r="DO59" s="128"/>
      <c r="DP59" s="129"/>
      <c r="DQ59" s="121"/>
      <c r="DR59" s="121"/>
      <c r="DS59" s="121"/>
      <c r="DT59" s="121"/>
      <c r="DU59" s="130"/>
      <c r="DV59" s="131"/>
      <c r="DW59" s="131"/>
      <c r="DX59" s="127"/>
      <c r="DY59" s="132"/>
      <c r="DZ59" s="132"/>
      <c r="EA59" s="132"/>
      <c r="EB59" s="132"/>
      <c r="EC59" s="133"/>
      <c r="ED59" s="134"/>
      <c r="EE59" s="135"/>
      <c r="EF59" s="136">
        <v>0</v>
      </c>
      <c r="EG59" s="393">
        <v>0</v>
      </c>
      <c r="EH59" s="536"/>
      <c r="EI59" s="544">
        <v>30</v>
      </c>
      <c r="EJ59" s="14"/>
      <c r="EK59" s="14"/>
      <c r="EL59" s="14"/>
      <c r="EM59" s="540"/>
      <c r="EN59" s="546"/>
      <c r="EO59" s="11"/>
      <c r="EP59" s="883" t="s">
        <v>79</v>
      </c>
      <c r="EQ59" s="883"/>
      <c r="ER59" s="254"/>
      <c r="ES59" s="254"/>
      <c r="FC59" s="3">
        <v>0</v>
      </c>
      <c r="FD59" s="254"/>
      <c r="FE59" s="254"/>
      <c r="FF59" s="884">
        <v>1</v>
      </c>
      <c r="FG59" s="254"/>
      <c r="FH59" s="884"/>
      <c r="FI59" s="254"/>
      <c r="FJ59" s="884"/>
      <c r="FK59" s="3">
        <v>0</v>
      </c>
    </row>
    <row r="60" spans="1:167" s="3" customFormat="1">
      <c r="A60" s="254"/>
      <c r="B60" s="255"/>
      <c r="C60" s="97"/>
      <c r="D60" s="97"/>
      <c r="E60" s="880"/>
      <c r="F60" s="256">
        <v>1</v>
      </c>
      <c r="G60" s="257">
        <v>2</v>
      </c>
      <c r="H60" s="881" t="s">
        <v>29</v>
      </c>
      <c r="I60" s="258" t="s">
        <v>595</v>
      </c>
      <c r="J60" s="259">
        <v>8</v>
      </c>
      <c r="K60" s="260">
        <v>25</v>
      </c>
      <c r="L60" s="260">
        <v>3</v>
      </c>
      <c r="M60" s="261">
        <v>1</v>
      </c>
      <c r="N60" s="261">
        <v>1</v>
      </c>
      <c r="O60" s="262">
        <v>1</v>
      </c>
      <c r="P60" s="263">
        <v>4</v>
      </c>
      <c r="Q60" s="264">
        <v>1</v>
      </c>
      <c r="R60" s="264">
        <v>1</v>
      </c>
      <c r="S60" s="265">
        <v>1</v>
      </c>
      <c r="T60" s="265">
        <v>1</v>
      </c>
      <c r="U60" s="266">
        <v>1</v>
      </c>
      <c r="V60" s="267">
        <v>1</v>
      </c>
      <c r="W60" s="258" t="s">
        <v>311</v>
      </c>
      <c r="X60" s="268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  <c r="AJ60" s="269"/>
      <c r="AK60" s="269"/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70"/>
      <c r="BB60" s="271">
        <v>0</v>
      </c>
      <c r="BC60" s="272"/>
      <c r="BD60" s="273"/>
      <c r="BE60" s="273"/>
      <c r="BF60" s="273"/>
      <c r="BG60" s="273"/>
      <c r="BH60" s="273"/>
      <c r="BI60" s="274"/>
      <c r="BJ60" s="275"/>
      <c r="BK60" s="276"/>
      <c r="BL60" s="276"/>
      <c r="BM60" s="276"/>
      <c r="BN60" s="276"/>
      <c r="BO60" s="276"/>
      <c r="BP60" s="277"/>
      <c r="BQ60" s="399"/>
      <c r="BR60" s="400"/>
      <c r="BS60" s="401"/>
      <c r="BT60" s="278"/>
      <c r="BU60" s="352"/>
      <c r="BV60" s="279">
        <v>127</v>
      </c>
      <c r="BW60" s="353"/>
      <c r="BX60" s="934" t="s">
        <v>120</v>
      </c>
      <c r="BY60" s="552"/>
      <c r="BZ60" s="552"/>
      <c r="CA60" s="941" t="s">
        <v>120</v>
      </c>
      <c r="CB60" s="553"/>
      <c r="CC60" s="330"/>
      <c r="CD60" s="554"/>
      <c r="CE60" s="554"/>
      <c r="CF60" s="513"/>
      <c r="CG60" s="555"/>
      <c r="CH60" s="556"/>
      <c r="CI60" s="379" t="s">
        <v>509</v>
      </c>
      <c r="CJ60" s="380" t="s">
        <v>509</v>
      </c>
      <c r="CK60" s="381" t="s">
        <v>509</v>
      </c>
      <c r="CL60" s="370" t="s">
        <v>509</v>
      </c>
      <c r="CM60" s="371" t="s">
        <v>509</v>
      </c>
      <c r="CN60" s="372" t="s">
        <v>509</v>
      </c>
      <c r="CO60" s="70" t="s">
        <v>509</v>
      </c>
      <c r="CP60" s="97" t="s">
        <v>509</v>
      </c>
      <c r="CQ60" s="69" t="s">
        <v>509</v>
      </c>
      <c r="CR60" s="280" t="s">
        <v>510</v>
      </c>
      <c r="CS60" s="118">
        <v>1</v>
      </c>
      <c r="CT60" s="119">
        <v>0.7</v>
      </c>
      <c r="CU60" s="120"/>
      <c r="CV60" s="882">
        <v>0</v>
      </c>
      <c r="CW60" s="340"/>
      <c r="CX60" s="345"/>
      <c r="CY60" s="121"/>
      <c r="CZ60" s="122"/>
      <c r="DA60" s="104">
        <v>0.9</v>
      </c>
      <c r="DB60" s="123">
        <v>0.43588989435406728</v>
      </c>
      <c r="DC60" s="949" t="s">
        <v>120</v>
      </c>
      <c r="DD60" s="124"/>
      <c r="DE60" s="124"/>
      <c r="DF60" s="125"/>
      <c r="DG60" s="126"/>
      <c r="DH60" s="121"/>
      <c r="DI60" s="127"/>
      <c r="DJ60" s="120"/>
      <c r="DK60" s="122"/>
      <c r="DL60" s="106"/>
      <c r="DM60" s="107">
        <v>0</v>
      </c>
      <c r="DN60" s="948" t="s">
        <v>120</v>
      </c>
      <c r="DO60" s="128"/>
      <c r="DP60" s="129"/>
      <c r="DQ60" s="121"/>
      <c r="DR60" s="121"/>
      <c r="DS60" s="121"/>
      <c r="DT60" s="121"/>
      <c r="DU60" s="130"/>
      <c r="DV60" s="131"/>
      <c r="DW60" s="131"/>
      <c r="DX60" s="127"/>
      <c r="DY60" s="132"/>
      <c r="DZ60" s="132"/>
      <c r="EA60" s="132"/>
      <c r="EB60" s="132"/>
      <c r="EC60" s="133"/>
      <c r="ED60" s="134"/>
      <c r="EE60" s="135"/>
      <c r="EF60" s="136">
        <v>0</v>
      </c>
      <c r="EG60" s="393">
        <v>0</v>
      </c>
      <c r="EH60" s="536"/>
      <c r="EI60" s="544">
        <v>30</v>
      </c>
      <c r="EJ60" s="14"/>
      <c r="EK60" s="14"/>
      <c r="EL60" s="14"/>
      <c r="EM60" s="540"/>
      <c r="EN60" s="546"/>
      <c r="EO60" s="11"/>
      <c r="EP60" s="883" t="s">
        <v>79</v>
      </c>
      <c r="EQ60" s="883"/>
      <c r="ER60" s="254"/>
      <c r="ES60" s="254"/>
      <c r="FC60" s="3">
        <v>0</v>
      </c>
      <c r="FD60" s="254"/>
      <c r="FE60" s="254"/>
      <c r="FF60" s="884">
        <v>1</v>
      </c>
      <c r="FG60" s="254"/>
      <c r="FH60" s="884"/>
      <c r="FI60" s="254"/>
      <c r="FJ60" s="884"/>
      <c r="FK60" s="3">
        <v>0</v>
      </c>
    </row>
    <row r="61" spans="1:167" s="3" customFormat="1">
      <c r="A61" s="254"/>
      <c r="B61" s="255">
        <v>31</v>
      </c>
      <c r="C61" s="97"/>
      <c r="D61" s="97"/>
      <c r="E61" s="880"/>
      <c r="F61" s="256">
        <v>1</v>
      </c>
      <c r="G61" s="257">
        <v>2</v>
      </c>
      <c r="H61" s="881" t="s">
        <v>29</v>
      </c>
      <c r="I61" s="258" t="s">
        <v>595</v>
      </c>
      <c r="J61" s="259">
        <v>8</v>
      </c>
      <c r="K61" s="260">
        <v>25</v>
      </c>
      <c r="L61" s="260">
        <v>3</v>
      </c>
      <c r="M61" s="261">
        <v>1</v>
      </c>
      <c r="N61" s="261">
        <v>1</v>
      </c>
      <c r="O61" s="262">
        <v>1</v>
      </c>
      <c r="P61" s="263">
        <v>4</v>
      </c>
      <c r="Q61" s="264">
        <v>1</v>
      </c>
      <c r="R61" s="264">
        <v>1</v>
      </c>
      <c r="S61" s="265">
        <v>1</v>
      </c>
      <c r="T61" s="265">
        <v>1</v>
      </c>
      <c r="U61" s="266">
        <v>1</v>
      </c>
      <c r="V61" s="267">
        <v>1</v>
      </c>
      <c r="W61" s="258" t="s">
        <v>311</v>
      </c>
      <c r="X61" s="268"/>
      <c r="Y61" s="269"/>
      <c r="Z61" s="269"/>
      <c r="AA61" s="269"/>
      <c r="AB61" s="269"/>
      <c r="AC61" s="269"/>
      <c r="AD61" s="269"/>
      <c r="AE61" s="269"/>
      <c r="AF61" s="269"/>
      <c r="AG61" s="269"/>
      <c r="AH61" s="269"/>
      <c r="AI61" s="269"/>
      <c r="AJ61" s="269"/>
      <c r="AK61" s="269"/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70"/>
      <c r="BB61" s="271">
        <v>0</v>
      </c>
      <c r="BC61" s="272"/>
      <c r="BD61" s="273"/>
      <c r="BE61" s="273"/>
      <c r="BF61" s="273"/>
      <c r="BG61" s="273"/>
      <c r="BH61" s="273"/>
      <c r="BI61" s="274"/>
      <c r="BJ61" s="275"/>
      <c r="BK61" s="276"/>
      <c r="BL61" s="276"/>
      <c r="BM61" s="276"/>
      <c r="BN61" s="276"/>
      <c r="BO61" s="276"/>
      <c r="BP61" s="277"/>
      <c r="BQ61" s="399"/>
      <c r="BR61" s="400"/>
      <c r="BS61" s="401"/>
      <c r="BT61" s="278"/>
      <c r="BU61" s="352"/>
      <c r="BV61" s="279">
        <v>127</v>
      </c>
      <c r="BW61" s="353"/>
      <c r="BX61" s="934" t="s">
        <v>120</v>
      </c>
      <c r="BY61" s="552"/>
      <c r="BZ61" s="552"/>
      <c r="CA61" s="941" t="s">
        <v>120</v>
      </c>
      <c r="CB61" s="553"/>
      <c r="CC61" s="330"/>
      <c r="CD61" s="554"/>
      <c r="CE61" s="554"/>
      <c r="CF61" s="513"/>
      <c r="CG61" s="555"/>
      <c r="CH61" s="556"/>
      <c r="CI61" s="379" t="s">
        <v>509</v>
      </c>
      <c r="CJ61" s="380" t="s">
        <v>509</v>
      </c>
      <c r="CK61" s="381" t="s">
        <v>509</v>
      </c>
      <c r="CL61" s="370" t="s">
        <v>509</v>
      </c>
      <c r="CM61" s="371" t="s">
        <v>509</v>
      </c>
      <c r="CN61" s="372" t="s">
        <v>509</v>
      </c>
      <c r="CO61" s="70" t="s">
        <v>32</v>
      </c>
      <c r="CP61" s="97" t="s">
        <v>509</v>
      </c>
      <c r="CQ61" s="69" t="s">
        <v>509</v>
      </c>
      <c r="CR61" s="280" t="s">
        <v>510</v>
      </c>
      <c r="CS61" s="118">
        <v>1</v>
      </c>
      <c r="CT61" s="119">
        <v>0.7</v>
      </c>
      <c r="CU61" s="120"/>
      <c r="CV61" s="882">
        <v>0</v>
      </c>
      <c r="CW61" s="340"/>
      <c r="CX61" s="345"/>
      <c r="CY61" s="121"/>
      <c r="CZ61" s="122"/>
      <c r="DA61" s="104">
        <v>0.9</v>
      </c>
      <c r="DB61" s="123">
        <v>0.43588989435406728</v>
      </c>
      <c r="DC61" s="949" t="s">
        <v>120</v>
      </c>
      <c r="DD61" s="124"/>
      <c r="DE61" s="124"/>
      <c r="DF61" s="125"/>
      <c r="DG61" s="126"/>
      <c r="DH61" s="121"/>
      <c r="DI61" s="127"/>
      <c r="DJ61" s="120"/>
      <c r="DK61" s="122"/>
      <c r="DL61" s="106"/>
      <c r="DM61" s="107">
        <v>0</v>
      </c>
      <c r="DN61" s="948" t="s">
        <v>120</v>
      </c>
      <c r="DO61" s="128"/>
      <c r="DP61" s="129"/>
      <c r="DQ61" s="121"/>
      <c r="DR61" s="121"/>
      <c r="DS61" s="121"/>
      <c r="DT61" s="121"/>
      <c r="DU61" s="130"/>
      <c r="DV61" s="131"/>
      <c r="DW61" s="131"/>
      <c r="DX61" s="127"/>
      <c r="DY61" s="132"/>
      <c r="DZ61" s="132"/>
      <c r="EA61" s="132"/>
      <c r="EB61" s="132"/>
      <c r="EC61" s="133"/>
      <c r="ED61" s="134"/>
      <c r="EE61" s="135"/>
      <c r="EF61" s="136">
        <v>0</v>
      </c>
      <c r="EG61" s="393">
        <v>0</v>
      </c>
      <c r="EH61" s="536"/>
      <c r="EI61" s="544">
        <v>30</v>
      </c>
      <c r="EJ61" s="14"/>
      <c r="EK61" s="14"/>
      <c r="EL61" s="14"/>
      <c r="EM61" s="540"/>
      <c r="EN61" s="546"/>
      <c r="EO61" s="11"/>
      <c r="EP61" s="883" t="s">
        <v>79</v>
      </c>
      <c r="EQ61" s="883"/>
      <c r="ER61" s="254"/>
      <c r="ES61" s="254"/>
      <c r="FC61" s="3">
        <v>0</v>
      </c>
      <c r="FD61" s="254"/>
      <c r="FE61" s="254"/>
      <c r="FF61" s="884">
        <v>1</v>
      </c>
      <c r="FG61" s="254"/>
      <c r="FH61" s="884"/>
      <c r="FI61" s="254"/>
      <c r="FJ61" s="884"/>
      <c r="FK61" s="3">
        <v>0</v>
      </c>
    </row>
    <row r="62" spans="1:167" s="3" customFormat="1">
      <c r="A62" s="254"/>
      <c r="B62" s="255">
        <v>32</v>
      </c>
      <c r="C62" s="97"/>
      <c r="D62" s="97"/>
      <c r="E62" s="880"/>
      <c r="F62" s="256">
        <v>1</v>
      </c>
      <c r="G62" s="257">
        <v>2</v>
      </c>
      <c r="H62" s="881" t="s">
        <v>29</v>
      </c>
      <c r="I62" s="258" t="s">
        <v>595</v>
      </c>
      <c r="J62" s="259">
        <v>8</v>
      </c>
      <c r="K62" s="260">
        <v>25</v>
      </c>
      <c r="L62" s="260">
        <v>3</v>
      </c>
      <c r="M62" s="261">
        <v>1</v>
      </c>
      <c r="N62" s="261">
        <v>1</v>
      </c>
      <c r="O62" s="262">
        <v>1</v>
      </c>
      <c r="P62" s="263">
        <v>4</v>
      </c>
      <c r="Q62" s="264">
        <v>1</v>
      </c>
      <c r="R62" s="264">
        <v>1</v>
      </c>
      <c r="S62" s="265">
        <v>1</v>
      </c>
      <c r="T62" s="265">
        <v>1</v>
      </c>
      <c r="U62" s="266">
        <v>1</v>
      </c>
      <c r="V62" s="267">
        <v>1</v>
      </c>
      <c r="W62" s="258" t="s">
        <v>311</v>
      </c>
      <c r="X62" s="268"/>
      <c r="Y62" s="269"/>
      <c r="Z62" s="269"/>
      <c r="AA62" s="269"/>
      <c r="AB62" s="269"/>
      <c r="AC62" s="269"/>
      <c r="AD62" s="269"/>
      <c r="AE62" s="269"/>
      <c r="AF62" s="269"/>
      <c r="AG62" s="269"/>
      <c r="AH62" s="269"/>
      <c r="AI62" s="269"/>
      <c r="AJ62" s="269"/>
      <c r="AK62" s="269"/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70"/>
      <c r="BB62" s="271">
        <v>0</v>
      </c>
      <c r="BC62" s="272"/>
      <c r="BD62" s="273"/>
      <c r="BE62" s="273"/>
      <c r="BF62" s="273"/>
      <c r="BG62" s="273"/>
      <c r="BH62" s="273"/>
      <c r="BI62" s="274"/>
      <c r="BJ62" s="275"/>
      <c r="BK62" s="276"/>
      <c r="BL62" s="276"/>
      <c r="BM62" s="276"/>
      <c r="BN62" s="276"/>
      <c r="BO62" s="276"/>
      <c r="BP62" s="277"/>
      <c r="BQ62" s="399"/>
      <c r="BR62" s="400"/>
      <c r="BS62" s="401"/>
      <c r="BT62" s="278"/>
      <c r="BU62" s="352"/>
      <c r="BV62" s="279">
        <v>127</v>
      </c>
      <c r="BW62" s="353"/>
      <c r="BX62" s="934" t="s">
        <v>120</v>
      </c>
      <c r="BY62" s="552"/>
      <c r="BZ62" s="552"/>
      <c r="CA62" s="941" t="s">
        <v>120</v>
      </c>
      <c r="CB62" s="553"/>
      <c r="CC62" s="330"/>
      <c r="CD62" s="554"/>
      <c r="CE62" s="554"/>
      <c r="CF62" s="513"/>
      <c r="CG62" s="555"/>
      <c r="CH62" s="556"/>
      <c r="CI62" s="379" t="s">
        <v>509</v>
      </c>
      <c r="CJ62" s="380" t="s">
        <v>509</v>
      </c>
      <c r="CK62" s="381" t="s">
        <v>509</v>
      </c>
      <c r="CL62" s="370" t="s">
        <v>509</v>
      </c>
      <c r="CM62" s="371" t="s">
        <v>509</v>
      </c>
      <c r="CN62" s="372" t="s">
        <v>509</v>
      </c>
      <c r="CO62" s="70" t="s">
        <v>32</v>
      </c>
      <c r="CP62" s="97" t="s">
        <v>509</v>
      </c>
      <c r="CQ62" s="69" t="s">
        <v>509</v>
      </c>
      <c r="CR62" s="280" t="s">
        <v>510</v>
      </c>
      <c r="CS62" s="118">
        <v>1</v>
      </c>
      <c r="CT62" s="119">
        <v>0.7</v>
      </c>
      <c r="CU62" s="120"/>
      <c r="CV62" s="882">
        <v>0</v>
      </c>
      <c r="CW62" s="340"/>
      <c r="CX62" s="345"/>
      <c r="CY62" s="121"/>
      <c r="CZ62" s="122"/>
      <c r="DA62" s="104">
        <v>0.9</v>
      </c>
      <c r="DB62" s="123">
        <v>0.43588989435406728</v>
      </c>
      <c r="DC62" s="949" t="s">
        <v>120</v>
      </c>
      <c r="DD62" s="124"/>
      <c r="DE62" s="124"/>
      <c r="DF62" s="125"/>
      <c r="DG62" s="126"/>
      <c r="DH62" s="121"/>
      <c r="DI62" s="127"/>
      <c r="DJ62" s="120"/>
      <c r="DK62" s="122"/>
      <c r="DL62" s="106"/>
      <c r="DM62" s="107">
        <v>0</v>
      </c>
      <c r="DN62" s="948" t="s">
        <v>120</v>
      </c>
      <c r="DO62" s="128"/>
      <c r="DP62" s="129"/>
      <c r="DQ62" s="121"/>
      <c r="DR62" s="121"/>
      <c r="DS62" s="121"/>
      <c r="DT62" s="121"/>
      <c r="DU62" s="130"/>
      <c r="DV62" s="131"/>
      <c r="DW62" s="131"/>
      <c r="DX62" s="127"/>
      <c r="DY62" s="132"/>
      <c r="DZ62" s="132"/>
      <c r="EA62" s="132"/>
      <c r="EB62" s="132"/>
      <c r="EC62" s="133"/>
      <c r="ED62" s="134"/>
      <c r="EE62" s="135"/>
      <c r="EF62" s="136">
        <v>0</v>
      </c>
      <c r="EG62" s="393">
        <v>0</v>
      </c>
      <c r="EH62" s="536"/>
      <c r="EI62" s="544">
        <v>30</v>
      </c>
      <c r="EJ62" s="14"/>
      <c r="EK62" s="14"/>
      <c r="EL62" s="14"/>
      <c r="EM62" s="540"/>
      <c r="EN62" s="546"/>
      <c r="EO62" s="11"/>
      <c r="EP62" s="883" t="s">
        <v>79</v>
      </c>
      <c r="EQ62" s="883"/>
      <c r="ER62" s="254"/>
      <c r="ES62" s="254"/>
      <c r="FC62" s="3">
        <v>0</v>
      </c>
      <c r="FD62" s="254"/>
      <c r="FE62" s="254"/>
      <c r="FF62" s="884">
        <v>1</v>
      </c>
      <c r="FG62" s="254"/>
      <c r="FH62" s="884"/>
      <c r="FI62" s="254"/>
      <c r="FJ62" s="884"/>
      <c r="FK62" s="3">
        <v>0</v>
      </c>
    </row>
    <row r="63" spans="1:167" s="3" customFormat="1">
      <c r="A63" s="254"/>
      <c r="B63" s="255">
        <v>33</v>
      </c>
      <c r="C63" s="97"/>
      <c r="D63" s="97"/>
      <c r="E63" s="880"/>
      <c r="F63" s="256">
        <v>1</v>
      </c>
      <c r="G63" s="257">
        <v>2</v>
      </c>
      <c r="H63" s="881" t="s">
        <v>29</v>
      </c>
      <c r="I63" s="258" t="s">
        <v>595</v>
      </c>
      <c r="J63" s="259">
        <v>8</v>
      </c>
      <c r="K63" s="260">
        <v>25</v>
      </c>
      <c r="L63" s="260">
        <v>3</v>
      </c>
      <c r="M63" s="261">
        <v>1</v>
      </c>
      <c r="N63" s="261">
        <v>1</v>
      </c>
      <c r="O63" s="262">
        <v>1</v>
      </c>
      <c r="P63" s="263">
        <v>4</v>
      </c>
      <c r="Q63" s="264">
        <v>1</v>
      </c>
      <c r="R63" s="264">
        <v>1</v>
      </c>
      <c r="S63" s="265">
        <v>1</v>
      </c>
      <c r="T63" s="265">
        <v>1</v>
      </c>
      <c r="U63" s="266">
        <v>1</v>
      </c>
      <c r="V63" s="267">
        <v>1</v>
      </c>
      <c r="W63" s="258" t="s">
        <v>311</v>
      </c>
      <c r="X63" s="268"/>
      <c r="Y63" s="269"/>
      <c r="Z63" s="269"/>
      <c r="AA63" s="269"/>
      <c r="AB63" s="269"/>
      <c r="AC63" s="269"/>
      <c r="AD63" s="269"/>
      <c r="AE63" s="269"/>
      <c r="AF63" s="269"/>
      <c r="AG63" s="269"/>
      <c r="AH63" s="269"/>
      <c r="AI63" s="269"/>
      <c r="AJ63" s="269"/>
      <c r="AK63" s="269"/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70"/>
      <c r="BB63" s="271">
        <v>0</v>
      </c>
      <c r="BC63" s="272"/>
      <c r="BD63" s="273"/>
      <c r="BE63" s="273"/>
      <c r="BF63" s="273"/>
      <c r="BG63" s="273"/>
      <c r="BH63" s="273"/>
      <c r="BI63" s="274"/>
      <c r="BJ63" s="275"/>
      <c r="BK63" s="276"/>
      <c r="BL63" s="276"/>
      <c r="BM63" s="276"/>
      <c r="BN63" s="276"/>
      <c r="BO63" s="276"/>
      <c r="BP63" s="277"/>
      <c r="BQ63" s="399"/>
      <c r="BR63" s="400"/>
      <c r="BS63" s="401"/>
      <c r="BT63" s="278"/>
      <c r="BU63" s="352"/>
      <c r="BV63" s="279">
        <v>127</v>
      </c>
      <c r="BW63" s="353"/>
      <c r="BX63" s="934" t="s">
        <v>120</v>
      </c>
      <c r="BY63" s="552"/>
      <c r="BZ63" s="552"/>
      <c r="CA63" s="941" t="s">
        <v>120</v>
      </c>
      <c r="CB63" s="553"/>
      <c r="CC63" s="330"/>
      <c r="CD63" s="554"/>
      <c r="CE63" s="554"/>
      <c r="CF63" s="513"/>
      <c r="CG63" s="555"/>
      <c r="CH63" s="556"/>
      <c r="CI63" s="379" t="s">
        <v>509</v>
      </c>
      <c r="CJ63" s="380" t="s">
        <v>509</v>
      </c>
      <c r="CK63" s="381" t="s">
        <v>509</v>
      </c>
      <c r="CL63" s="370" t="s">
        <v>509</v>
      </c>
      <c r="CM63" s="371" t="s">
        <v>509</v>
      </c>
      <c r="CN63" s="372" t="s">
        <v>509</v>
      </c>
      <c r="CO63" s="70" t="s">
        <v>26</v>
      </c>
      <c r="CP63" s="97" t="s">
        <v>509</v>
      </c>
      <c r="CQ63" s="69" t="s">
        <v>509</v>
      </c>
      <c r="CR63" s="280" t="s">
        <v>510</v>
      </c>
      <c r="CS63" s="118">
        <v>1</v>
      </c>
      <c r="CT63" s="119">
        <v>0.7</v>
      </c>
      <c r="CU63" s="120"/>
      <c r="CV63" s="882">
        <v>0</v>
      </c>
      <c r="CW63" s="340"/>
      <c r="CX63" s="345"/>
      <c r="CY63" s="121"/>
      <c r="CZ63" s="122"/>
      <c r="DA63" s="104">
        <v>0.9</v>
      </c>
      <c r="DB63" s="123">
        <v>0.43588989435406728</v>
      </c>
      <c r="DC63" s="949" t="s">
        <v>120</v>
      </c>
      <c r="DD63" s="124"/>
      <c r="DE63" s="124"/>
      <c r="DF63" s="125"/>
      <c r="DG63" s="126"/>
      <c r="DH63" s="121"/>
      <c r="DI63" s="127"/>
      <c r="DJ63" s="120"/>
      <c r="DK63" s="122"/>
      <c r="DL63" s="106"/>
      <c r="DM63" s="107">
        <v>0</v>
      </c>
      <c r="DN63" s="948" t="s">
        <v>120</v>
      </c>
      <c r="DO63" s="128"/>
      <c r="DP63" s="129"/>
      <c r="DQ63" s="121"/>
      <c r="DR63" s="121"/>
      <c r="DS63" s="121"/>
      <c r="DT63" s="121"/>
      <c r="DU63" s="130"/>
      <c r="DV63" s="131"/>
      <c r="DW63" s="131"/>
      <c r="DX63" s="127"/>
      <c r="DY63" s="132"/>
      <c r="DZ63" s="132"/>
      <c r="EA63" s="132"/>
      <c r="EB63" s="132"/>
      <c r="EC63" s="133"/>
      <c r="ED63" s="134"/>
      <c r="EE63" s="135"/>
      <c r="EF63" s="136">
        <v>0</v>
      </c>
      <c r="EG63" s="393">
        <v>0</v>
      </c>
      <c r="EH63" s="536"/>
      <c r="EI63" s="544">
        <v>30</v>
      </c>
      <c r="EJ63" s="14"/>
      <c r="EK63" s="14"/>
      <c r="EL63" s="14"/>
      <c r="EM63" s="540"/>
      <c r="EN63" s="546"/>
      <c r="EO63" s="11"/>
      <c r="EP63" s="883" t="s">
        <v>79</v>
      </c>
      <c r="EQ63" s="883"/>
      <c r="ER63" s="254"/>
      <c r="ES63" s="254"/>
      <c r="FC63" s="3">
        <v>0</v>
      </c>
      <c r="FD63" s="254"/>
      <c r="FE63" s="254"/>
      <c r="FF63" s="884">
        <v>1</v>
      </c>
      <c r="FG63" s="254"/>
      <c r="FH63" s="884"/>
      <c r="FI63" s="254"/>
      <c r="FJ63" s="884"/>
      <c r="FK63" s="3">
        <v>0</v>
      </c>
    </row>
    <row r="64" spans="1:167" s="3" customFormat="1">
      <c r="A64" s="254"/>
      <c r="B64" s="255">
        <v>34</v>
      </c>
      <c r="C64" s="97"/>
      <c r="D64" s="97"/>
      <c r="E64" s="880"/>
      <c r="F64" s="256">
        <v>1</v>
      </c>
      <c r="G64" s="257">
        <v>2</v>
      </c>
      <c r="H64" s="881" t="s">
        <v>29</v>
      </c>
      <c r="I64" s="258" t="s">
        <v>595</v>
      </c>
      <c r="J64" s="259">
        <v>8</v>
      </c>
      <c r="K64" s="260">
        <v>25</v>
      </c>
      <c r="L64" s="260">
        <v>3</v>
      </c>
      <c r="M64" s="261">
        <v>1</v>
      </c>
      <c r="N64" s="261">
        <v>1</v>
      </c>
      <c r="O64" s="262">
        <v>1</v>
      </c>
      <c r="P64" s="263">
        <v>4</v>
      </c>
      <c r="Q64" s="264">
        <v>1</v>
      </c>
      <c r="R64" s="264">
        <v>1</v>
      </c>
      <c r="S64" s="265">
        <v>1</v>
      </c>
      <c r="T64" s="265">
        <v>1</v>
      </c>
      <c r="U64" s="266">
        <v>1</v>
      </c>
      <c r="V64" s="267">
        <v>1</v>
      </c>
      <c r="W64" s="258" t="s">
        <v>311</v>
      </c>
      <c r="X64" s="268"/>
      <c r="Y64" s="269"/>
      <c r="Z64" s="269"/>
      <c r="AA64" s="269"/>
      <c r="AB64" s="269"/>
      <c r="AC64" s="269"/>
      <c r="AD64" s="269"/>
      <c r="AE64" s="269"/>
      <c r="AF64" s="269"/>
      <c r="AG64" s="269"/>
      <c r="AH64" s="269"/>
      <c r="AI64" s="269"/>
      <c r="AJ64" s="269"/>
      <c r="AK64" s="269"/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70"/>
      <c r="BB64" s="271">
        <v>0</v>
      </c>
      <c r="BC64" s="272"/>
      <c r="BD64" s="273"/>
      <c r="BE64" s="273"/>
      <c r="BF64" s="273"/>
      <c r="BG64" s="273"/>
      <c r="BH64" s="273"/>
      <c r="BI64" s="274"/>
      <c r="BJ64" s="275"/>
      <c r="BK64" s="276"/>
      <c r="BL64" s="276"/>
      <c r="BM64" s="276"/>
      <c r="BN64" s="276"/>
      <c r="BO64" s="276"/>
      <c r="BP64" s="277"/>
      <c r="BQ64" s="399"/>
      <c r="BR64" s="400"/>
      <c r="BS64" s="401"/>
      <c r="BT64" s="278"/>
      <c r="BU64" s="352"/>
      <c r="BV64" s="279">
        <v>127</v>
      </c>
      <c r="BW64" s="353"/>
      <c r="BX64" s="934" t="s">
        <v>120</v>
      </c>
      <c r="BY64" s="552"/>
      <c r="BZ64" s="552"/>
      <c r="CA64" s="941" t="s">
        <v>120</v>
      </c>
      <c r="CB64" s="553"/>
      <c r="CC64" s="330"/>
      <c r="CD64" s="554"/>
      <c r="CE64" s="554"/>
      <c r="CF64" s="513"/>
      <c r="CG64" s="555"/>
      <c r="CH64" s="556"/>
      <c r="CI64" s="379" t="s">
        <v>509</v>
      </c>
      <c r="CJ64" s="380" t="s">
        <v>509</v>
      </c>
      <c r="CK64" s="381" t="s">
        <v>509</v>
      </c>
      <c r="CL64" s="370" t="s">
        <v>509</v>
      </c>
      <c r="CM64" s="371" t="s">
        <v>509</v>
      </c>
      <c r="CN64" s="372" t="s">
        <v>509</v>
      </c>
      <c r="CO64" s="70" t="s">
        <v>26</v>
      </c>
      <c r="CP64" s="97" t="s">
        <v>509</v>
      </c>
      <c r="CQ64" s="69" t="s">
        <v>509</v>
      </c>
      <c r="CR64" s="280" t="s">
        <v>510</v>
      </c>
      <c r="CS64" s="118">
        <v>1</v>
      </c>
      <c r="CT64" s="119">
        <v>0.7</v>
      </c>
      <c r="CU64" s="120"/>
      <c r="CV64" s="882">
        <v>0</v>
      </c>
      <c r="CW64" s="340"/>
      <c r="CX64" s="345"/>
      <c r="CY64" s="121"/>
      <c r="CZ64" s="122"/>
      <c r="DA64" s="104">
        <v>0.9</v>
      </c>
      <c r="DB64" s="123">
        <v>0.43588989435406728</v>
      </c>
      <c r="DC64" s="949" t="s">
        <v>120</v>
      </c>
      <c r="DD64" s="124"/>
      <c r="DE64" s="124"/>
      <c r="DF64" s="125"/>
      <c r="DG64" s="126"/>
      <c r="DH64" s="121"/>
      <c r="DI64" s="127"/>
      <c r="DJ64" s="120"/>
      <c r="DK64" s="122"/>
      <c r="DL64" s="106"/>
      <c r="DM64" s="107">
        <v>0</v>
      </c>
      <c r="DN64" s="948" t="s">
        <v>120</v>
      </c>
      <c r="DO64" s="128"/>
      <c r="DP64" s="129"/>
      <c r="DQ64" s="121"/>
      <c r="DR64" s="121"/>
      <c r="DS64" s="121"/>
      <c r="DT64" s="121"/>
      <c r="DU64" s="130"/>
      <c r="DV64" s="131"/>
      <c r="DW64" s="131"/>
      <c r="DX64" s="127"/>
      <c r="DY64" s="132"/>
      <c r="DZ64" s="132"/>
      <c r="EA64" s="132"/>
      <c r="EB64" s="132"/>
      <c r="EC64" s="133"/>
      <c r="ED64" s="134"/>
      <c r="EE64" s="135"/>
      <c r="EF64" s="136">
        <v>0</v>
      </c>
      <c r="EG64" s="393">
        <v>0</v>
      </c>
      <c r="EH64" s="536"/>
      <c r="EI64" s="544">
        <v>30</v>
      </c>
      <c r="EJ64" s="14"/>
      <c r="EK64" s="14"/>
      <c r="EL64" s="14"/>
      <c r="EM64" s="540"/>
      <c r="EN64" s="546"/>
      <c r="EO64" s="11"/>
      <c r="EP64" s="883" t="s">
        <v>79</v>
      </c>
      <c r="EQ64" s="883"/>
      <c r="ER64" s="254"/>
      <c r="ES64" s="254"/>
      <c r="FC64" s="3">
        <v>0</v>
      </c>
      <c r="FD64" s="254"/>
      <c r="FE64" s="254"/>
      <c r="FF64" s="884">
        <v>1</v>
      </c>
      <c r="FG64" s="254"/>
      <c r="FH64" s="884"/>
      <c r="FI64" s="254"/>
      <c r="FJ64" s="884"/>
      <c r="FK64" s="3">
        <v>0</v>
      </c>
    </row>
    <row r="65" spans="1:167" s="3" customFormat="1">
      <c r="A65" s="254"/>
      <c r="B65" s="255">
        <v>35</v>
      </c>
      <c r="C65" s="97"/>
      <c r="D65" s="97"/>
      <c r="E65" s="880"/>
      <c r="F65" s="256">
        <v>1</v>
      </c>
      <c r="G65" s="257">
        <v>2</v>
      </c>
      <c r="H65" s="881" t="s">
        <v>29</v>
      </c>
      <c r="I65" s="258" t="s">
        <v>595</v>
      </c>
      <c r="J65" s="259">
        <v>8</v>
      </c>
      <c r="K65" s="260">
        <v>25</v>
      </c>
      <c r="L65" s="260">
        <v>3</v>
      </c>
      <c r="M65" s="261">
        <v>1</v>
      </c>
      <c r="N65" s="261">
        <v>1</v>
      </c>
      <c r="O65" s="262">
        <v>1</v>
      </c>
      <c r="P65" s="263">
        <v>4</v>
      </c>
      <c r="Q65" s="264">
        <v>1</v>
      </c>
      <c r="R65" s="264">
        <v>1</v>
      </c>
      <c r="S65" s="265">
        <v>1</v>
      </c>
      <c r="T65" s="265">
        <v>1</v>
      </c>
      <c r="U65" s="266">
        <v>1</v>
      </c>
      <c r="V65" s="267">
        <v>1</v>
      </c>
      <c r="W65" s="258" t="s">
        <v>311</v>
      </c>
      <c r="X65" s="268"/>
      <c r="Y65" s="269"/>
      <c r="Z65" s="269"/>
      <c r="AA65" s="269"/>
      <c r="AB65" s="269"/>
      <c r="AC65" s="269"/>
      <c r="AD65" s="269"/>
      <c r="AE65" s="269"/>
      <c r="AF65" s="269"/>
      <c r="AG65" s="269"/>
      <c r="AH65" s="269"/>
      <c r="AI65" s="269"/>
      <c r="AJ65" s="269"/>
      <c r="AK65" s="269"/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70"/>
      <c r="BB65" s="271">
        <v>0</v>
      </c>
      <c r="BC65" s="272"/>
      <c r="BD65" s="273"/>
      <c r="BE65" s="273"/>
      <c r="BF65" s="273"/>
      <c r="BG65" s="273"/>
      <c r="BH65" s="273"/>
      <c r="BI65" s="274"/>
      <c r="BJ65" s="275"/>
      <c r="BK65" s="276"/>
      <c r="BL65" s="276"/>
      <c r="BM65" s="276"/>
      <c r="BN65" s="276"/>
      <c r="BO65" s="276"/>
      <c r="BP65" s="277"/>
      <c r="BQ65" s="399"/>
      <c r="BR65" s="400"/>
      <c r="BS65" s="401"/>
      <c r="BT65" s="278"/>
      <c r="BU65" s="352"/>
      <c r="BV65" s="279">
        <v>127</v>
      </c>
      <c r="BW65" s="353"/>
      <c r="BX65" s="934" t="s">
        <v>120</v>
      </c>
      <c r="BY65" s="552"/>
      <c r="BZ65" s="552"/>
      <c r="CA65" s="941" t="s">
        <v>120</v>
      </c>
      <c r="CB65" s="553"/>
      <c r="CC65" s="330"/>
      <c r="CD65" s="554"/>
      <c r="CE65" s="554"/>
      <c r="CF65" s="513"/>
      <c r="CG65" s="555"/>
      <c r="CH65" s="556"/>
      <c r="CI65" s="379" t="s">
        <v>509</v>
      </c>
      <c r="CJ65" s="380" t="s">
        <v>509</v>
      </c>
      <c r="CK65" s="381" t="s">
        <v>509</v>
      </c>
      <c r="CL65" s="370" t="s">
        <v>509</v>
      </c>
      <c r="CM65" s="371" t="s">
        <v>509</v>
      </c>
      <c r="CN65" s="372" t="s">
        <v>509</v>
      </c>
      <c r="CO65" s="70" t="s">
        <v>27</v>
      </c>
      <c r="CP65" s="97" t="s">
        <v>509</v>
      </c>
      <c r="CQ65" s="69" t="s">
        <v>509</v>
      </c>
      <c r="CR65" s="280" t="s">
        <v>510</v>
      </c>
      <c r="CS65" s="118">
        <v>1</v>
      </c>
      <c r="CT65" s="119">
        <v>0.7</v>
      </c>
      <c r="CU65" s="120"/>
      <c r="CV65" s="882">
        <v>0</v>
      </c>
      <c r="CW65" s="340"/>
      <c r="CX65" s="345"/>
      <c r="CY65" s="121"/>
      <c r="CZ65" s="122"/>
      <c r="DA65" s="104">
        <v>0.9</v>
      </c>
      <c r="DB65" s="123">
        <v>0.43588989435406728</v>
      </c>
      <c r="DC65" s="949" t="s">
        <v>120</v>
      </c>
      <c r="DD65" s="124"/>
      <c r="DE65" s="124"/>
      <c r="DF65" s="125"/>
      <c r="DG65" s="126"/>
      <c r="DH65" s="121"/>
      <c r="DI65" s="127"/>
      <c r="DJ65" s="120"/>
      <c r="DK65" s="122"/>
      <c r="DL65" s="106"/>
      <c r="DM65" s="107">
        <v>0</v>
      </c>
      <c r="DN65" s="948" t="s">
        <v>120</v>
      </c>
      <c r="DO65" s="128"/>
      <c r="DP65" s="129"/>
      <c r="DQ65" s="121"/>
      <c r="DR65" s="121"/>
      <c r="DS65" s="121"/>
      <c r="DT65" s="121"/>
      <c r="DU65" s="130"/>
      <c r="DV65" s="131"/>
      <c r="DW65" s="131"/>
      <c r="DX65" s="127"/>
      <c r="DY65" s="132"/>
      <c r="DZ65" s="132"/>
      <c r="EA65" s="132"/>
      <c r="EB65" s="132"/>
      <c r="EC65" s="133"/>
      <c r="ED65" s="134"/>
      <c r="EE65" s="135"/>
      <c r="EF65" s="136">
        <v>0</v>
      </c>
      <c r="EG65" s="393">
        <v>0</v>
      </c>
      <c r="EH65" s="536"/>
      <c r="EI65" s="544">
        <v>30</v>
      </c>
      <c r="EJ65" s="14"/>
      <c r="EK65" s="14"/>
      <c r="EL65" s="14"/>
      <c r="EM65" s="540"/>
      <c r="EN65" s="546"/>
      <c r="EO65" s="11"/>
      <c r="EP65" s="883" t="s">
        <v>79</v>
      </c>
      <c r="EQ65" s="883"/>
      <c r="ER65" s="254"/>
      <c r="ES65" s="254"/>
      <c r="FC65" s="3">
        <v>0</v>
      </c>
      <c r="FD65" s="254"/>
      <c r="FE65" s="254"/>
      <c r="FF65" s="884">
        <v>1</v>
      </c>
      <c r="FG65" s="254"/>
      <c r="FH65" s="884"/>
      <c r="FI65" s="254"/>
      <c r="FJ65" s="884"/>
      <c r="FK65" s="3">
        <v>0</v>
      </c>
    </row>
    <row r="66" spans="1:167" s="3" customFormat="1">
      <c r="A66" s="254"/>
      <c r="B66" s="255">
        <v>36</v>
      </c>
      <c r="C66" s="97"/>
      <c r="D66" s="97"/>
      <c r="E66" s="880"/>
      <c r="F66" s="256">
        <v>1</v>
      </c>
      <c r="G66" s="257">
        <v>2</v>
      </c>
      <c r="H66" s="881" t="s">
        <v>29</v>
      </c>
      <c r="I66" s="258" t="s">
        <v>595</v>
      </c>
      <c r="J66" s="259">
        <v>8</v>
      </c>
      <c r="K66" s="260">
        <v>25</v>
      </c>
      <c r="L66" s="260">
        <v>3</v>
      </c>
      <c r="M66" s="261">
        <v>1</v>
      </c>
      <c r="N66" s="261">
        <v>1</v>
      </c>
      <c r="O66" s="262">
        <v>1</v>
      </c>
      <c r="P66" s="263">
        <v>4</v>
      </c>
      <c r="Q66" s="264">
        <v>1</v>
      </c>
      <c r="R66" s="264">
        <v>1</v>
      </c>
      <c r="S66" s="265">
        <v>1</v>
      </c>
      <c r="T66" s="265">
        <v>1</v>
      </c>
      <c r="U66" s="266">
        <v>1</v>
      </c>
      <c r="V66" s="267">
        <v>1</v>
      </c>
      <c r="W66" s="258" t="s">
        <v>311</v>
      </c>
      <c r="X66" s="268"/>
      <c r="Y66" s="269"/>
      <c r="Z66" s="269"/>
      <c r="AA66" s="269"/>
      <c r="AB66" s="269"/>
      <c r="AC66" s="269"/>
      <c r="AD66" s="269"/>
      <c r="AE66" s="269"/>
      <c r="AF66" s="269"/>
      <c r="AG66" s="269"/>
      <c r="AH66" s="269"/>
      <c r="AI66" s="269"/>
      <c r="AJ66" s="269"/>
      <c r="AK66" s="269"/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70"/>
      <c r="BB66" s="271">
        <v>0</v>
      </c>
      <c r="BC66" s="272"/>
      <c r="BD66" s="273"/>
      <c r="BE66" s="273"/>
      <c r="BF66" s="273"/>
      <c r="BG66" s="273"/>
      <c r="BH66" s="273"/>
      <c r="BI66" s="274"/>
      <c r="BJ66" s="275"/>
      <c r="BK66" s="276"/>
      <c r="BL66" s="276"/>
      <c r="BM66" s="276"/>
      <c r="BN66" s="276"/>
      <c r="BO66" s="276"/>
      <c r="BP66" s="277"/>
      <c r="BQ66" s="399"/>
      <c r="BR66" s="400"/>
      <c r="BS66" s="401"/>
      <c r="BT66" s="278"/>
      <c r="BU66" s="352"/>
      <c r="BV66" s="279">
        <v>127</v>
      </c>
      <c r="BW66" s="353"/>
      <c r="BX66" s="934" t="s">
        <v>120</v>
      </c>
      <c r="BY66" s="552"/>
      <c r="BZ66" s="552"/>
      <c r="CA66" s="941" t="s">
        <v>120</v>
      </c>
      <c r="CB66" s="553"/>
      <c r="CC66" s="330"/>
      <c r="CD66" s="554"/>
      <c r="CE66" s="554"/>
      <c r="CF66" s="513"/>
      <c r="CG66" s="555"/>
      <c r="CH66" s="556"/>
      <c r="CI66" s="379" t="s">
        <v>509</v>
      </c>
      <c r="CJ66" s="380" t="s">
        <v>509</v>
      </c>
      <c r="CK66" s="381" t="s">
        <v>509</v>
      </c>
      <c r="CL66" s="370" t="s">
        <v>509</v>
      </c>
      <c r="CM66" s="371" t="s">
        <v>509</v>
      </c>
      <c r="CN66" s="372" t="s">
        <v>509</v>
      </c>
      <c r="CO66" s="70" t="s">
        <v>27</v>
      </c>
      <c r="CP66" s="97" t="s">
        <v>509</v>
      </c>
      <c r="CQ66" s="69" t="s">
        <v>509</v>
      </c>
      <c r="CR66" s="280" t="s">
        <v>510</v>
      </c>
      <c r="CS66" s="118">
        <v>1</v>
      </c>
      <c r="CT66" s="119">
        <v>0.7</v>
      </c>
      <c r="CU66" s="120"/>
      <c r="CV66" s="882">
        <v>0</v>
      </c>
      <c r="CW66" s="340"/>
      <c r="CX66" s="345"/>
      <c r="CY66" s="121"/>
      <c r="CZ66" s="122"/>
      <c r="DA66" s="104">
        <v>0.9</v>
      </c>
      <c r="DB66" s="123">
        <v>0.43588989435406728</v>
      </c>
      <c r="DC66" s="949" t="s">
        <v>120</v>
      </c>
      <c r="DD66" s="124"/>
      <c r="DE66" s="124"/>
      <c r="DF66" s="125"/>
      <c r="DG66" s="126"/>
      <c r="DH66" s="121"/>
      <c r="DI66" s="127"/>
      <c r="DJ66" s="120"/>
      <c r="DK66" s="122"/>
      <c r="DL66" s="106"/>
      <c r="DM66" s="107">
        <v>0</v>
      </c>
      <c r="DN66" s="948" t="s">
        <v>120</v>
      </c>
      <c r="DO66" s="128"/>
      <c r="DP66" s="129"/>
      <c r="DQ66" s="121"/>
      <c r="DR66" s="121"/>
      <c r="DS66" s="121"/>
      <c r="DT66" s="121"/>
      <c r="DU66" s="130"/>
      <c r="DV66" s="131"/>
      <c r="DW66" s="131"/>
      <c r="DX66" s="127"/>
      <c r="DY66" s="132"/>
      <c r="DZ66" s="132"/>
      <c r="EA66" s="132"/>
      <c r="EB66" s="132"/>
      <c r="EC66" s="133"/>
      <c r="ED66" s="134"/>
      <c r="EE66" s="135"/>
      <c r="EF66" s="136">
        <v>0</v>
      </c>
      <c r="EG66" s="393">
        <v>0</v>
      </c>
      <c r="EH66" s="536"/>
      <c r="EI66" s="544">
        <v>30</v>
      </c>
      <c r="EJ66" s="14"/>
      <c r="EK66" s="14"/>
      <c r="EL66" s="14"/>
      <c r="EM66" s="540"/>
      <c r="EN66" s="546"/>
      <c r="EO66" s="11"/>
      <c r="EP66" s="883" t="s">
        <v>79</v>
      </c>
      <c r="EQ66" s="883"/>
      <c r="ER66" s="254"/>
      <c r="ES66" s="254"/>
      <c r="FC66" s="3">
        <v>0</v>
      </c>
      <c r="FD66" s="254"/>
      <c r="FE66" s="254"/>
      <c r="FF66" s="884">
        <v>1</v>
      </c>
      <c r="FG66" s="254"/>
      <c r="FH66" s="884"/>
      <c r="FI66" s="254"/>
      <c r="FJ66" s="884"/>
      <c r="FK66" s="3">
        <v>0</v>
      </c>
    </row>
    <row r="67" spans="1:167" s="3" customFormat="1">
      <c r="A67" s="254"/>
      <c r="B67" s="255">
        <v>37</v>
      </c>
      <c r="C67" s="97"/>
      <c r="D67" s="97"/>
      <c r="E67" s="880"/>
      <c r="F67" s="256">
        <v>1</v>
      </c>
      <c r="G67" s="257">
        <v>2</v>
      </c>
      <c r="H67" s="881" t="s">
        <v>29</v>
      </c>
      <c r="I67" s="258" t="s">
        <v>595</v>
      </c>
      <c r="J67" s="259">
        <v>8</v>
      </c>
      <c r="K67" s="260">
        <v>25</v>
      </c>
      <c r="L67" s="260">
        <v>3</v>
      </c>
      <c r="M67" s="261">
        <v>1</v>
      </c>
      <c r="N67" s="261">
        <v>1</v>
      </c>
      <c r="O67" s="262">
        <v>1</v>
      </c>
      <c r="P67" s="263">
        <v>4</v>
      </c>
      <c r="Q67" s="264">
        <v>1</v>
      </c>
      <c r="R67" s="264">
        <v>1</v>
      </c>
      <c r="S67" s="265">
        <v>1</v>
      </c>
      <c r="T67" s="265">
        <v>1</v>
      </c>
      <c r="U67" s="266">
        <v>1</v>
      </c>
      <c r="V67" s="267">
        <v>1</v>
      </c>
      <c r="W67" s="258" t="s">
        <v>311</v>
      </c>
      <c r="X67" s="268"/>
      <c r="Y67" s="269"/>
      <c r="Z67" s="269"/>
      <c r="AA67" s="269"/>
      <c r="AB67" s="269"/>
      <c r="AC67" s="269"/>
      <c r="AD67" s="269"/>
      <c r="AE67" s="269"/>
      <c r="AF67" s="269"/>
      <c r="AG67" s="269"/>
      <c r="AH67" s="269"/>
      <c r="AI67" s="269"/>
      <c r="AJ67" s="269"/>
      <c r="AK67" s="269"/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70"/>
      <c r="BB67" s="271">
        <v>0</v>
      </c>
      <c r="BC67" s="272"/>
      <c r="BD67" s="273"/>
      <c r="BE67" s="273"/>
      <c r="BF67" s="273"/>
      <c r="BG67" s="273"/>
      <c r="BH67" s="273"/>
      <c r="BI67" s="274"/>
      <c r="BJ67" s="275"/>
      <c r="BK67" s="276"/>
      <c r="BL67" s="276"/>
      <c r="BM67" s="276"/>
      <c r="BN67" s="276"/>
      <c r="BO67" s="276"/>
      <c r="BP67" s="277"/>
      <c r="BQ67" s="399"/>
      <c r="BR67" s="400"/>
      <c r="BS67" s="401"/>
      <c r="BT67" s="278"/>
      <c r="BU67" s="352"/>
      <c r="BV67" s="279">
        <v>127</v>
      </c>
      <c r="BW67" s="353"/>
      <c r="BX67" s="934" t="s">
        <v>120</v>
      </c>
      <c r="BY67" s="552"/>
      <c r="BZ67" s="552"/>
      <c r="CA67" s="941" t="s">
        <v>120</v>
      </c>
      <c r="CB67" s="553"/>
      <c r="CC67" s="330"/>
      <c r="CD67" s="554"/>
      <c r="CE67" s="554"/>
      <c r="CF67" s="513"/>
      <c r="CG67" s="555"/>
      <c r="CH67" s="556"/>
      <c r="CI67" s="379" t="s">
        <v>509</v>
      </c>
      <c r="CJ67" s="380" t="s">
        <v>509</v>
      </c>
      <c r="CK67" s="381" t="s">
        <v>509</v>
      </c>
      <c r="CL67" s="370" t="s">
        <v>509</v>
      </c>
      <c r="CM67" s="371" t="s">
        <v>509</v>
      </c>
      <c r="CN67" s="372" t="s">
        <v>509</v>
      </c>
      <c r="CO67" s="70" t="s">
        <v>32</v>
      </c>
      <c r="CP67" s="97" t="s">
        <v>509</v>
      </c>
      <c r="CQ67" s="69" t="s">
        <v>509</v>
      </c>
      <c r="CR67" s="280" t="s">
        <v>510</v>
      </c>
      <c r="CS67" s="118">
        <v>1</v>
      </c>
      <c r="CT67" s="119">
        <v>0.7</v>
      </c>
      <c r="CU67" s="120"/>
      <c r="CV67" s="882">
        <v>0</v>
      </c>
      <c r="CW67" s="340"/>
      <c r="CX67" s="345"/>
      <c r="CY67" s="121"/>
      <c r="CZ67" s="122"/>
      <c r="DA67" s="104">
        <v>0.9</v>
      </c>
      <c r="DB67" s="123">
        <v>0.43588989435406728</v>
      </c>
      <c r="DC67" s="949" t="s">
        <v>120</v>
      </c>
      <c r="DD67" s="124"/>
      <c r="DE67" s="124"/>
      <c r="DF67" s="125"/>
      <c r="DG67" s="126"/>
      <c r="DH67" s="121"/>
      <c r="DI67" s="127"/>
      <c r="DJ67" s="120"/>
      <c r="DK67" s="122"/>
      <c r="DL67" s="106"/>
      <c r="DM67" s="107">
        <v>0</v>
      </c>
      <c r="DN67" s="948" t="s">
        <v>120</v>
      </c>
      <c r="DO67" s="128"/>
      <c r="DP67" s="129"/>
      <c r="DQ67" s="121"/>
      <c r="DR67" s="121"/>
      <c r="DS67" s="121"/>
      <c r="DT67" s="121"/>
      <c r="DU67" s="130"/>
      <c r="DV67" s="131"/>
      <c r="DW67" s="131"/>
      <c r="DX67" s="127"/>
      <c r="DY67" s="132"/>
      <c r="DZ67" s="132"/>
      <c r="EA67" s="132"/>
      <c r="EB67" s="132"/>
      <c r="EC67" s="133"/>
      <c r="ED67" s="134"/>
      <c r="EE67" s="135"/>
      <c r="EF67" s="136">
        <v>0</v>
      </c>
      <c r="EG67" s="393">
        <v>0</v>
      </c>
      <c r="EH67" s="536"/>
      <c r="EI67" s="544">
        <v>30</v>
      </c>
      <c r="EJ67" s="14"/>
      <c r="EK67" s="14"/>
      <c r="EL67" s="14"/>
      <c r="EM67" s="540"/>
      <c r="EN67" s="546"/>
      <c r="EO67" s="11"/>
      <c r="EP67" s="883" t="s">
        <v>79</v>
      </c>
      <c r="EQ67" s="883"/>
      <c r="ER67" s="254"/>
      <c r="ES67" s="254"/>
      <c r="FC67" s="3">
        <v>0</v>
      </c>
      <c r="FD67" s="254"/>
      <c r="FE67" s="254"/>
      <c r="FF67" s="884">
        <v>1</v>
      </c>
      <c r="FG67" s="254"/>
      <c r="FH67" s="884"/>
      <c r="FI67" s="254"/>
      <c r="FJ67" s="884"/>
      <c r="FK67" s="3">
        <v>0</v>
      </c>
    </row>
    <row r="68" spans="1:167" s="3" customFormat="1">
      <c r="A68" s="254"/>
      <c r="B68" s="255">
        <v>38</v>
      </c>
      <c r="C68" s="97"/>
      <c r="D68" s="97"/>
      <c r="E68" s="880"/>
      <c r="F68" s="256">
        <v>1</v>
      </c>
      <c r="G68" s="257">
        <v>2</v>
      </c>
      <c r="H68" s="881" t="s">
        <v>29</v>
      </c>
      <c r="I68" s="258" t="s">
        <v>595</v>
      </c>
      <c r="J68" s="259">
        <v>8</v>
      </c>
      <c r="K68" s="260">
        <v>25</v>
      </c>
      <c r="L68" s="260">
        <v>3</v>
      </c>
      <c r="M68" s="261">
        <v>1</v>
      </c>
      <c r="N68" s="261">
        <v>1</v>
      </c>
      <c r="O68" s="262">
        <v>1</v>
      </c>
      <c r="P68" s="263">
        <v>4</v>
      </c>
      <c r="Q68" s="264">
        <v>1</v>
      </c>
      <c r="R68" s="264">
        <v>1</v>
      </c>
      <c r="S68" s="265">
        <v>1</v>
      </c>
      <c r="T68" s="265">
        <v>1</v>
      </c>
      <c r="U68" s="266">
        <v>1</v>
      </c>
      <c r="V68" s="267">
        <v>1</v>
      </c>
      <c r="W68" s="258" t="s">
        <v>311</v>
      </c>
      <c r="X68" s="268"/>
      <c r="Y68" s="269"/>
      <c r="Z68" s="269"/>
      <c r="AA68" s="269"/>
      <c r="AB68" s="269"/>
      <c r="AC68" s="269"/>
      <c r="AD68" s="269"/>
      <c r="AE68" s="269"/>
      <c r="AF68" s="269"/>
      <c r="AG68" s="269"/>
      <c r="AH68" s="269"/>
      <c r="AI68" s="269"/>
      <c r="AJ68" s="269"/>
      <c r="AK68" s="269"/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70"/>
      <c r="BB68" s="271">
        <v>0</v>
      </c>
      <c r="BC68" s="272"/>
      <c r="BD68" s="273"/>
      <c r="BE68" s="273"/>
      <c r="BF68" s="273"/>
      <c r="BG68" s="273"/>
      <c r="BH68" s="273"/>
      <c r="BI68" s="274"/>
      <c r="BJ68" s="275"/>
      <c r="BK68" s="276"/>
      <c r="BL68" s="276"/>
      <c r="BM68" s="276"/>
      <c r="BN68" s="276"/>
      <c r="BO68" s="276"/>
      <c r="BP68" s="277"/>
      <c r="BQ68" s="399"/>
      <c r="BR68" s="400"/>
      <c r="BS68" s="401"/>
      <c r="BT68" s="278"/>
      <c r="BU68" s="352"/>
      <c r="BV68" s="279">
        <v>127</v>
      </c>
      <c r="BW68" s="353"/>
      <c r="BX68" s="934" t="s">
        <v>120</v>
      </c>
      <c r="BY68" s="552"/>
      <c r="BZ68" s="552"/>
      <c r="CA68" s="941" t="s">
        <v>120</v>
      </c>
      <c r="CB68" s="553"/>
      <c r="CC68" s="330"/>
      <c r="CD68" s="554"/>
      <c r="CE68" s="554"/>
      <c r="CF68" s="513"/>
      <c r="CG68" s="555"/>
      <c r="CH68" s="556"/>
      <c r="CI68" s="379" t="s">
        <v>509</v>
      </c>
      <c r="CJ68" s="380" t="s">
        <v>509</v>
      </c>
      <c r="CK68" s="381" t="s">
        <v>509</v>
      </c>
      <c r="CL68" s="370" t="s">
        <v>509</v>
      </c>
      <c r="CM68" s="371" t="s">
        <v>509</v>
      </c>
      <c r="CN68" s="372" t="s">
        <v>509</v>
      </c>
      <c r="CO68" s="70" t="s">
        <v>32</v>
      </c>
      <c r="CP68" s="97" t="s">
        <v>509</v>
      </c>
      <c r="CQ68" s="69" t="s">
        <v>509</v>
      </c>
      <c r="CR68" s="280" t="s">
        <v>510</v>
      </c>
      <c r="CS68" s="118">
        <v>1</v>
      </c>
      <c r="CT68" s="119">
        <v>0.7</v>
      </c>
      <c r="CU68" s="120"/>
      <c r="CV68" s="882">
        <v>0</v>
      </c>
      <c r="CW68" s="340"/>
      <c r="CX68" s="345"/>
      <c r="CY68" s="121"/>
      <c r="CZ68" s="122"/>
      <c r="DA68" s="104">
        <v>0.9</v>
      </c>
      <c r="DB68" s="123">
        <v>0.43588989435406728</v>
      </c>
      <c r="DC68" s="949" t="s">
        <v>120</v>
      </c>
      <c r="DD68" s="124"/>
      <c r="DE68" s="124"/>
      <c r="DF68" s="125"/>
      <c r="DG68" s="126"/>
      <c r="DH68" s="121"/>
      <c r="DI68" s="127"/>
      <c r="DJ68" s="120"/>
      <c r="DK68" s="122"/>
      <c r="DL68" s="106"/>
      <c r="DM68" s="107">
        <v>0</v>
      </c>
      <c r="DN68" s="948" t="s">
        <v>120</v>
      </c>
      <c r="DO68" s="128"/>
      <c r="DP68" s="129"/>
      <c r="DQ68" s="121"/>
      <c r="DR68" s="121"/>
      <c r="DS68" s="121"/>
      <c r="DT68" s="121"/>
      <c r="DU68" s="130"/>
      <c r="DV68" s="131"/>
      <c r="DW68" s="131"/>
      <c r="DX68" s="127"/>
      <c r="DY68" s="132"/>
      <c r="DZ68" s="132"/>
      <c r="EA68" s="132"/>
      <c r="EB68" s="132"/>
      <c r="EC68" s="133"/>
      <c r="ED68" s="134"/>
      <c r="EE68" s="135"/>
      <c r="EF68" s="136">
        <v>0</v>
      </c>
      <c r="EG68" s="393">
        <v>0</v>
      </c>
      <c r="EH68" s="536"/>
      <c r="EI68" s="544">
        <v>30</v>
      </c>
      <c r="EJ68" s="14"/>
      <c r="EK68" s="14"/>
      <c r="EL68" s="14"/>
      <c r="EM68" s="540"/>
      <c r="EN68" s="546"/>
      <c r="EO68" s="11"/>
      <c r="EP68" s="883" t="s">
        <v>79</v>
      </c>
      <c r="EQ68" s="883"/>
      <c r="ER68" s="254"/>
      <c r="ES68" s="254"/>
      <c r="FC68" s="3">
        <v>0</v>
      </c>
      <c r="FD68" s="254"/>
      <c r="FE68" s="254"/>
      <c r="FF68" s="884">
        <v>1</v>
      </c>
      <c r="FG68" s="254"/>
      <c r="FH68" s="884"/>
      <c r="FI68" s="254"/>
      <c r="FJ68" s="884"/>
      <c r="FK68" s="3">
        <v>0</v>
      </c>
    </row>
    <row r="69" spans="1:167" s="3" customFormat="1">
      <c r="A69" s="254"/>
      <c r="B69" s="255">
        <v>39</v>
      </c>
      <c r="C69" s="97"/>
      <c r="D69" s="97"/>
      <c r="E69" s="880"/>
      <c r="F69" s="256">
        <v>1</v>
      </c>
      <c r="G69" s="257">
        <v>2</v>
      </c>
      <c r="H69" s="881" t="s">
        <v>29</v>
      </c>
      <c r="I69" s="258" t="s">
        <v>595</v>
      </c>
      <c r="J69" s="259">
        <v>8</v>
      </c>
      <c r="K69" s="260">
        <v>25</v>
      </c>
      <c r="L69" s="260">
        <v>3</v>
      </c>
      <c r="M69" s="261">
        <v>1</v>
      </c>
      <c r="N69" s="261">
        <v>1</v>
      </c>
      <c r="O69" s="262">
        <v>1</v>
      </c>
      <c r="P69" s="263">
        <v>4</v>
      </c>
      <c r="Q69" s="264">
        <v>1</v>
      </c>
      <c r="R69" s="264">
        <v>1</v>
      </c>
      <c r="S69" s="265">
        <v>1</v>
      </c>
      <c r="T69" s="265">
        <v>1</v>
      </c>
      <c r="U69" s="266">
        <v>1</v>
      </c>
      <c r="V69" s="267">
        <v>1</v>
      </c>
      <c r="W69" s="258" t="s">
        <v>311</v>
      </c>
      <c r="X69" s="268"/>
      <c r="Y69" s="269"/>
      <c r="Z69" s="269"/>
      <c r="AA69" s="269"/>
      <c r="AB69" s="269"/>
      <c r="AC69" s="269"/>
      <c r="AD69" s="269"/>
      <c r="AE69" s="269"/>
      <c r="AF69" s="269"/>
      <c r="AG69" s="269"/>
      <c r="AH69" s="269"/>
      <c r="AI69" s="269"/>
      <c r="AJ69" s="269"/>
      <c r="AK69" s="269"/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70"/>
      <c r="BB69" s="271">
        <v>0</v>
      </c>
      <c r="BC69" s="272"/>
      <c r="BD69" s="273"/>
      <c r="BE69" s="273"/>
      <c r="BF69" s="273"/>
      <c r="BG69" s="273"/>
      <c r="BH69" s="273"/>
      <c r="BI69" s="274"/>
      <c r="BJ69" s="275"/>
      <c r="BK69" s="276"/>
      <c r="BL69" s="276"/>
      <c r="BM69" s="276"/>
      <c r="BN69" s="276"/>
      <c r="BO69" s="276"/>
      <c r="BP69" s="277"/>
      <c r="BQ69" s="399"/>
      <c r="BR69" s="400"/>
      <c r="BS69" s="401"/>
      <c r="BT69" s="278"/>
      <c r="BU69" s="352"/>
      <c r="BV69" s="279">
        <v>127</v>
      </c>
      <c r="BW69" s="353"/>
      <c r="BX69" s="934" t="s">
        <v>120</v>
      </c>
      <c r="BY69" s="552"/>
      <c r="BZ69" s="552"/>
      <c r="CA69" s="941" t="s">
        <v>120</v>
      </c>
      <c r="CB69" s="553"/>
      <c r="CC69" s="330"/>
      <c r="CD69" s="554"/>
      <c r="CE69" s="554"/>
      <c r="CF69" s="513"/>
      <c r="CG69" s="555"/>
      <c r="CH69" s="556"/>
      <c r="CI69" s="379" t="s">
        <v>509</v>
      </c>
      <c r="CJ69" s="380" t="s">
        <v>509</v>
      </c>
      <c r="CK69" s="381" t="s">
        <v>509</v>
      </c>
      <c r="CL69" s="370" t="s">
        <v>509</v>
      </c>
      <c r="CM69" s="371" t="s">
        <v>509</v>
      </c>
      <c r="CN69" s="372" t="s">
        <v>509</v>
      </c>
      <c r="CO69" s="70" t="s">
        <v>26</v>
      </c>
      <c r="CP69" s="97" t="s">
        <v>509</v>
      </c>
      <c r="CQ69" s="69" t="s">
        <v>509</v>
      </c>
      <c r="CR69" s="280" t="s">
        <v>510</v>
      </c>
      <c r="CS69" s="118">
        <v>1</v>
      </c>
      <c r="CT69" s="119">
        <v>0.7</v>
      </c>
      <c r="CU69" s="120"/>
      <c r="CV69" s="882">
        <v>0</v>
      </c>
      <c r="CW69" s="340"/>
      <c r="CX69" s="345"/>
      <c r="CY69" s="121"/>
      <c r="CZ69" s="122"/>
      <c r="DA69" s="104">
        <v>0.9</v>
      </c>
      <c r="DB69" s="123">
        <v>0.43588989435406728</v>
      </c>
      <c r="DC69" s="949" t="s">
        <v>120</v>
      </c>
      <c r="DD69" s="124"/>
      <c r="DE69" s="124"/>
      <c r="DF69" s="125"/>
      <c r="DG69" s="126"/>
      <c r="DH69" s="121"/>
      <c r="DI69" s="127"/>
      <c r="DJ69" s="120"/>
      <c r="DK69" s="122"/>
      <c r="DL69" s="106"/>
      <c r="DM69" s="107">
        <v>0</v>
      </c>
      <c r="DN69" s="948" t="s">
        <v>120</v>
      </c>
      <c r="DO69" s="128"/>
      <c r="DP69" s="129"/>
      <c r="DQ69" s="121"/>
      <c r="DR69" s="121"/>
      <c r="DS69" s="121"/>
      <c r="DT69" s="121"/>
      <c r="DU69" s="130"/>
      <c r="DV69" s="131"/>
      <c r="DW69" s="131"/>
      <c r="DX69" s="127"/>
      <c r="DY69" s="132"/>
      <c r="DZ69" s="132"/>
      <c r="EA69" s="132"/>
      <c r="EB69" s="132"/>
      <c r="EC69" s="133"/>
      <c r="ED69" s="134"/>
      <c r="EE69" s="135"/>
      <c r="EF69" s="136">
        <v>0</v>
      </c>
      <c r="EG69" s="393">
        <v>0</v>
      </c>
      <c r="EH69" s="536"/>
      <c r="EI69" s="544">
        <v>30</v>
      </c>
      <c r="EJ69" s="14"/>
      <c r="EK69" s="14"/>
      <c r="EL69" s="14"/>
      <c r="EM69" s="540"/>
      <c r="EN69" s="546"/>
      <c r="EO69" s="11"/>
      <c r="EP69" s="883" t="s">
        <v>79</v>
      </c>
      <c r="EQ69" s="883"/>
      <c r="ER69" s="254"/>
      <c r="ES69" s="254"/>
      <c r="FC69" s="3">
        <v>0</v>
      </c>
      <c r="FD69" s="254"/>
      <c r="FE69" s="254"/>
      <c r="FF69" s="884">
        <v>1</v>
      </c>
      <c r="FG69" s="254"/>
      <c r="FH69" s="884"/>
      <c r="FI69" s="254"/>
      <c r="FJ69" s="884"/>
      <c r="FK69" s="3">
        <v>0</v>
      </c>
    </row>
    <row r="70" spans="1:167" s="3" customFormat="1">
      <c r="A70" s="254"/>
      <c r="B70" s="255">
        <v>40</v>
      </c>
      <c r="C70" s="97"/>
      <c r="D70" s="97"/>
      <c r="E70" s="880"/>
      <c r="F70" s="256">
        <v>1</v>
      </c>
      <c r="G70" s="257">
        <v>2</v>
      </c>
      <c r="H70" s="881" t="s">
        <v>29</v>
      </c>
      <c r="I70" s="258" t="s">
        <v>595</v>
      </c>
      <c r="J70" s="259">
        <v>8</v>
      </c>
      <c r="K70" s="260">
        <v>25</v>
      </c>
      <c r="L70" s="260">
        <v>3</v>
      </c>
      <c r="M70" s="261">
        <v>1</v>
      </c>
      <c r="N70" s="261">
        <v>1</v>
      </c>
      <c r="O70" s="262">
        <v>1</v>
      </c>
      <c r="P70" s="263">
        <v>4</v>
      </c>
      <c r="Q70" s="264">
        <v>1</v>
      </c>
      <c r="R70" s="264">
        <v>1</v>
      </c>
      <c r="S70" s="265">
        <v>1</v>
      </c>
      <c r="T70" s="265">
        <v>1</v>
      </c>
      <c r="U70" s="266">
        <v>1</v>
      </c>
      <c r="V70" s="267">
        <v>1</v>
      </c>
      <c r="W70" s="258" t="s">
        <v>311</v>
      </c>
      <c r="X70" s="268"/>
      <c r="Y70" s="269"/>
      <c r="Z70" s="269"/>
      <c r="AA70" s="269"/>
      <c r="AB70" s="269"/>
      <c r="AC70" s="269"/>
      <c r="AD70" s="269"/>
      <c r="AE70" s="269"/>
      <c r="AF70" s="269"/>
      <c r="AG70" s="269"/>
      <c r="AH70" s="269"/>
      <c r="AI70" s="269"/>
      <c r="AJ70" s="269"/>
      <c r="AK70" s="269"/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70"/>
      <c r="BB70" s="271">
        <v>0</v>
      </c>
      <c r="BC70" s="272"/>
      <c r="BD70" s="273"/>
      <c r="BE70" s="273"/>
      <c r="BF70" s="273"/>
      <c r="BG70" s="273"/>
      <c r="BH70" s="273"/>
      <c r="BI70" s="274"/>
      <c r="BJ70" s="275"/>
      <c r="BK70" s="276"/>
      <c r="BL70" s="276"/>
      <c r="BM70" s="276"/>
      <c r="BN70" s="276"/>
      <c r="BO70" s="276"/>
      <c r="BP70" s="277"/>
      <c r="BQ70" s="399"/>
      <c r="BR70" s="400"/>
      <c r="BS70" s="401"/>
      <c r="BT70" s="278"/>
      <c r="BU70" s="352"/>
      <c r="BV70" s="279">
        <v>127</v>
      </c>
      <c r="BW70" s="353"/>
      <c r="BX70" s="934" t="s">
        <v>120</v>
      </c>
      <c r="BY70" s="552"/>
      <c r="BZ70" s="552"/>
      <c r="CA70" s="941" t="s">
        <v>120</v>
      </c>
      <c r="CB70" s="553"/>
      <c r="CC70" s="330"/>
      <c r="CD70" s="554"/>
      <c r="CE70" s="554"/>
      <c r="CF70" s="513"/>
      <c r="CG70" s="555"/>
      <c r="CH70" s="556"/>
      <c r="CI70" s="379" t="s">
        <v>509</v>
      </c>
      <c r="CJ70" s="380" t="s">
        <v>509</v>
      </c>
      <c r="CK70" s="381" t="s">
        <v>509</v>
      </c>
      <c r="CL70" s="370" t="s">
        <v>509</v>
      </c>
      <c r="CM70" s="371" t="s">
        <v>509</v>
      </c>
      <c r="CN70" s="372" t="s">
        <v>509</v>
      </c>
      <c r="CO70" s="70" t="s">
        <v>26</v>
      </c>
      <c r="CP70" s="97" t="s">
        <v>509</v>
      </c>
      <c r="CQ70" s="69" t="s">
        <v>509</v>
      </c>
      <c r="CR70" s="280" t="s">
        <v>510</v>
      </c>
      <c r="CS70" s="118">
        <v>1</v>
      </c>
      <c r="CT70" s="119">
        <v>0.7</v>
      </c>
      <c r="CU70" s="120"/>
      <c r="CV70" s="882">
        <v>0</v>
      </c>
      <c r="CW70" s="340"/>
      <c r="CX70" s="345"/>
      <c r="CY70" s="121"/>
      <c r="CZ70" s="122"/>
      <c r="DA70" s="104">
        <v>0.9</v>
      </c>
      <c r="DB70" s="123">
        <v>0.43588989435406728</v>
      </c>
      <c r="DC70" s="949" t="s">
        <v>120</v>
      </c>
      <c r="DD70" s="124"/>
      <c r="DE70" s="124"/>
      <c r="DF70" s="125"/>
      <c r="DG70" s="126"/>
      <c r="DH70" s="121"/>
      <c r="DI70" s="127"/>
      <c r="DJ70" s="120"/>
      <c r="DK70" s="122"/>
      <c r="DL70" s="106"/>
      <c r="DM70" s="107">
        <v>0</v>
      </c>
      <c r="DN70" s="948" t="s">
        <v>120</v>
      </c>
      <c r="DO70" s="128"/>
      <c r="DP70" s="129"/>
      <c r="DQ70" s="121"/>
      <c r="DR70" s="121"/>
      <c r="DS70" s="121"/>
      <c r="DT70" s="121"/>
      <c r="DU70" s="130"/>
      <c r="DV70" s="131"/>
      <c r="DW70" s="131"/>
      <c r="DX70" s="127"/>
      <c r="DY70" s="132"/>
      <c r="DZ70" s="132"/>
      <c r="EA70" s="132"/>
      <c r="EB70" s="132"/>
      <c r="EC70" s="133"/>
      <c r="ED70" s="134"/>
      <c r="EE70" s="135"/>
      <c r="EF70" s="136">
        <v>0</v>
      </c>
      <c r="EG70" s="393">
        <v>0</v>
      </c>
      <c r="EH70" s="536"/>
      <c r="EI70" s="544">
        <v>30</v>
      </c>
      <c r="EJ70" s="14"/>
      <c r="EK70" s="14"/>
      <c r="EL70" s="14"/>
      <c r="EM70" s="540"/>
      <c r="EN70" s="546"/>
      <c r="EO70" s="11"/>
      <c r="EP70" s="883" t="s">
        <v>79</v>
      </c>
      <c r="EQ70" s="883"/>
      <c r="ER70" s="254"/>
      <c r="ES70" s="254"/>
      <c r="FC70" s="3">
        <v>0</v>
      </c>
      <c r="FD70" s="254"/>
      <c r="FE70" s="254"/>
      <c r="FF70" s="884">
        <v>1</v>
      </c>
      <c r="FG70" s="254"/>
      <c r="FH70" s="884"/>
      <c r="FI70" s="254"/>
      <c r="FJ70" s="884"/>
      <c r="FK70" s="3">
        <v>0</v>
      </c>
    </row>
    <row r="71" spans="1:167" s="3" customFormat="1">
      <c r="A71" s="254"/>
      <c r="B71" s="255">
        <v>41</v>
      </c>
      <c r="C71" s="97"/>
      <c r="D71" s="97"/>
      <c r="E71" s="880"/>
      <c r="F71" s="256">
        <v>1</v>
      </c>
      <c r="G71" s="257">
        <v>2</v>
      </c>
      <c r="H71" s="881" t="s">
        <v>29</v>
      </c>
      <c r="I71" s="258" t="s">
        <v>595</v>
      </c>
      <c r="J71" s="259">
        <v>8</v>
      </c>
      <c r="K71" s="260">
        <v>25</v>
      </c>
      <c r="L71" s="260">
        <v>3</v>
      </c>
      <c r="M71" s="261">
        <v>1</v>
      </c>
      <c r="N71" s="261">
        <v>1</v>
      </c>
      <c r="O71" s="262">
        <v>1</v>
      </c>
      <c r="P71" s="263">
        <v>4</v>
      </c>
      <c r="Q71" s="264">
        <v>1</v>
      </c>
      <c r="R71" s="264">
        <v>1</v>
      </c>
      <c r="S71" s="265">
        <v>1</v>
      </c>
      <c r="T71" s="265">
        <v>1</v>
      </c>
      <c r="U71" s="266">
        <v>1</v>
      </c>
      <c r="V71" s="267">
        <v>1</v>
      </c>
      <c r="W71" s="258" t="s">
        <v>311</v>
      </c>
      <c r="X71" s="268"/>
      <c r="Y71" s="269"/>
      <c r="Z71" s="269"/>
      <c r="AA71" s="269"/>
      <c r="AB71" s="269"/>
      <c r="AC71" s="269"/>
      <c r="AD71" s="269"/>
      <c r="AE71" s="269"/>
      <c r="AF71" s="269"/>
      <c r="AG71" s="269"/>
      <c r="AH71" s="269"/>
      <c r="AI71" s="269"/>
      <c r="AJ71" s="269"/>
      <c r="AK71" s="269"/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70"/>
      <c r="BB71" s="271">
        <v>0</v>
      </c>
      <c r="BC71" s="272"/>
      <c r="BD71" s="273"/>
      <c r="BE71" s="273"/>
      <c r="BF71" s="273"/>
      <c r="BG71" s="273"/>
      <c r="BH71" s="273"/>
      <c r="BI71" s="274"/>
      <c r="BJ71" s="275"/>
      <c r="BK71" s="276"/>
      <c r="BL71" s="276"/>
      <c r="BM71" s="276"/>
      <c r="BN71" s="276"/>
      <c r="BO71" s="276"/>
      <c r="BP71" s="277"/>
      <c r="BQ71" s="399"/>
      <c r="BR71" s="400"/>
      <c r="BS71" s="401"/>
      <c r="BT71" s="278"/>
      <c r="BU71" s="352"/>
      <c r="BV71" s="279">
        <v>127</v>
      </c>
      <c r="BW71" s="353"/>
      <c r="BX71" s="934" t="s">
        <v>120</v>
      </c>
      <c r="BY71" s="552"/>
      <c r="BZ71" s="552"/>
      <c r="CA71" s="941" t="s">
        <v>120</v>
      </c>
      <c r="CB71" s="553"/>
      <c r="CC71" s="330"/>
      <c r="CD71" s="554"/>
      <c r="CE71" s="554"/>
      <c r="CF71" s="513"/>
      <c r="CG71" s="555"/>
      <c r="CH71" s="556"/>
      <c r="CI71" s="379" t="s">
        <v>509</v>
      </c>
      <c r="CJ71" s="380" t="s">
        <v>509</v>
      </c>
      <c r="CK71" s="381" t="s">
        <v>509</v>
      </c>
      <c r="CL71" s="370" t="s">
        <v>509</v>
      </c>
      <c r="CM71" s="371" t="s">
        <v>509</v>
      </c>
      <c r="CN71" s="372" t="s">
        <v>509</v>
      </c>
      <c r="CO71" s="70" t="s">
        <v>27</v>
      </c>
      <c r="CP71" s="97" t="s">
        <v>509</v>
      </c>
      <c r="CQ71" s="69" t="s">
        <v>509</v>
      </c>
      <c r="CR71" s="280" t="s">
        <v>510</v>
      </c>
      <c r="CS71" s="118">
        <v>1</v>
      </c>
      <c r="CT71" s="119">
        <v>0.7</v>
      </c>
      <c r="CU71" s="120"/>
      <c r="CV71" s="882">
        <v>0</v>
      </c>
      <c r="CW71" s="340"/>
      <c r="CX71" s="345"/>
      <c r="CY71" s="121"/>
      <c r="CZ71" s="122"/>
      <c r="DA71" s="104">
        <v>0.9</v>
      </c>
      <c r="DB71" s="123">
        <v>0.43588989435406728</v>
      </c>
      <c r="DC71" s="949" t="s">
        <v>120</v>
      </c>
      <c r="DD71" s="124"/>
      <c r="DE71" s="124"/>
      <c r="DF71" s="125"/>
      <c r="DG71" s="126"/>
      <c r="DH71" s="121"/>
      <c r="DI71" s="127"/>
      <c r="DJ71" s="120"/>
      <c r="DK71" s="122"/>
      <c r="DL71" s="106"/>
      <c r="DM71" s="107">
        <v>0</v>
      </c>
      <c r="DN71" s="948" t="s">
        <v>120</v>
      </c>
      <c r="DO71" s="128"/>
      <c r="DP71" s="129"/>
      <c r="DQ71" s="121"/>
      <c r="DR71" s="121"/>
      <c r="DS71" s="121"/>
      <c r="DT71" s="121"/>
      <c r="DU71" s="130"/>
      <c r="DV71" s="131"/>
      <c r="DW71" s="131"/>
      <c r="DX71" s="127"/>
      <c r="DY71" s="132"/>
      <c r="DZ71" s="132"/>
      <c r="EA71" s="132"/>
      <c r="EB71" s="132"/>
      <c r="EC71" s="133"/>
      <c r="ED71" s="134"/>
      <c r="EE71" s="135"/>
      <c r="EF71" s="136">
        <v>0</v>
      </c>
      <c r="EG71" s="393">
        <v>0</v>
      </c>
      <c r="EH71" s="536"/>
      <c r="EI71" s="544">
        <v>30</v>
      </c>
      <c r="EJ71" s="14"/>
      <c r="EK71" s="14"/>
      <c r="EL71" s="14"/>
      <c r="EM71" s="540"/>
      <c r="EN71" s="546"/>
      <c r="EO71" s="11"/>
      <c r="EP71" s="883" t="s">
        <v>79</v>
      </c>
      <c r="EQ71" s="883"/>
      <c r="ER71" s="254"/>
      <c r="ES71" s="254"/>
      <c r="FC71" s="3">
        <v>0</v>
      </c>
      <c r="FD71" s="254"/>
      <c r="FE71" s="254"/>
      <c r="FF71" s="884">
        <v>1</v>
      </c>
      <c r="FG71" s="254"/>
      <c r="FH71" s="884"/>
      <c r="FI71" s="254"/>
      <c r="FJ71" s="884"/>
      <c r="FK71" s="3">
        <v>0</v>
      </c>
    </row>
    <row r="72" spans="1:167" s="3" customFormat="1">
      <c r="A72" s="254"/>
      <c r="B72" s="255">
        <v>42</v>
      </c>
      <c r="C72" s="97"/>
      <c r="D72" s="97"/>
      <c r="E72" s="880"/>
      <c r="F72" s="256">
        <v>1</v>
      </c>
      <c r="G72" s="257">
        <v>2</v>
      </c>
      <c r="H72" s="881" t="s">
        <v>29</v>
      </c>
      <c r="I72" s="258" t="s">
        <v>595</v>
      </c>
      <c r="J72" s="259">
        <v>8</v>
      </c>
      <c r="K72" s="260">
        <v>25</v>
      </c>
      <c r="L72" s="260">
        <v>3</v>
      </c>
      <c r="M72" s="261">
        <v>1</v>
      </c>
      <c r="N72" s="261">
        <v>1</v>
      </c>
      <c r="O72" s="262">
        <v>1</v>
      </c>
      <c r="P72" s="263">
        <v>4</v>
      </c>
      <c r="Q72" s="264">
        <v>1</v>
      </c>
      <c r="R72" s="264">
        <v>1</v>
      </c>
      <c r="S72" s="265">
        <v>1</v>
      </c>
      <c r="T72" s="265">
        <v>1</v>
      </c>
      <c r="U72" s="266">
        <v>1</v>
      </c>
      <c r="V72" s="267">
        <v>1</v>
      </c>
      <c r="W72" s="258" t="s">
        <v>311</v>
      </c>
      <c r="X72" s="268"/>
      <c r="Y72" s="269"/>
      <c r="Z72" s="269"/>
      <c r="AA72" s="269"/>
      <c r="AB72" s="269"/>
      <c r="AC72" s="269"/>
      <c r="AD72" s="269"/>
      <c r="AE72" s="269"/>
      <c r="AF72" s="269"/>
      <c r="AG72" s="269"/>
      <c r="AH72" s="269"/>
      <c r="AI72" s="269"/>
      <c r="AJ72" s="269"/>
      <c r="AK72" s="269"/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70"/>
      <c r="BB72" s="271">
        <v>0</v>
      </c>
      <c r="BC72" s="272"/>
      <c r="BD72" s="273"/>
      <c r="BE72" s="273"/>
      <c r="BF72" s="273"/>
      <c r="BG72" s="273"/>
      <c r="BH72" s="273"/>
      <c r="BI72" s="274"/>
      <c r="BJ72" s="275"/>
      <c r="BK72" s="276"/>
      <c r="BL72" s="276"/>
      <c r="BM72" s="276"/>
      <c r="BN72" s="276"/>
      <c r="BO72" s="276"/>
      <c r="BP72" s="277"/>
      <c r="BQ72" s="399"/>
      <c r="BR72" s="400"/>
      <c r="BS72" s="401"/>
      <c r="BT72" s="278"/>
      <c r="BU72" s="352"/>
      <c r="BV72" s="279">
        <v>127</v>
      </c>
      <c r="BW72" s="353"/>
      <c r="BX72" s="934" t="s">
        <v>120</v>
      </c>
      <c r="BY72" s="552"/>
      <c r="BZ72" s="552"/>
      <c r="CA72" s="941" t="s">
        <v>120</v>
      </c>
      <c r="CB72" s="553"/>
      <c r="CC72" s="330"/>
      <c r="CD72" s="554"/>
      <c r="CE72" s="554"/>
      <c r="CF72" s="513"/>
      <c r="CG72" s="555"/>
      <c r="CH72" s="556"/>
      <c r="CI72" s="379" t="s">
        <v>509</v>
      </c>
      <c r="CJ72" s="380" t="s">
        <v>509</v>
      </c>
      <c r="CK72" s="381" t="s">
        <v>509</v>
      </c>
      <c r="CL72" s="370" t="s">
        <v>509</v>
      </c>
      <c r="CM72" s="371" t="s">
        <v>509</v>
      </c>
      <c r="CN72" s="372" t="s">
        <v>509</v>
      </c>
      <c r="CO72" s="70" t="s">
        <v>27</v>
      </c>
      <c r="CP72" s="97" t="s">
        <v>509</v>
      </c>
      <c r="CQ72" s="69" t="s">
        <v>509</v>
      </c>
      <c r="CR72" s="280" t="s">
        <v>510</v>
      </c>
      <c r="CS72" s="118">
        <v>1</v>
      </c>
      <c r="CT72" s="119">
        <v>0.7</v>
      </c>
      <c r="CU72" s="120"/>
      <c r="CV72" s="882">
        <v>0</v>
      </c>
      <c r="CW72" s="340"/>
      <c r="CX72" s="345"/>
      <c r="CY72" s="121"/>
      <c r="CZ72" s="122"/>
      <c r="DA72" s="104">
        <v>0.9</v>
      </c>
      <c r="DB72" s="123">
        <v>0.43588989435406728</v>
      </c>
      <c r="DC72" s="949" t="s">
        <v>120</v>
      </c>
      <c r="DD72" s="124"/>
      <c r="DE72" s="124"/>
      <c r="DF72" s="125"/>
      <c r="DG72" s="126"/>
      <c r="DH72" s="121"/>
      <c r="DI72" s="127"/>
      <c r="DJ72" s="120"/>
      <c r="DK72" s="122"/>
      <c r="DL72" s="106"/>
      <c r="DM72" s="107">
        <v>0</v>
      </c>
      <c r="DN72" s="948" t="s">
        <v>120</v>
      </c>
      <c r="DO72" s="128"/>
      <c r="DP72" s="129"/>
      <c r="DQ72" s="121"/>
      <c r="DR72" s="121"/>
      <c r="DS72" s="121"/>
      <c r="DT72" s="121"/>
      <c r="DU72" s="130"/>
      <c r="DV72" s="131"/>
      <c r="DW72" s="131"/>
      <c r="DX72" s="127"/>
      <c r="DY72" s="132"/>
      <c r="DZ72" s="132"/>
      <c r="EA72" s="132"/>
      <c r="EB72" s="132"/>
      <c r="EC72" s="133"/>
      <c r="ED72" s="134"/>
      <c r="EE72" s="135"/>
      <c r="EF72" s="136">
        <v>0</v>
      </c>
      <c r="EG72" s="393">
        <v>0</v>
      </c>
      <c r="EH72" s="536"/>
      <c r="EI72" s="544">
        <v>30</v>
      </c>
      <c r="EJ72" s="14"/>
      <c r="EK72" s="14"/>
      <c r="EL72" s="14"/>
      <c r="EM72" s="540"/>
      <c r="EN72" s="546"/>
      <c r="EO72" s="11"/>
      <c r="EP72" s="883" t="s">
        <v>79</v>
      </c>
      <c r="EQ72" s="883"/>
      <c r="ER72" s="254"/>
      <c r="ES72" s="254"/>
      <c r="FC72" s="3">
        <v>0</v>
      </c>
      <c r="FD72" s="254"/>
      <c r="FE72" s="254"/>
      <c r="FF72" s="884">
        <v>1</v>
      </c>
      <c r="FG72" s="254"/>
      <c r="FH72" s="884"/>
      <c r="FI72" s="254"/>
      <c r="FJ72" s="884"/>
      <c r="FK72" s="3">
        <v>0</v>
      </c>
    </row>
    <row r="73" spans="1:167" s="3" customFormat="1">
      <c r="A73" s="254"/>
      <c r="B73" s="255">
        <v>43</v>
      </c>
      <c r="C73" s="97"/>
      <c r="D73" s="97"/>
      <c r="E73" s="880"/>
      <c r="F73" s="256">
        <v>1</v>
      </c>
      <c r="G73" s="257">
        <v>2</v>
      </c>
      <c r="H73" s="881" t="s">
        <v>29</v>
      </c>
      <c r="I73" s="258" t="s">
        <v>595</v>
      </c>
      <c r="J73" s="259">
        <v>8</v>
      </c>
      <c r="K73" s="260">
        <v>25</v>
      </c>
      <c r="L73" s="260">
        <v>3</v>
      </c>
      <c r="M73" s="261">
        <v>1</v>
      </c>
      <c r="N73" s="261">
        <v>1</v>
      </c>
      <c r="O73" s="262">
        <v>1</v>
      </c>
      <c r="P73" s="263">
        <v>4</v>
      </c>
      <c r="Q73" s="264">
        <v>1</v>
      </c>
      <c r="R73" s="264">
        <v>1</v>
      </c>
      <c r="S73" s="265">
        <v>1</v>
      </c>
      <c r="T73" s="265">
        <v>1</v>
      </c>
      <c r="U73" s="266">
        <v>1</v>
      </c>
      <c r="V73" s="267">
        <v>1</v>
      </c>
      <c r="W73" s="258" t="s">
        <v>311</v>
      </c>
      <c r="X73" s="268"/>
      <c r="Y73" s="269"/>
      <c r="Z73" s="269"/>
      <c r="AA73" s="269"/>
      <c r="AB73" s="269"/>
      <c r="AC73" s="269"/>
      <c r="AD73" s="269"/>
      <c r="AE73" s="269"/>
      <c r="AF73" s="269"/>
      <c r="AG73" s="269"/>
      <c r="AH73" s="269"/>
      <c r="AI73" s="269"/>
      <c r="AJ73" s="269"/>
      <c r="AK73" s="269"/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70"/>
      <c r="BB73" s="271">
        <v>0</v>
      </c>
      <c r="BC73" s="272"/>
      <c r="BD73" s="273"/>
      <c r="BE73" s="273"/>
      <c r="BF73" s="273"/>
      <c r="BG73" s="273"/>
      <c r="BH73" s="273"/>
      <c r="BI73" s="274"/>
      <c r="BJ73" s="275"/>
      <c r="BK73" s="276"/>
      <c r="BL73" s="276"/>
      <c r="BM73" s="276"/>
      <c r="BN73" s="276"/>
      <c r="BO73" s="276"/>
      <c r="BP73" s="277"/>
      <c r="BQ73" s="399"/>
      <c r="BR73" s="400"/>
      <c r="BS73" s="401"/>
      <c r="BT73" s="278"/>
      <c r="BU73" s="352"/>
      <c r="BV73" s="279">
        <v>127</v>
      </c>
      <c r="BW73" s="353"/>
      <c r="BX73" s="934" t="s">
        <v>120</v>
      </c>
      <c r="BY73" s="552"/>
      <c r="BZ73" s="552"/>
      <c r="CA73" s="941" t="s">
        <v>120</v>
      </c>
      <c r="CB73" s="553"/>
      <c r="CC73" s="330"/>
      <c r="CD73" s="554"/>
      <c r="CE73" s="554"/>
      <c r="CF73" s="513"/>
      <c r="CG73" s="555"/>
      <c r="CH73" s="556"/>
      <c r="CI73" s="379" t="s">
        <v>509</v>
      </c>
      <c r="CJ73" s="380" t="s">
        <v>509</v>
      </c>
      <c r="CK73" s="381" t="s">
        <v>509</v>
      </c>
      <c r="CL73" s="370" t="s">
        <v>509</v>
      </c>
      <c r="CM73" s="371" t="s">
        <v>509</v>
      </c>
      <c r="CN73" s="372" t="s">
        <v>509</v>
      </c>
      <c r="CO73" s="70" t="s">
        <v>32</v>
      </c>
      <c r="CP73" s="97" t="s">
        <v>509</v>
      </c>
      <c r="CQ73" s="69" t="s">
        <v>509</v>
      </c>
      <c r="CR73" s="280" t="s">
        <v>510</v>
      </c>
      <c r="CS73" s="118">
        <v>1</v>
      </c>
      <c r="CT73" s="119">
        <v>0.7</v>
      </c>
      <c r="CU73" s="120"/>
      <c r="CV73" s="882">
        <v>0</v>
      </c>
      <c r="CW73" s="340"/>
      <c r="CX73" s="345"/>
      <c r="CY73" s="121"/>
      <c r="CZ73" s="122"/>
      <c r="DA73" s="104">
        <v>0.9</v>
      </c>
      <c r="DB73" s="123">
        <v>0.43588989435406728</v>
      </c>
      <c r="DC73" s="949" t="s">
        <v>120</v>
      </c>
      <c r="DD73" s="124"/>
      <c r="DE73" s="124"/>
      <c r="DF73" s="125"/>
      <c r="DG73" s="126"/>
      <c r="DH73" s="121"/>
      <c r="DI73" s="127"/>
      <c r="DJ73" s="120"/>
      <c r="DK73" s="122"/>
      <c r="DL73" s="106"/>
      <c r="DM73" s="107">
        <v>0</v>
      </c>
      <c r="DN73" s="948" t="s">
        <v>120</v>
      </c>
      <c r="DO73" s="128"/>
      <c r="DP73" s="129"/>
      <c r="DQ73" s="121"/>
      <c r="DR73" s="121"/>
      <c r="DS73" s="121"/>
      <c r="DT73" s="121"/>
      <c r="DU73" s="130"/>
      <c r="DV73" s="131"/>
      <c r="DW73" s="131"/>
      <c r="DX73" s="127"/>
      <c r="DY73" s="132"/>
      <c r="DZ73" s="132"/>
      <c r="EA73" s="132"/>
      <c r="EB73" s="132"/>
      <c r="EC73" s="133"/>
      <c r="ED73" s="134"/>
      <c r="EE73" s="135"/>
      <c r="EF73" s="136">
        <v>0</v>
      </c>
      <c r="EG73" s="393">
        <v>0</v>
      </c>
      <c r="EH73" s="536"/>
      <c r="EI73" s="544">
        <v>30</v>
      </c>
      <c r="EJ73" s="14"/>
      <c r="EK73" s="14"/>
      <c r="EL73" s="14"/>
      <c r="EM73" s="540"/>
      <c r="EN73" s="546"/>
      <c r="EO73" s="11"/>
      <c r="EP73" s="883" t="s">
        <v>79</v>
      </c>
      <c r="EQ73" s="883"/>
      <c r="ER73" s="254"/>
      <c r="ES73" s="254"/>
      <c r="FC73" s="3">
        <v>0</v>
      </c>
      <c r="FD73" s="254"/>
      <c r="FE73" s="254"/>
      <c r="FF73" s="884">
        <v>1</v>
      </c>
      <c r="FG73" s="254"/>
      <c r="FH73" s="884"/>
      <c r="FI73" s="254"/>
      <c r="FJ73" s="884"/>
      <c r="FK73" s="3">
        <v>0</v>
      </c>
    </row>
    <row r="74" spans="1:167" s="3" customFormat="1">
      <c r="A74" s="254"/>
      <c r="B74" s="255">
        <v>44</v>
      </c>
      <c r="C74" s="97"/>
      <c r="D74" s="97"/>
      <c r="E74" s="880"/>
      <c r="F74" s="256">
        <v>1</v>
      </c>
      <c r="G74" s="257">
        <v>2</v>
      </c>
      <c r="H74" s="881" t="s">
        <v>29</v>
      </c>
      <c r="I74" s="258" t="s">
        <v>595</v>
      </c>
      <c r="J74" s="259">
        <v>8</v>
      </c>
      <c r="K74" s="260">
        <v>25</v>
      </c>
      <c r="L74" s="260">
        <v>3</v>
      </c>
      <c r="M74" s="261">
        <v>1</v>
      </c>
      <c r="N74" s="261">
        <v>1</v>
      </c>
      <c r="O74" s="262">
        <v>1</v>
      </c>
      <c r="P74" s="263">
        <v>4</v>
      </c>
      <c r="Q74" s="264">
        <v>1</v>
      </c>
      <c r="R74" s="264">
        <v>1</v>
      </c>
      <c r="S74" s="265">
        <v>1</v>
      </c>
      <c r="T74" s="265">
        <v>1</v>
      </c>
      <c r="U74" s="266">
        <v>1</v>
      </c>
      <c r="V74" s="267">
        <v>1</v>
      </c>
      <c r="W74" s="258" t="s">
        <v>311</v>
      </c>
      <c r="X74" s="268"/>
      <c r="Y74" s="269"/>
      <c r="Z74" s="269"/>
      <c r="AA74" s="269"/>
      <c r="AB74" s="269"/>
      <c r="AC74" s="269"/>
      <c r="AD74" s="269"/>
      <c r="AE74" s="269"/>
      <c r="AF74" s="269"/>
      <c r="AG74" s="269"/>
      <c r="AH74" s="269"/>
      <c r="AI74" s="269"/>
      <c r="AJ74" s="269"/>
      <c r="AK74" s="269"/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70"/>
      <c r="BB74" s="271">
        <v>0</v>
      </c>
      <c r="BC74" s="272"/>
      <c r="BD74" s="273"/>
      <c r="BE74" s="273"/>
      <c r="BF74" s="273"/>
      <c r="BG74" s="273"/>
      <c r="BH74" s="273"/>
      <c r="BI74" s="274"/>
      <c r="BJ74" s="275"/>
      <c r="BK74" s="276"/>
      <c r="BL74" s="276"/>
      <c r="BM74" s="276"/>
      <c r="BN74" s="276"/>
      <c r="BO74" s="276"/>
      <c r="BP74" s="277"/>
      <c r="BQ74" s="399"/>
      <c r="BR74" s="400"/>
      <c r="BS74" s="401"/>
      <c r="BT74" s="278"/>
      <c r="BU74" s="352"/>
      <c r="BV74" s="279">
        <v>127</v>
      </c>
      <c r="BW74" s="353"/>
      <c r="BX74" s="934" t="s">
        <v>120</v>
      </c>
      <c r="BY74" s="552"/>
      <c r="BZ74" s="552"/>
      <c r="CA74" s="941" t="s">
        <v>120</v>
      </c>
      <c r="CB74" s="553"/>
      <c r="CC74" s="330"/>
      <c r="CD74" s="554"/>
      <c r="CE74" s="554"/>
      <c r="CF74" s="513"/>
      <c r="CG74" s="555"/>
      <c r="CH74" s="556"/>
      <c r="CI74" s="379" t="s">
        <v>509</v>
      </c>
      <c r="CJ74" s="380" t="s">
        <v>509</v>
      </c>
      <c r="CK74" s="381" t="s">
        <v>509</v>
      </c>
      <c r="CL74" s="370" t="s">
        <v>509</v>
      </c>
      <c r="CM74" s="371" t="s">
        <v>509</v>
      </c>
      <c r="CN74" s="372" t="s">
        <v>509</v>
      </c>
      <c r="CO74" s="70" t="s">
        <v>32</v>
      </c>
      <c r="CP74" s="97" t="s">
        <v>509</v>
      </c>
      <c r="CQ74" s="69" t="s">
        <v>509</v>
      </c>
      <c r="CR74" s="280" t="s">
        <v>510</v>
      </c>
      <c r="CS74" s="118">
        <v>1</v>
      </c>
      <c r="CT74" s="119">
        <v>0.7</v>
      </c>
      <c r="CU74" s="120"/>
      <c r="CV74" s="882">
        <v>0</v>
      </c>
      <c r="CW74" s="340"/>
      <c r="CX74" s="345"/>
      <c r="CY74" s="121"/>
      <c r="CZ74" s="122"/>
      <c r="DA74" s="104">
        <v>0.9</v>
      </c>
      <c r="DB74" s="123">
        <v>0.43588989435406728</v>
      </c>
      <c r="DC74" s="949" t="s">
        <v>120</v>
      </c>
      <c r="DD74" s="124"/>
      <c r="DE74" s="124"/>
      <c r="DF74" s="125"/>
      <c r="DG74" s="126"/>
      <c r="DH74" s="121"/>
      <c r="DI74" s="127"/>
      <c r="DJ74" s="120"/>
      <c r="DK74" s="122"/>
      <c r="DL74" s="106"/>
      <c r="DM74" s="107">
        <v>0</v>
      </c>
      <c r="DN74" s="948" t="s">
        <v>120</v>
      </c>
      <c r="DO74" s="128"/>
      <c r="DP74" s="129"/>
      <c r="DQ74" s="121"/>
      <c r="DR74" s="121"/>
      <c r="DS74" s="121"/>
      <c r="DT74" s="121"/>
      <c r="DU74" s="130"/>
      <c r="DV74" s="131"/>
      <c r="DW74" s="131"/>
      <c r="DX74" s="127"/>
      <c r="DY74" s="132"/>
      <c r="DZ74" s="132"/>
      <c r="EA74" s="132"/>
      <c r="EB74" s="132"/>
      <c r="EC74" s="133"/>
      <c r="ED74" s="134"/>
      <c r="EE74" s="135"/>
      <c r="EF74" s="136">
        <v>0</v>
      </c>
      <c r="EG74" s="393">
        <v>0</v>
      </c>
      <c r="EH74" s="536"/>
      <c r="EI74" s="544">
        <v>30</v>
      </c>
      <c r="EJ74" s="14"/>
      <c r="EK74" s="14"/>
      <c r="EL74" s="14"/>
      <c r="EM74" s="540"/>
      <c r="EN74" s="546"/>
      <c r="EO74" s="11"/>
      <c r="EP74" s="883" t="s">
        <v>79</v>
      </c>
      <c r="EQ74" s="883"/>
      <c r="ER74" s="254"/>
      <c r="ES74" s="254"/>
      <c r="FC74" s="3">
        <v>0</v>
      </c>
      <c r="FD74" s="254"/>
      <c r="FE74" s="254"/>
      <c r="FF74" s="884">
        <v>1</v>
      </c>
      <c r="FG74" s="254"/>
      <c r="FH74" s="884"/>
      <c r="FI74" s="254"/>
      <c r="FJ74" s="884"/>
      <c r="FK74" s="3">
        <v>0</v>
      </c>
    </row>
    <row r="75" spans="1:167" s="3" customFormat="1">
      <c r="A75" s="254"/>
      <c r="B75" s="255">
        <v>45</v>
      </c>
      <c r="C75" s="97"/>
      <c r="D75" s="97"/>
      <c r="E75" s="880"/>
      <c r="F75" s="256">
        <v>1</v>
      </c>
      <c r="G75" s="257">
        <v>2</v>
      </c>
      <c r="H75" s="881" t="s">
        <v>29</v>
      </c>
      <c r="I75" s="258" t="s">
        <v>595</v>
      </c>
      <c r="J75" s="259">
        <v>8</v>
      </c>
      <c r="K75" s="260">
        <v>25</v>
      </c>
      <c r="L75" s="260">
        <v>3</v>
      </c>
      <c r="M75" s="261">
        <v>1</v>
      </c>
      <c r="N75" s="261">
        <v>1</v>
      </c>
      <c r="O75" s="262">
        <v>1</v>
      </c>
      <c r="P75" s="263">
        <v>4</v>
      </c>
      <c r="Q75" s="264">
        <v>1</v>
      </c>
      <c r="R75" s="264">
        <v>1</v>
      </c>
      <c r="S75" s="265">
        <v>1</v>
      </c>
      <c r="T75" s="265">
        <v>1</v>
      </c>
      <c r="U75" s="266">
        <v>1</v>
      </c>
      <c r="V75" s="267">
        <v>1</v>
      </c>
      <c r="W75" s="258" t="s">
        <v>311</v>
      </c>
      <c r="X75" s="268"/>
      <c r="Y75" s="269"/>
      <c r="Z75" s="269"/>
      <c r="AA75" s="269"/>
      <c r="AB75" s="269"/>
      <c r="AC75" s="269"/>
      <c r="AD75" s="269"/>
      <c r="AE75" s="269"/>
      <c r="AF75" s="269"/>
      <c r="AG75" s="269"/>
      <c r="AH75" s="269"/>
      <c r="AI75" s="269"/>
      <c r="AJ75" s="269"/>
      <c r="AK75" s="269"/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70"/>
      <c r="BB75" s="271">
        <v>0</v>
      </c>
      <c r="BC75" s="272"/>
      <c r="BD75" s="273"/>
      <c r="BE75" s="273"/>
      <c r="BF75" s="273"/>
      <c r="BG75" s="273"/>
      <c r="BH75" s="273"/>
      <c r="BI75" s="274"/>
      <c r="BJ75" s="275"/>
      <c r="BK75" s="276"/>
      <c r="BL75" s="276"/>
      <c r="BM75" s="276"/>
      <c r="BN75" s="276"/>
      <c r="BO75" s="276"/>
      <c r="BP75" s="277"/>
      <c r="BQ75" s="399"/>
      <c r="BR75" s="400"/>
      <c r="BS75" s="401"/>
      <c r="BT75" s="278"/>
      <c r="BU75" s="352"/>
      <c r="BV75" s="279">
        <v>127</v>
      </c>
      <c r="BW75" s="353"/>
      <c r="BX75" s="934" t="s">
        <v>120</v>
      </c>
      <c r="BY75" s="552"/>
      <c r="BZ75" s="552"/>
      <c r="CA75" s="941" t="s">
        <v>120</v>
      </c>
      <c r="CB75" s="553"/>
      <c r="CC75" s="330"/>
      <c r="CD75" s="554"/>
      <c r="CE75" s="554"/>
      <c r="CF75" s="513"/>
      <c r="CG75" s="555"/>
      <c r="CH75" s="556"/>
      <c r="CI75" s="379" t="s">
        <v>509</v>
      </c>
      <c r="CJ75" s="380" t="s">
        <v>509</v>
      </c>
      <c r="CK75" s="381" t="s">
        <v>509</v>
      </c>
      <c r="CL75" s="370" t="s">
        <v>509</v>
      </c>
      <c r="CM75" s="371" t="s">
        <v>509</v>
      </c>
      <c r="CN75" s="372" t="s">
        <v>509</v>
      </c>
      <c r="CO75" s="70" t="s">
        <v>26</v>
      </c>
      <c r="CP75" s="97" t="s">
        <v>509</v>
      </c>
      <c r="CQ75" s="69" t="s">
        <v>509</v>
      </c>
      <c r="CR75" s="280" t="s">
        <v>510</v>
      </c>
      <c r="CS75" s="118">
        <v>1</v>
      </c>
      <c r="CT75" s="119">
        <v>0.7</v>
      </c>
      <c r="CU75" s="120"/>
      <c r="CV75" s="882">
        <v>0</v>
      </c>
      <c r="CW75" s="340"/>
      <c r="CX75" s="345"/>
      <c r="CY75" s="121"/>
      <c r="CZ75" s="122"/>
      <c r="DA75" s="104">
        <v>0.9</v>
      </c>
      <c r="DB75" s="123">
        <v>0.43588989435406728</v>
      </c>
      <c r="DC75" s="949" t="s">
        <v>120</v>
      </c>
      <c r="DD75" s="124"/>
      <c r="DE75" s="124"/>
      <c r="DF75" s="125"/>
      <c r="DG75" s="126"/>
      <c r="DH75" s="121"/>
      <c r="DI75" s="127"/>
      <c r="DJ75" s="120"/>
      <c r="DK75" s="122"/>
      <c r="DL75" s="106"/>
      <c r="DM75" s="107">
        <v>0</v>
      </c>
      <c r="DN75" s="948" t="s">
        <v>120</v>
      </c>
      <c r="DO75" s="128"/>
      <c r="DP75" s="129"/>
      <c r="DQ75" s="121"/>
      <c r="DR75" s="121"/>
      <c r="DS75" s="121"/>
      <c r="DT75" s="121"/>
      <c r="DU75" s="130"/>
      <c r="DV75" s="131"/>
      <c r="DW75" s="131"/>
      <c r="DX75" s="127"/>
      <c r="DY75" s="132"/>
      <c r="DZ75" s="132"/>
      <c r="EA75" s="132"/>
      <c r="EB75" s="132"/>
      <c r="EC75" s="133"/>
      <c r="ED75" s="134"/>
      <c r="EE75" s="135"/>
      <c r="EF75" s="136">
        <v>0</v>
      </c>
      <c r="EG75" s="393">
        <v>0</v>
      </c>
      <c r="EH75" s="536"/>
      <c r="EI75" s="544">
        <v>30</v>
      </c>
      <c r="EJ75" s="14"/>
      <c r="EK75" s="14"/>
      <c r="EL75" s="14"/>
      <c r="EM75" s="540"/>
      <c r="EN75" s="546"/>
      <c r="EO75" s="11"/>
      <c r="EP75" s="883" t="s">
        <v>79</v>
      </c>
      <c r="EQ75" s="883"/>
      <c r="ER75" s="254"/>
      <c r="ES75" s="254"/>
      <c r="FC75" s="3">
        <v>0</v>
      </c>
      <c r="FD75" s="254"/>
      <c r="FE75" s="254"/>
      <c r="FF75" s="884">
        <v>1</v>
      </c>
      <c r="FG75" s="254"/>
      <c r="FH75" s="884"/>
      <c r="FI75" s="254"/>
      <c r="FJ75" s="884"/>
      <c r="FK75" s="3">
        <v>0</v>
      </c>
    </row>
    <row r="76" spans="1:167" s="3" customFormat="1">
      <c r="A76" s="254"/>
      <c r="B76" s="255">
        <v>46</v>
      </c>
      <c r="C76" s="97"/>
      <c r="D76" s="97"/>
      <c r="E76" s="880"/>
      <c r="F76" s="256">
        <v>1</v>
      </c>
      <c r="G76" s="257">
        <v>2</v>
      </c>
      <c r="H76" s="881" t="s">
        <v>29</v>
      </c>
      <c r="I76" s="258" t="s">
        <v>595</v>
      </c>
      <c r="J76" s="259">
        <v>8</v>
      </c>
      <c r="K76" s="260">
        <v>25</v>
      </c>
      <c r="L76" s="260">
        <v>3</v>
      </c>
      <c r="M76" s="261">
        <v>1</v>
      </c>
      <c r="N76" s="261">
        <v>1</v>
      </c>
      <c r="O76" s="262">
        <v>1</v>
      </c>
      <c r="P76" s="263">
        <v>4</v>
      </c>
      <c r="Q76" s="264">
        <v>1</v>
      </c>
      <c r="R76" s="264">
        <v>1</v>
      </c>
      <c r="S76" s="265">
        <v>1</v>
      </c>
      <c r="T76" s="265">
        <v>1</v>
      </c>
      <c r="U76" s="266">
        <v>1</v>
      </c>
      <c r="V76" s="267">
        <v>1</v>
      </c>
      <c r="W76" s="258" t="s">
        <v>311</v>
      </c>
      <c r="X76" s="268"/>
      <c r="Y76" s="269"/>
      <c r="Z76" s="269"/>
      <c r="AA76" s="269"/>
      <c r="AB76" s="269"/>
      <c r="AC76" s="269"/>
      <c r="AD76" s="269"/>
      <c r="AE76" s="269"/>
      <c r="AF76" s="269"/>
      <c r="AG76" s="269"/>
      <c r="AH76" s="269"/>
      <c r="AI76" s="269"/>
      <c r="AJ76" s="269"/>
      <c r="AK76" s="269"/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70"/>
      <c r="BB76" s="271">
        <v>0</v>
      </c>
      <c r="BC76" s="272"/>
      <c r="BD76" s="273"/>
      <c r="BE76" s="273"/>
      <c r="BF76" s="273"/>
      <c r="BG76" s="273"/>
      <c r="BH76" s="273"/>
      <c r="BI76" s="274"/>
      <c r="BJ76" s="275"/>
      <c r="BK76" s="276"/>
      <c r="BL76" s="276"/>
      <c r="BM76" s="276"/>
      <c r="BN76" s="276"/>
      <c r="BO76" s="276"/>
      <c r="BP76" s="277"/>
      <c r="BQ76" s="399"/>
      <c r="BR76" s="400"/>
      <c r="BS76" s="401"/>
      <c r="BT76" s="278"/>
      <c r="BU76" s="352"/>
      <c r="BV76" s="279">
        <v>127</v>
      </c>
      <c r="BW76" s="353"/>
      <c r="BX76" s="934" t="s">
        <v>120</v>
      </c>
      <c r="BY76" s="552"/>
      <c r="BZ76" s="552"/>
      <c r="CA76" s="941" t="s">
        <v>120</v>
      </c>
      <c r="CB76" s="553"/>
      <c r="CC76" s="330"/>
      <c r="CD76" s="554"/>
      <c r="CE76" s="554"/>
      <c r="CF76" s="513"/>
      <c r="CG76" s="555"/>
      <c r="CH76" s="556"/>
      <c r="CI76" s="379" t="s">
        <v>509</v>
      </c>
      <c r="CJ76" s="380" t="s">
        <v>509</v>
      </c>
      <c r="CK76" s="381" t="s">
        <v>509</v>
      </c>
      <c r="CL76" s="370" t="s">
        <v>509</v>
      </c>
      <c r="CM76" s="371" t="s">
        <v>509</v>
      </c>
      <c r="CN76" s="372" t="s">
        <v>509</v>
      </c>
      <c r="CO76" s="70" t="s">
        <v>26</v>
      </c>
      <c r="CP76" s="97" t="s">
        <v>509</v>
      </c>
      <c r="CQ76" s="69" t="s">
        <v>509</v>
      </c>
      <c r="CR76" s="280" t="s">
        <v>510</v>
      </c>
      <c r="CS76" s="118">
        <v>1</v>
      </c>
      <c r="CT76" s="119">
        <v>0.7</v>
      </c>
      <c r="CU76" s="120"/>
      <c r="CV76" s="882">
        <v>0</v>
      </c>
      <c r="CW76" s="340"/>
      <c r="CX76" s="345"/>
      <c r="CY76" s="121"/>
      <c r="CZ76" s="122"/>
      <c r="DA76" s="104">
        <v>0.9</v>
      </c>
      <c r="DB76" s="123">
        <v>0.43588989435406728</v>
      </c>
      <c r="DC76" s="949" t="s">
        <v>120</v>
      </c>
      <c r="DD76" s="124"/>
      <c r="DE76" s="124"/>
      <c r="DF76" s="125"/>
      <c r="DG76" s="126"/>
      <c r="DH76" s="121"/>
      <c r="DI76" s="127"/>
      <c r="DJ76" s="120"/>
      <c r="DK76" s="122"/>
      <c r="DL76" s="106"/>
      <c r="DM76" s="107">
        <v>0</v>
      </c>
      <c r="DN76" s="948" t="s">
        <v>120</v>
      </c>
      <c r="DO76" s="128"/>
      <c r="DP76" s="129"/>
      <c r="DQ76" s="121"/>
      <c r="DR76" s="121"/>
      <c r="DS76" s="121"/>
      <c r="DT76" s="121"/>
      <c r="DU76" s="130"/>
      <c r="DV76" s="131"/>
      <c r="DW76" s="131"/>
      <c r="DX76" s="127"/>
      <c r="DY76" s="132"/>
      <c r="DZ76" s="132"/>
      <c r="EA76" s="132"/>
      <c r="EB76" s="132"/>
      <c r="EC76" s="133"/>
      <c r="ED76" s="134"/>
      <c r="EE76" s="135"/>
      <c r="EF76" s="136">
        <v>0</v>
      </c>
      <c r="EG76" s="393">
        <v>0</v>
      </c>
      <c r="EH76" s="536"/>
      <c r="EI76" s="544">
        <v>30</v>
      </c>
      <c r="EJ76" s="14"/>
      <c r="EK76" s="14"/>
      <c r="EL76" s="14"/>
      <c r="EM76" s="540"/>
      <c r="EN76" s="546"/>
      <c r="EO76" s="11"/>
      <c r="EP76" s="883" t="s">
        <v>79</v>
      </c>
      <c r="EQ76" s="883"/>
      <c r="ER76" s="254"/>
      <c r="ES76" s="254"/>
      <c r="FC76" s="3">
        <v>0</v>
      </c>
      <c r="FD76" s="254"/>
      <c r="FE76" s="254"/>
      <c r="FF76" s="884">
        <v>1</v>
      </c>
      <c r="FG76" s="254"/>
      <c r="FH76" s="884"/>
      <c r="FI76" s="254"/>
      <c r="FJ76" s="884"/>
      <c r="FK76" s="3">
        <v>0</v>
      </c>
    </row>
    <row r="77" spans="1:167" s="3" customFormat="1">
      <c r="A77" s="254"/>
      <c r="B77" s="255">
        <v>47</v>
      </c>
      <c r="C77" s="97"/>
      <c r="D77" s="97"/>
      <c r="E77" s="880"/>
      <c r="F77" s="256">
        <v>1</v>
      </c>
      <c r="G77" s="257">
        <v>2</v>
      </c>
      <c r="H77" s="881" t="s">
        <v>29</v>
      </c>
      <c r="I77" s="258" t="s">
        <v>595</v>
      </c>
      <c r="J77" s="259">
        <v>8</v>
      </c>
      <c r="K77" s="260">
        <v>25</v>
      </c>
      <c r="L77" s="260">
        <v>3</v>
      </c>
      <c r="M77" s="261">
        <v>1</v>
      </c>
      <c r="N77" s="261">
        <v>1</v>
      </c>
      <c r="O77" s="262">
        <v>1</v>
      </c>
      <c r="P77" s="263">
        <v>4</v>
      </c>
      <c r="Q77" s="264">
        <v>1</v>
      </c>
      <c r="R77" s="264">
        <v>1</v>
      </c>
      <c r="S77" s="265">
        <v>1</v>
      </c>
      <c r="T77" s="265">
        <v>1</v>
      </c>
      <c r="U77" s="266">
        <v>1</v>
      </c>
      <c r="V77" s="267">
        <v>1</v>
      </c>
      <c r="W77" s="258" t="s">
        <v>311</v>
      </c>
      <c r="X77" s="268"/>
      <c r="Y77" s="269"/>
      <c r="Z77" s="269"/>
      <c r="AA77" s="269"/>
      <c r="AB77" s="269"/>
      <c r="AC77" s="269"/>
      <c r="AD77" s="269"/>
      <c r="AE77" s="269"/>
      <c r="AF77" s="269"/>
      <c r="AG77" s="269"/>
      <c r="AH77" s="269"/>
      <c r="AI77" s="269"/>
      <c r="AJ77" s="269"/>
      <c r="AK77" s="269"/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70"/>
      <c r="BB77" s="271">
        <v>0</v>
      </c>
      <c r="BC77" s="272"/>
      <c r="BD77" s="273"/>
      <c r="BE77" s="273"/>
      <c r="BF77" s="273"/>
      <c r="BG77" s="273"/>
      <c r="BH77" s="273"/>
      <c r="BI77" s="274"/>
      <c r="BJ77" s="275"/>
      <c r="BK77" s="276"/>
      <c r="BL77" s="276"/>
      <c r="BM77" s="276"/>
      <c r="BN77" s="276"/>
      <c r="BO77" s="276"/>
      <c r="BP77" s="277"/>
      <c r="BQ77" s="399"/>
      <c r="BR77" s="400"/>
      <c r="BS77" s="401"/>
      <c r="BT77" s="278"/>
      <c r="BU77" s="352"/>
      <c r="BV77" s="279">
        <v>127</v>
      </c>
      <c r="BW77" s="353"/>
      <c r="BX77" s="934" t="s">
        <v>120</v>
      </c>
      <c r="BY77" s="552"/>
      <c r="BZ77" s="552"/>
      <c r="CA77" s="941" t="s">
        <v>120</v>
      </c>
      <c r="CB77" s="553"/>
      <c r="CC77" s="330"/>
      <c r="CD77" s="554"/>
      <c r="CE77" s="554"/>
      <c r="CF77" s="513"/>
      <c r="CG77" s="555"/>
      <c r="CH77" s="556"/>
      <c r="CI77" s="379" t="s">
        <v>509</v>
      </c>
      <c r="CJ77" s="380" t="s">
        <v>509</v>
      </c>
      <c r="CK77" s="381" t="s">
        <v>509</v>
      </c>
      <c r="CL77" s="370" t="s">
        <v>509</v>
      </c>
      <c r="CM77" s="371" t="s">
        <v>509</v>
      </c>
      <c r="CN77" s="372" t="s">
        <v>509</v>
      </c>
      <c r="CO77" s="70" t="s">
        <v>27</v>
      </c>
      <c r="CP77" s="97" t="s">
        <v>509</v>
      </c>
      <c r="CQ77" s="69" t="s">
        <v>509</v>
      </c>
      <c r="CR77" s="280" t="s">
        <v>510</v>
      </c>
      <c r="CS77" s="118">
        <v>1</v>
      </c>
      <c r="CT77" s="119">
        <v>0.7</v>
      </c>
      <c r="CU77" s="120"/>
      <c r="CV77" s="882">
        <v>0</v>
      </c>
      <c r="CW77" s="340"/>
      <c r="CX77" s="345"/>
      <c r="CY77" s="121"/>
      <c r="CZ77" s="122"/>
      <c r="DA77" s="104">
        <v>0.9</v>
      </c>
      <c r="DB77" s="123">
        <v>0.43588989435406728</v>
      </c>
      <c r="DC77" s="949" t="s">
        <v>120</v>
      </c>
      <c r="DD77" s="124"/>
      <c r="DE77" s="124"/>
      <c r="DF77" s="125"/>
      <c r="DG77" s="126"/>
      <c r="DH77" s="121"/>
      <c r="DI77" s="127"/>
      <c r="DJ77" s="120"/>
      <c r="DK77" s="122"/>
      <c r="DL77" s="106"/>
      <c r="DM77" s="107">
        <v>0</v>
      </c>
      <c r="DN77" s="948" t="s">
        <v>120</v>
      </c>
      <c r="DO77" s="128"/>
      <c r="DP77" s="129"/>
      <c r="DQ77" s="121"/>
      <c r="DR77" s="121"/>
      <c r="DS77" s="121"/>
      <c r="DT77" s="121"/>
      <c r="DU77" s="130"/>
      <c r="DV77" s="131"/>
      <c r="DW77" s="131"/>
      <c r="DX77" s="127"/>
      <c r="DY77" s="132"/>
      <c r="DZ77" s="132"/>
      <c r="EA77" s="132"/>
      <c r="EB77" s="132"/>
      <c r="EC77" s="133"/>
      <c r="ED77" s="134"/>
      <c r="EE77" s="135"/>
      <c r="EF77" s="136">
        <v>0</v>
      </c>
      <c r="EG77" s="393">
        <v>0</v>
      </c>
      <c r="EH77" s="536"/>
      <c r="EI77" s="544">
        <v>30</v>
      </c>
      <c r="EJ77" s="14"/>
      <c r="EK77" s="14"/>
      <c r="EL77" s="14"/>
      <c r="EM77" s="540"/>
      <c r="EN77" s="546"/>
      <c r="EO77" s="11"/>
      <c r="EP77" s="883" t="s">
        <v>79</v>
      </c>
      <c r="EQ77" s="883"/>
      <c r="ER77" s="254"/>
      <c r="ES77" s="254"/>
      <c r="FC77" s="3">
        <v>0</v>
      </c>
      <c r="FD77" s="254"/>
      <c r="FE77" s="254"/>
      <c r="FF77" s="884">
        <v>1</v>
      </c>
      <c r="FG77" s="254"/>
      <c r="FH77" s="884"/>
      <c r="FI77" s="254"/>
      <c r="FJ77" s="884"/>
      <c r="FK77" s="3">
        <v>0</v>
      </c>
    </row>
    <row r="78" spans="1:167" s="3" customFormat="1">
      <c r="A78" s="254"/>
      <c r="B78" s="255">
        <v>48</v>
      </c>
      <c r="C78" s="97"/>
      <c r="D78" s="97"/>
      <c r="E78" s="880"/>
      <c r="F78" s="256">
        <v>1</v>
      </c>
      <c r="G78" s="257">
        <v>2</v>
      </c>
      <c r="H78" s="881" t="s">
        <v>29</v>
      </c>
      <c r="I78" s="258" t="s">
        <v>595</v>
      </c>
      <c r="J78" s="259">
        <v>8</v>
      </c>
      <c r="K78" s="260">
        <v>25</v>
      </c>
      <c r="L78" s="260">
        <v>3</v>
      </c>
      <c r="M78" s="261">
        <v>1</v>
      </c>
      <c r="N78" s="261">
        <v>1</v>
      </c>
      <c r="O78" s="262">
        <v>1</v>
      </c>
      <c r="P78" s="263">
        <v>4</v>
      </c>
      <c r="Q78" s="264">
        <v>1</v>
      </c>
      <c r="R78" s="264">
        <v>1</v>
      </c>
      <c r="S78" s="265">
        <v>1</v>
      </c>
      <c r="T78" s="265">
        <v>1</v>
      </c>
      <c r="U78" s="266">
        <v>1</v>
      </c>
      <c r="V78" s="267">
        <v>1</v>
      </c>
      <c r="W78" s="258" t="s">
        <v>311</v>
      </c>
      <c r="X78" s="268"/>
      <c r="Y78" s="269"/>
      <c r="Z78" s="269"/>
      <c r="AA78" s="269"/>
      <c r="AB78" s="269"/>
      <c r="AC78" s="269"/>
      <c r="AD78" s="269"/>
      <c r="AE78" s="269"/>
      <c r="AF78" s="269"/>
      <c r="AG78" s="269"/>
      <c r="AH78" s="269"/>
      <c r="AI78" s="269"/>
      <c r="AJ78" s="269"/>
      <c r="AK78" s="269"/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70"/>
      <c r="BB78" s="271">
        <v>0</v>
      </c>
      <c r="BC78" s="272"/>
      <c r="BD78" s="273"/>
      <c r="BE78" s="273"/>
      <c r="BF78" s="273"/>
      <c r="BG78" s="273"/>
      <c r="BH78" s="273"/>
      <c r="BI78" s="274"/>
      <c r="BJ78" s="275"/>
      <c r="BK78" s="276"/>
      <c r="BL78" s="276"/>
      <c r="BM78" s="276"/>
      <c r="BN78" s="276"/>
      <c r="BO78" s="276"/>
      <c r="BP78" s="277"/>
      <c r="BQ78" s="399"/>
      <c r="BR78" s="400"/>
      <c r="BS78" s="401"/>
      <c r="BT78" s="278"/>
      <c r="BU78" s="352"/>
      <c r="BV78" s="279">
        <v>127</v>
      </c>
      <c r="BW78" s="353"/>
      <c r="BX78" s="934" t="s">
        <v>120</v>
      </c>
      <c r="BY78" s="552"/>
      <c r="BZ78" s="552"/>
      <c r="CA78" s="941" t="s">
        <v>120</v>
      </c>
      <c r="CB78" s="553"/>
      <c r="CC78" s="330"/>
      <c r="CD78" s="554"/>
      <c r="CE78" s="554"/>
      <c r="CF78" s="513"/>
      <c r="CG78" s="555"/>
      <c r="CH78" s="556"/>
      <c r="CI78" s="379" t="s">
        <v>509</v>
      </c>
      <c r="CJ78" s="380" t="s">
        <v>509</v>
      </c>
      <c r="CK78" s="381" t="s">
        <v>509</v>
      </c>
      <c r="CL78" s="370" t="s">
        <v>509</v>
      </c>
      <c r="CM78" s="371" t="s">
        <v>509</v>
      </c>
      <c r="CN78" s="372" t="s">
        <v>509</v>
      </c>
      <c r="CO78" s="70" t="s">
        <v>27</v>
      </c>
      <c r="CP78" s="97" t="s">
        <v>509</v>
      </c>
      <c r="CQ78" s="69" t="s">
        <v>509</v>
      </c>
      <c r="CR78" s="280" t="s">
        <v>510</v>
      </c>
      <c r="CS78" s="118">
        <v>1</v>
      </c>
      <c r="CT78" s="119">
        <v>0.7</v>
      </c>
      <c r="CU78" s="120"/>
      <c r="CV78" s="882">
        <v>0</v>
      </c>
      <c r="CW78" s="340"/>
      <c r="CX78" s="345"/>
      <c r="CY78" s="121"/>
      <c r="CZ78" s="122"/>
      <c r="DA78" s="104">
        <v>0.9</v>
      </c>
      <c r="DB78" s="123">
        <v>0.43588989435406728</v>
      </c>
      <c r="DC78" s="949" t="s">
        <v>120</v>
      </c>
      <c r="DD78" s="124"/>
      <c r="DE78" s="124"/>
      <c r="DF78" s="125"/>
      <c r="DG78" s="126"/>
      <c r="DH78" s="121"/>
      <c r="DI78" s="127"/>
      <c r="DJ78" s="120"/>
      <c r="DK78" s="122"/>
      <c r="DL78" s="106"/>
      <c r="DM78" s="107">
        <v>0</v>
      </c>
      <c r="DN78" s="948" t="s">
        <v>120</v>
      </c>
      <c r="DO78" s="128"/>
      <c r="DP78" s="129"/>
      <c r="DQ78" s="121"/>
      <c r="DR78" s="121"/>
      <c r="DS78" s="121"/>
      <c r="DT78" s="121"/>
      <c r="DU78" s="130"/>
      <c r="DV78" s="131"/>
      <c r="DW78" s="131"/>
      <c r="DX78" s="127"/>
      <c r="DY78" s="132"/>
      <c r="DZ78" s="132"/>
      <c r="EA78" s="132"/>
      <c r="EB78" s="132"/>
      <c r="EC78" s="133"/>
      <c r="ED78" s="134"/>
      <c r="EE78" s="135"/>
      <c r="EF78" s="136">
        <v>0</v>
      </c>
      <c r="EG78" s="393">
        <v>0</v>
      </c>
      <c r="EH78" s="536"/>
      <c r="EI78" s="544">
        <v>30</v>
      </c>
      <c r="EJ78" s="14"/>
      <c r="EK78" s="14"/>
      <c r="EL78" s="14"/>
      <c r="EM78" s="540"/>
      <c r="EN78" s="546"/>
      <c r="EO78" s="11"/>
      <c r="EP78" s="883" t="s">
        <v>79</v>
      </c>
      <c r="EQ78" s="883"/>
      <c r="ER78" s="254"/>
      <c r="ES78" s="254"/>
      <c r="FC78" s="3">
        <v>0</v>
      </c>
      <c r="FD78" s="254"/>
      <c r="FE78" s="254"/>
      <c r="FF78" s="884">
        <v>1</v>
      </c>
      <c r="FG78" s="254"/>
      <c r="FH78" s="884"/>
      <c r="FI78" s="254"/>
      <c r="FJ78" s="884"/>
      <c r="FK78" s="3">
        <v>0</v>
      </c>
    </row>
    <row r="79" spans="1:167" s="3" customFormat="1">
      <c r="A79" s="254"/>
      <c r="B79" s="255">
        <v>49</v>
      </c>
      <c r="C79" s="97"/>
      <c r="D79" s="97"/>
      <c r="E79" s="880"/>
      <c r="F79" s="256">
        <v>1</v>
      </c>
      <c r="G79" s="257">
        <v>2</v>
      </c>
      <c r="H79" s="881" t="s">
        <v>29</v>
      </c>
      <c r="I79" s="258" t="s">
        <v>595</v>
      </c>
      <c r="J79" s="259">
        <v>8</v>
      </c>
      <c r="K79" s="260">
        <v>25</v>
      </c>
      <c r="L79" s="260">
        <v>3</v>
      </c>
      <c r="M79" s="261">
        <v>1</v>
      </c>
      <c r="N79" s="261">
        <v>1</v>
      </c>
      <c r="O79" s="262">
        <v>1</v>
      </c>
      <c r="P79" s="263">
        <v>4</v>
      </c>
      <c r="Q79" s="264">
        <v>1</v>
      </c>
      <c r="R79" s="264">
        <v>1</v>
      </c>
      <c r="S79" s="265">
        <v>1</v>
      </c>
      <c r="T79" s="265">
        <v>1</v>
      </c>
      <c r="U79" s="266">
        <v>1</v>
      </c>
      <c r="V79" s="267">
        <v>1</v>
      </c>
      <c r="W79" s="258" t="s">
        <v>311</v>
      </c>
      <c r="X79" s="268"/>
      <c r="Y79" s="269"/>
      <c r="Z79" s="269"/>
      <c r="AA79" s="269"/>
      <c r="AB79" s="269"/>
      <c r="AC79" s="269"/>
      <c r="AD79" s="269"/>
      <c r="AE79" s="269"/>
      <c r="AF79" s="269"/>
      <c r="AG79" s="269"/>
      <c r="AH79" s="269"/>
      <c r="AI79" s="269"/>
      <c r="AJ79" s="269"/>
      <c r="AK79" s="269"/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70"/>
      <c r="BB79" s="271">
        <v>0</v>
      </c>
      <c r="BC79" s="272"/>
      <c r="BD79" s="273"/>
      <c r="BE79" s="273"/>
      <c r="BF79" s="273"/>
      <c r="BG79" s="273"/>
      <c r="BH79" s="273"/>
      <c r="BI79" s="274"/>
      <c r="BJ79" s="275"/>
      <c r="BK79" s="276"/>
      <c r="BL79" s="276"/>
      <c r="BM79" s="276"/>
      <c r="BN79" s="276"/>
      <c r="BO79" s="276"/>
      <c r="BP79" s="277"/>
      <c r="BQ79" s="399"/>
      <c r="BR79" s="400"/>
      <c r="BS79" s="401"/>
      <c r="BT79" s="278"/>
      <c r="BU79" s="352"/>
      <c r="BV79" s="279">
        <v>127</v>
      </c>
      <c r="BW79" s="353"/>
      <c r="BX79" s="934" t="s">
        <v>120</v>
      </c>
      <c r="BY79" s="552"/>
      <c r="BZ79" s="552"/>
      <c r="CA79" s="941" t="s">
        <v>120</v>
      </c>
      <c r="CB79" s="553"/>
      <c r="CC79" s="330"/>
      <c r="CD79" s="554"/>
      <c r="CE79" s="554"/>
      <c r="CF79" s="513"/>
      <c r="CG79" s="555"/>
      <c r="CH79" s="556"/>
      <c r="CI79" s="379" t="s">
        <v>509</v>
      </c>
      <c r="CJ79" s="380" t="s">
        <v>509</v>
      </c>
      <c r="CK79" s="381" t="s">
        <v>509</v>
      </c>
      <c r="CL79" s="370" t="s">
        <v>509</v>
      </c>
      <c r="CM79" s="371" t="s">
        <v>509</v>
      </c>
      <c r="CN79" s="372" t="s">
        <v>509</v>
      </c>
      <c r="CO79" s="70" t="s">
        <v>32</v>
      </c>
      <c r="CP79" s="97" t="s">
        <v>509</v>
      </c>
      <c r="CQ79" s="69" t="s">
        <v>509</v>
      </c>
      <c r="CR79" s="280" t="s">
        <v>510</v>
      </c>
      <c r="CS79" s="118">
        <v>1</v>
      </c>
      <c r="CT79" s="119">
        <v>0.7</v>
      </c>
      <c r="CU79" s="120"/>
      <c r="CV79" s="882">
        <v>0</v>
      </c>
      <c r="CW79" s="340"/>
      <c r="CX79" s="345"/>
      <c r="CY79" s="121"/>
      <c r="CZ79" s="122"/>
      <c r="DA79" s="104">
        <v>0.9</v>
      </c>
      <c r="DB79" s="123">
        <v>0.43588989435406728</v>
      </c>
      <c r="DC79" s="949" t="s">
        <v>120</v>
      </c>
      <c r="DD79" s="124"/>
      <c r="DE79" s="124"/>
      <c r="DF79" s="125"/>
      <c r="DG79" s="126"/>
      <c r="DH79" s="121"/>
      <c r="DI79" s="127"/>
      <c r="DJ79" s="120"/>
      <c r="DK79" s="122"/>
      <c r="DL79" s="106"/>
      <c r="DM79" s="107">
        <v>0</v>
      </c>
      <c r="DN79" s="948" t="s">
        <v>120</v>
      </c>
      <c r="DO79" s="128"/>
      <c r="DP79" s="129"/>
      <c r="DQ79" s="121"/>
      <c r="DR79" s="121"/>
      <c r="DS79" s="121"/>
      <c r="DT79" s="121"/>
      <c r="DU79" s="130"/>
      <c r="DV79" s="131"/>
      <c r="DW79" s="131"/>
      <c r="DX79" s="127"/>
      <c r="DY79" s="132"/>
      <c r="DZ79" s="132"/>
      <c r="EA79" s="132"/>
      <c r="EB79" s="132"/>
      <c r="EC79" s="133"/>
      <c r="ED79" s="134"/>
      <c r="EE79" s="135"/>
      <c r="EF79" s="136">
        <v>0</v>
      </c>
      <c r="EG79" s="393">
        <v>0</v>
      </c>
      <c r="EH79" s="536"/>
      <c r="EI79" s="544">
        <v>30</v>
      </c>
      <c r="EJ79" s="14"/>
      <c r="EK79" s="14"/>
      <c r="EL79" s="14"/>
      <c r="EM79" s="540"/>
      <c r="EN79" s="546"/>
      <c r="EO79" s="11"/>
      <c r="EP79" s="883" t="s">
        <v>79</v>
      </c>
      <c r="EQ79" s="883"/>
      <c r="ER79" s="254"/>
      <c r="ES79" s="254"/>
      <c r="FC79" s="3">
        <v>0</v>
      </c>
      <c r="FD79" s="254"/>
      <c r="FE79" s="254"/>
      <c r="FF79" s="884">
        <v>1</v>
      </c>
      <c r="FG79" s="254"/>
      <c r="FH79" s="884"/>
      <c r="FI79" s="254"/>
      <c r="FJ79" s="884"/>
      <c r="FK79" s="3">
        <v>0</v>
      </c>
    </row>
    <row r="80" spans="1:167" s="3" customFormat="1">
      <c r="A80" s="254"/>
      <c r="B80" s="255">
        <v>50</v>
      </c>
      <c r="C80" s="97"/>
      <c r="D80" s="97"/>
      <c r="E80" s="880"/>
      <c r="F80" s="256">
        <v>1</v>
      </c>
      <c r="G80" s="257">
        <v>2</v>
      </c>
      <c r="H80" s="881" t="s">
        <v>29</v>
      </c>
      <c r="I80" s="258" t="s">
        <v>595</v>
      </c>
      <c r="J80" s="259">
        <v>8</v>
      </c>
      <c r="K80" s="260">
        <v>25</v>
      </c>
      <c r="L80" s="260">
        <v>3</v>
      </c>
      <c r="M80" s="261">
        <v>1</v>
      </c>
      <c r="N80" s="261">
        <v>1</v>
      </c>
      <c r="O80" s="262">
        <v>1</v>
      </c>
      <c r="P80" s="263">
        <v>4</v>
      </c>
      <c r="Q80" s="264">
        <v>1</v>
      </c>
      <c r="R80" s="264">
        <v>1</v>
      </c>
      <c r="S80" s="265">
        <v>1</v>
      </c>
      <c r="T80" s="265">
        <v>1</v>
      </c>
      <c r="U80" s="266">
        <v>1</v>
      </c>
      <c r="V80" s="267">
        <v>1</v>
      </c>
      <c r="W80" s="258" t="s">
        <v>311</v>
      </c>
      <c r="X80" s="268"/>
      <c r="Y80" s="269"/>
      <c r="Z80" s="269"/>
      <c r="AA80" s="269"/>
      <c r="AB80" s="269"/>
      <c r="AC80" s="269"/>
      <c r="AD80" s="269"/>
      <c r="AE80" s="269"/>
      <c r="AF80" s="269"/>
      <c r="AG80" s="269"/>
      <c r="AH80" s="269"/>
      <c r="AI80" s="269"/>
      <c r="AJ80" s="269"/>
      <c r="AK80" s="269"/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70"/>
      <c r="BB80" s="271">
        <v>0</v>
      </c>
      <c r="BC80" s="272"/>
      <c r="BD80" s="273"/>
      <c r="BE80" s="273"/>
      <c r="BF80" s="273"/>
      <c r="BG80" s="273"/>
      <c r="BH80" s="273"/>
      <c r="BI80" s="274"/>
      <c r="BJ80" s="275"/>
      <c r="BK80" s="276"/>
      <c r="BL80" s="276"/>
      <c r="BM80" s="276"/>
      <c r="BN80" s="276"/>
      <c r="BO80" s="276"/>
      <c r="BP80" s="277"/>
      <c r="BQ80" s="399"/>
      <c r="BR80" s="400"/>
      <c r="BS80" s="401"/>
      <c r="BT80" s="278"/>
      <c r="BU80" s="352"/>
      <c r="BV80" s="279">
        <v>127</v>
      </c>
      <c r="BW80" s="353"/>
      <c r="BX80" s="934" t="s">
        <v>120</v>
      </c>
      <c r="BY80" s="552"/>
      <c r="BZ80" s="552"/>
      <c r="CA80" s="941" t="s">
        <v>120</v>
      </c>
      <c r="CB80" s="553"/>
      <c r="CC80" s="330"/>
      <c r="CD80" s="554"/>
      <c r="CE80" s="554"/>
      <c r="CF80" s="513"/>
      <c r="CG80" s="555"/>
      <c r="CH80" s="556"/>
      <c r="CI80" s="379" t="s">
        <v>509</v>
      </c>
      <c r="CJ80" s="380" t="s">
        <v>509</v>
      </c>
      <c r="CK80" s="381" t="s">
        <v>509</v>
      </c>
      <c r="CL80" s="370" t="s">
        <v>509</v>
      </c>
      <c r="CM80" s="371" t="s">
        <v>509</v>
      </c>
      <c r="CN80" s="372" t="s">
        <v>509</v>
      </c>
      <c r="CO80" s="70" t="s">
        <v>32</v>
      </c>
      <c r="CP80" s="97" t="s">
        <v>509</v>
      </c>
      <c r="CQ80" s="69" t="s">
        <v>509</v>
      </c>
      <c r="CR80" s="280" t="s">
        <v>510</v>
      </c>
      <c r="CS80" s="118">
        <v>1</v>
      </c>
      <c r="CT80" s="119">
        <v>0.7</v>
      </c>
      <c r="CU80" s="120"/>
      <c r="CV80" s="882">
        <v>0</v>
      </c>
      <c r="CW80" s="340"/>
      <c r="CX80" s="345"/>
      <c r="CY80" s="121"/>
      <c r="CZ80" s="122"/>
      <c r="DA80" s="104">
        <v>0.9</v>
      </c>
      <c r="DB80" s="123">
        <v>0.43588989435406728</v>
      </c>
      <c r="DC80" s="949" t="s">
        <v>120</v>
      </c>
      <c r="DD80" s="124"/>
      <c r="DE80" s="124"/>
      <c r="DF80" s="125"/>
      <c r="DG80" s="126"/>
      <c r="DH80" s="121"/>
      <c r="DI80" s="127"/>
      <c r="DJ80" s="120"/>
      <c r="DK80" s="122"/>
      <c r="DL80" s="106"/>
      <c r="DM80" s="107">
        <v>0</v>
      </c>
      <c r="DN80" s="948" t="s">
        <v>120</v>
      </c>
      <c r="DO80" s="128"/>
      <c r="DP80" s="129"/>
      <c r="DQ80" s="121"/>
      <c r="DR80" s="121"/>
      <c r="DS80" s="121"/>
      <c r="DT80" s="121"/>
      <c r="DU80" s="130"/>
      <c r="DV80" s="131"/>
      <c r="DW80" s="131"/>
      <c r="DX80" s="127"/>
      <c r="DY80" s="132"/>
      <c r="DZ80" s="132"/>
      <c r="EA80" s="132"/>
      <c r="EB80" s="132"/>
      <c r="EC80" s="133"/>
      <c r="ED80" s="134"/>
      <c r="EE80" s="135"/>
      <c r="EF80" s="136">
        <v>0</v>
      </c>
      <c r="EG80" s="393">
        <v>0</v>
      </c>
      <c r="EH80" s="536"/>
      <c r="EI80" s="544">
        <v>30</v>
      </c>
      <c r="EJ80" s="14"/>
      <c r="EK80" s="14"/>
      <c r="EL80" s="14"/>
      <c r="EM80" s="540"/>
      <c r="EN80" s="546"/>
      <c r="EO80" s="11"/>
      <c r="EP80" s="883" t="s">
        <v>79</v>
      </c>
      <c r="EQ80" s="883"/>
      <c r="ER80" s="254"/>
      <c r="ES80" s="254"/>
      <c r="FC80" s="3">
        <v>0</v>
      </c>
      <c r="FD80" s="254"/>
      <c r="FE80" s="254"/>
      <c r="FF80" s="884">
        <v>1</v>
      </c>
      <c r="FG80" s="254"/>
      <c r="FH80" s="884"/>
      <c r="FI80" s="254"/>
      <c r="FJ80" s="884"/>
      <c r="FK80" s="3">
        <v>0</v>
      </c>
    </row>
    <row r="81" spans="1:167" s="3" customFormat="1">
      <c r="A81" s="254"/>
      <c r="B81" s="255">
        <v>51</v>
      </c>
      <c r="C81" s="97"/>
      <c r="D81" s="97"/>
      <c r="E81" s="880"/>
      <c r="F81" s="256">
        <v>1</v>
      </c>
      <c r="G81" s="257">
        <v>2</v>
      </c>
      <c r="H81" s="881" t="s">
        <v>29</v>
      </c>
      <c r="I81" s="258" t="s">
        <v>595</v>
      </c>
      <c r="J81" s="259">
        <v>8</v>
      </c>
      <c r="K81" s="260">
        <v>25</v>
      </c>
      <c r="L81" s="260">
        <v>3</v>
      </c>
      <c r="M81" s="261">
        <v>1</v>
      </c>
      <c r="N81" s="261">
        <v>1</v>
      </c>
      <c r="O81" s="262">
        <v>1</v>
      </c>
      <c r="P81" s="263">
        <v>4</v>
      </c>
      <c r="Q81" s="264">
        <v>1</v>
      </c>
      <c r="R81" s="264">
        <v>1</v>
      </c>
      <c r="S81" s="265">
        <v>1</v>
      </c>
      <c r="T81" s="265">
        <v>1</v>
      </c>
      <c r="U81" s="266">
        <v>1</v>
      </c>
      <c r="V81" s="267">
        <v>1</v>
      </c>
      <c r="W81" s="258" t="s">
        <v>311</v>
      </c>
      <c r="X81" s="268"/>
      <c r="Y81" s="269"/>
      <c r="Z81" s="269"/>
      <c r="AA81" s="269"/>
      <c r="AB81" s="269"/>
      <c r="AC81" s="269"/>
      <c r="AD81" s="269"/>
      <c r="AE81" s="269"/>
      <c r="AF81" s="269"/>
      <c r="AG81" s="269"/>
      <c r="AH81" s="269"/>
      <c r="AI81" s="269"/>
      <c r="AJ81" s="269"/>
      <c r="AK81" s="269"/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70"/>
      <c r="BB81" s="271">
        <v>0</v>
      </c>
      <c r="BC81" s="272"/>
      <c r="BD81" s="273"/>
      <c r="BE81" s="273"/>
      <c r="BF81" s="273"/>
      <c r="BG81" s="273"/>
      <c r="BH81" s="273"/>
      <c r="BI81" s="274"/>
      <c r="BJ81" s="275"/>
      <c r="BK81" s="276"/>
      <c r="BL81" s="276"/>
      <c r="BM81" s="276"/>
      <c r="BN81" s="276"/>
      <c r="BO81" s="276"/>
      <c r="BP81" s="277"/>
      <c r="BQ81" s="399"/>
      <c r="BR81" s="400"/>
      <c r="BS81" s="401"/>
      <c r="BT81" s="278"/>
      <c r="BU81" s="352"/>
      <c r="BV81" s="279">
        <v>127</v>
      </c>
      <c r="BW81" s="353"/>
      <c r="BX81" s="934" t="s">
        <v>120</v>
      </c>
      <c r="BY81" s="552"/>
      <c r="BZ81" s="552"/>
      <c r="CA81" s="941" t="s">
        <v>120</v>
      </c>
      <c r="CB81" s="553"/>
      <c r="CC81" s="330"/>
      <c r="CD81" s="554"/>
      <c r="CE81" s="554"/>
      <c r="CF81" s="513"/>
      <c r="CG81" s="555"/>
      <c r="CH81" s="556"/>
      <c r="CI81" s="379" t="s">
        <v>509</v>
      </c>
      <c r="CJ81" s="380" t="s">
        <v>509</v>
      </c>
      <c r="CK81" s="381" t="s">
        <v>509</v>
      </c>
      <c r="CL81" s="370" t="s">
        <v>509</v>
      </c>
      <c r="CM81" s="371" t="s">
        <v>509</v>
      </c>
      <c r="CN81" s="372" t="s">
        <v>509</v>
      </c>
      <c r="CO81" s="70" t="s">
        <v>26</v>
      </c>
      <c r="CP81" s="97" t="s">
        <v>509</v>
      </c>
      <c r="CQ81" s="69" t="s">
        <v>509</v>
      </c>
      <c r="CR81" s="280" t="s">
        <v>510</v>
      </c>
      <c r="CS81" s="118">
        <v>1</v>
      </c>
      <c r="CT81" s="119">
        <v>0.7</v>
      </c>
      <c r="CU81" s="120"/>
      <c r="CV81" s="882">
        <v>0</v>
      </c>
      <c r="CW81" s="340"/>
      <c r="CX81" s="345"/>
      <c r="CY81" s="121"/>
      <c r="CZ81" s="122"/>
      <c r="DA81" s="104">
        <v>0.9</v>
      </c>
      <c r="DB81" s="123">
        <v>0.43588989435406728</v>
      </c>
      <c r="DC81" s="949" t="s">
        <v>120</v>
      </c>
      <c r="DD81" s="124"/>
      <c r="DE81" s="124"/>
      <c r="DF81" s="125"/>
      <c r="DG81" s="126"/>
      <c r="DH81" s="121"/>
      <c r="DI81" s="127"/>
      <c r="DJ81" s="120"/>
      <c r="DK81" s="122"/>
      <c r="DL81" s="106"/>
      <c r="DM81" s="107">
        <v>0</v>
      </c>
      <c r="DN81" s="948" t="s">
        <v>120</v>
      </c>
      <c r="DO81" s="128"/>
      <c r="DP81" s="129"/>
      <c r="DQ81" s="121"/>
      <c r="DR81" s="121"/>
      <c r="DS81" s="121"/>
      <c r="DT81" s="121"/>
      <c r="DU81" s="130"/>
      <c r="DV81" s="131"/>
      <c r="DW81" s="131"/>
      <c r="DX81" s="127"/>
      <c r="DY81" s="132"/>
      <c r="DZ81" s="132"/>
      <c r="EA81" s="132"/>
      <c r="EB81" s="132"/>
      <c r="EC81" s="133"/>
      <c r="ED81" s="134"/>
      <c r="EE81" s="135"/>
      <c r="EF81" s="136">
        <v>0</v>
      </c>
      <c r="EG81" s="393">
        <v>0</v>
      </c>
      <c r="EH81" s="536"/>
      <c r="EI81" s="544">
        <v>30</v>
      </c>
      <c r="EJ81" s="14"/>
      <c r="EK81" s="14"/>
      <c r="EL81" s="14"/>
      <c r="EM81" s="540"/>
      <c r="EN81" s="546"/>
      <c r="EO81" s="11"/>
      <c r="EP81" s="883" t="s">
        <v>79</v>
      </c>
      <c r="EQ81" s="883"/>
      <c r="ER81" s="254"/>
      <c r="ES81" s="254"/>
      <c r="FC81" s="3">
        <v>0</v>
      </c>
      <c r="FD81" s="254"/>
      <c r="FE81" s="254"/>
      <c r="FF81" s="884">
        <v>1</v>
      </c>
      <c r="FG81" s="254"/>
      <c r="FH81" s="884"/>
      <c r="FI81" s="254"/>
      <c r="FJ81" s="884"/>
      <c r="FK81" s="3">
        <v>0</v>
      </c>
    </row>
    <row r="82" spans="1:167" s="3" customFormat="1">
      <c r="A82" s="254"/>
      <c r="B82" s="255">
        <v>52</v>
      </c>
      <c r="C82" s="97"/>
      <c r="D82" s="97"/>
      <c r="E82" s="880"/>
      <c r="F82" s="256">
        <v>1</v>
      </c>
      <c r="G82" s="257">
        <v>2</v>
      </c>
      <c r="H82" s="881" t="s">
        <v>29</v>
      </c>
      <c r="I82" s="258" t="s">
        <v>595</v>
      </c>
      <c r="J82" s="259">
        <v>8</v>
      </c>
      <c r="K82" s="260">
        <v>25</v>
      </c>
      <c r="L82" s="260">
        <v>3</v>
      </c>
      <c r="M82" s="261">
        <v>1</v>
      </c>
      <c r="N82" s="261">
        <v>1</v>
      </c>
      <c r="O82" s="262">
        <v>1</v>
      </c>
      <c r="P82" s="263">
        <v>4</v>
      </c>
      <c r="Q82" s="264">
        <v>1</v>
      </c>
      <c r="R82" s="264">
        <v>1</v>
      </c>
      <c r="S82" s="265">
        <v>1</v>
      </c>
      <c r="T82" s="265">
        <v>1</v>
      </c>
      <c r="U82" s="266">
        <v>1</v>
      </c>
      <c r="V82" s="267">
        <v>1</v>
      </c>
      <c r="W82" s="258" t="s">
        <v>311</v>
      </c>
      <c r="X82" s="268"/>
      <c r="Y82" s="269"/>
      <c r="Z82" s="269"/>
      <c r="AA82" s="269"/>
      <c r="AB82" s="269"/>
      <c r="AC82" s="269"/>
      <c r="AD82" s="269"/>
      <c r="AE82" s="269"/>
      <c r="AF82" s="269"/>
      <c r="AG82" s="269"/>
      <c r="AH82" s="269"/>
      <c r="AI82" s="269"/>
      <c r="AJ82" s="269"/>
      <c r="AK82" s="269"/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70"/>
      <c r="BB82" s="271">
        <v>0</v>
      </c>
      <c r="BC82" s="272"/>
      <c r="BD82" s="273"/>
      <c r="BE82" s="273"/>
      <c r="BF82" s="273"/>
      <c r="BG82" s="273"/>
      <c r="BH82" s="273"/>
      <c r="BI82" s="274"/>
      <c r="BJ82" s="275"/>
      <c r="BK82" s="276"/>
      <c r="BL82" s="276"/>
      <c r="BM82" s="276"/>
      <c r="BN82" s="276"/>
      <c r="BO82" s="276"/>
      <c r="BP82" s="277"/>
      <c r="BQ82" s="399"/>
      <c r="BR82" s="400"/>
      <c r="BS82" s="401"/>
      <c r="BT82" s="278"/>
      <c r="BU82" s="352"/>
      <c r="BV82" s="279">
        <v>127</v>
      </c>
      <c r="BW82" s="353"/>
      <c r="BX82" s="934" t="s">
        <v>120</v>
      </c>
      <c r="BY82" s="552"/>
      <c r="BZ82" s="552"/>
      <c r="CA82" s="941" t="s">
        <v>120</v>
      </c>
      <c r="CB82" s="553"/>
      <c r="CC82" s="330"/>
      <c r="CD82" s="554"/>
      <c r="CE82" s="554"/>
      <c r="CF82" s="513"/>
      <c r="CG82" s="555"/>
      <c r="CH82" s="556"/>
      <c r="CI82" s="379" t="s">
        <v>509</v>
      </c>
      <c r="CJ82" s="380" t="s">
        <v>509</v>
      </c>
      <c r="CK82" s="381" t="s">
        <v>509</v>
      </c>
      <c r="CL82" s="370" t="s">
        <v>509</v>
      </c>
      <c r="CM82" s="371" t="s">
        <v>509</v>
      </c>
      <c r="CN82" s="372" t="s">
        <v>509</v>
      </c>
      <c r="CO82" s="70" t="s">
        <v>26</v>
      </c>
      <c r="CP82" s="97" t="s">
        <v>509</v>
      </c>
      <c r="CQ82" s="69" t="s">
        <v>509</v>
      </c>
      <c r="CR82" s="280" t="s">
        <v>510</v>
      </c>
      <c r="CS82" s="118">
        <v>1</v>
      </c>
      <c r="CT82" s="119">
        <v>0.7</v>
      </c>
      <c r="CU82" s="120"/>
      <c r="CV82" s="882">
        <v>0</v>
      </c>
      <c r="CW82" s="340"/>
      <c r="CX82" s="345"/>
      <c r="CY82" s="121"/>
      <c r="CZ82" s="122"/>
      <c r="DA82" s="104">
        <v>0.9</v>
      </c>
      <c r="DB82" s="123">
        <v>0.43588989435406728</v>
      </c>
      <c r="DC82" s="949" t="s">
        <v>120</v>
      </c>
      <c r="DD82" s="124"/>
      <c r="DE82" s="124"/>
      <c r="DF82" s="125"/>
      <c r="DG82" s="126"/>
      <c r="DH82" s="121"/>
      <c r="DI82" s="127"/>
      <c r="DJ82" s="120"/>
      <c r="DK82" s="122"/>
      <c r="DL82" s="106"/>
      <c r="DM82" s="107">
        <v>0</v>
      </c>
      <c r="DN82" s="948" t="s">
        <v>120</v>
      </c>
      <c r="DO82" s="128"/>
      <c r="DP82" s="129"/>
      <c r="DQ82" s="121"/>
      <c r="DR82" s="121"/>
      <c r="DS82" s="121"/>
      <c r="DT82" s="121"/>
      <c r="DU82" s="130"/>
      <c r="DV82" s="131"/>
      <c r="DW82" s="131"/>
      <c r="DX82" s="127"/>
      <c r="DY82" s="132"/>
      <c r="DZ82" s="132"/>
      <c r="EA82" s="132"/>
      <c r="EB82" s="132"/>
      <c r="EC82" s="133"/>
      <c r="ED82" s="134"/>
      <c r="EE82" s="135"/>
      <c r="EF82" s="136">
        <v>0</v>
      </c>
      <c r="EG82" s="393">
        <v>0</v>
      </c>
      <c r="EH82" s="536"/>
      <c r="EI82" s="544">
        <v>30</v>
      </c>
      <c r="EJ82" s="14"/>
      <c r="EK82" s="14"/>
      <c r="EL82" s="14"/>
      <c r="EM82" s="540"/>
      <c r="EN82" s="546"/>
      <c r="EO82" s="11"/>
      <c r="EP82" s="883" t="s">
        <v>79</v>
      </c>
      <c r="EQ82" s="883"/>
      <c r="ER82" s="254"/>
      <c r="ES82" s="254"/>
      <c r="FC82" s="3">
        <v>0</v>
      </c>
      <c r="FD82" s="254"/>
      <c r="FE82" s="254"/>
      <c r="FF82" s="884">
        <v>1</v>
      </c>
      <c r="FG82" s="254"/>
      <c r="FH82" s="884"/>
      <c r="FI82" s="254"/>
      <c r="FJ82" s="884"/>
      <c r="FK82" s="3">
        <v>0</v>
      </c>
    </row>
    <row r="83" spans="1:167" s="3" customFormat="1">
      <c r="A83" s="254"/>
      <c r="B83" s="255">
        <v>53</v>
      </c>
      <c r="C83" s="97"/>
      <c r="D83" s="97"/>
      <c r="E83" s="880"/>
      <c r="F83" s="256">
        <v>1</v>
      </c>
      <c r="G83" s="257">
        <v>2</v>
      </c>
      <c r="H83" s="881" t="s">
        <v>29</v>
      </c>
      <c r="I83" s="258" t="s">
        <v>595</v>
      </c>
      <c r="J83" s="259">
        <v>8</v>
      </c>
      <c r="K83" s="260">
        <v>25</v>
      </c>
      <c r="L83" s="260">
        <v>3</v>
      </c>
      <c r="M83" s="261">
        <v>1</v>
      </c>
      <c r="N83" s="261">
        <v>1</v>
      </c>
      <c r="O83" s="262">
        <v>1</v>
      </c>
      <c r="P83" s="263">
        <v>4</v>
      </c>
      <c r="Q83" s="264">
        <v>1</v>
      </c>
      <c r="R83" s="264">
        <v>1</v>
      </c>
      <c r="S83" s="265">
        <v>1</v>
      </c>
      <c r="T83" s="265">
        <v>1</v>
      </c>
      <c r="U83" s="266">
        <v>1</v>
      </c>
      <c r="V83" s="267">
        <v>1</v>
      </c>
      <c r="W83" s="258" t="s">
        <v>311</v>
      </c>
      <c r="X83" s="268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  <c r="AJ83" s="269"/>
      <c r="AK83" s="269"/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70"/>
      <c r="BB83" s="271">
        <v>0</v>
      </c>
      <c r="BC83" s="272"/>
      <c r="BD83" s="273"/>
      <c r="BE83" s="273"/>
      <c r="BF83" s="273"/>
      <c r="BG83" s="273"/>
      <c r="BH83" s="273"/>
      <c r="BI83" s="274"/>
      <c r="BJ83" s="275"/>
      <c r="BK83" s="276"/>
      <c r="BL83" s="276"/>
      <c r="BM83" s="276"/>
      <c r="BN83" s="276"/>
      <c r="BO83" s="276"/>
      <c r="BP83" s="277"/>
      <c r="BQ83" s="399"/>
      <c r="BR83" s="400"/>
      <c r="BS83" s="401"/>
      <c r="BT83" s="278"/>
      <c r="BU83" s="352"/>
      <c r="BV83" s="279">
        <v>127</v>
      </c>
      <c r="BW83" s="353"/>
      <c r="BX83" s="934" t="s">
        <v>120</v>
      </c>
      <c r="BY83" s="552"/>
      <c r="BZ83" s="552"/>
      <c r="CA83" s="941" t="s">
        <v>120</v>
      </c>
      <c r="CB83" s="553"/>
      <c r="CC83" s="330"/>
      <c r="CD83" s="554"/>
      <c r="CE83" s="554"/>
      <c r="CF83" s="513"/>
      <c r="CG83" s="555"/>
      <c r="CH83" s="556"/>
      <c r="CI83" s="379" t="s">
        <v>509</v>
      </c>
      <c r="CJ83" s="380" t="s">
        <v>509</v>
      </c>
      <c r="CK83" s="381" t="s">
        <v>509</v>
      </c>
      <c r="CL83" s="370" t="s">
        <v>509</v>
      </c>
      <c r="CM83" s="371" t="s">
        <v>509</v>
      </c>
      <c r="CN83" s="372" t="s">
        <v>509</v>
      </c>
      <c r="CO83" s="70" t="s">
        <v>27</v>
      </c>
      <c r="CP83" s="97" t="s">
        <v>509</v>
      </c>
      <c r="CQ83" s="69" t="s">
        <v>509</v>
      </c>
      <c r="CR83" s="280" t="s">
        <v>510</v>
      </c>
      <c r="CS83" s="118">
        <v>1</v>
      </c>
      <c r="CT83" s="119">
        <v>0.7</v>
      </c>
      <c r="CU83" s="120"/>
      <c r="CV83" s="882">
        <v>0</v>
      </c>
      <c r="CW83" s="340"/>
      <c r="CX83" s="345"/>
      <c r="CY83" s="121"/>
      <c r="CZ83" s="122"/>
      <c r="DA83" s="104">
        <v>0.9</v>
      </c>
      <c r="DB83" s="123">
        <v>0.43588989435406728</v>
      </c>
      <c r="DC83" s="949" t="s">
        <v>120</v>
      </c>
      <c r="DD83" s="124"/>
      <c r="DE83" s="124"/>
      <c r="DF83" s="125"/>
      <c r="DG83" s="126"/>
      <c r="DH83" s="121"/>
      <c r="DI83" s="127"/>
      <c r="DJ83" s="120"/>
      <c r="DK83" s="122"/>
      <c r="DL83" s="106"/>
      <c r="DM83" s="107">
        <v>0</v>
      </c>
      <c r="DN83" s="948" t="s">
        <v>120</v>
      </c>
      <c r="DO83" s="128"/>
      <c r="DP83" s="129"/>
      <c r="DQ83" s="121"/>
      <c r="DR83" s="121"/>
      <c r="DS83" s="121"/>
      <c r="DT83" s="121"/>
      <c r="DU83" s="130"/>
      <c r="DV83" s="131"/>
      <c r="DW83" s="131"/>
      <c r="DX83" s="127"/>
      <c r="DY83" s="132"/>
      <c r="DZ83" s="132"/>
      <c r="EA83" s="132"/>
      <c r="EB83" s="132"/>
      <c r="EC83" s="133"/>
      <c r="ED83" s="134"/>
      <c r="EE83" s="135"/>
      <c r="EF83" s="136">
        <v>0</v>
      </c>
      <c r="EG83" s="393">
        <v>0</v>
      </c>
      <c r="EH83" s="536"/>
      <c r="EI83" s="544">
        <v>30</v>
      </c>
      <c r="EJ83" s="14"/>
      <c r="EK83" s="14"/>
      <c r="EL83" s="14"/>
      <c r="EM83" s="540"/>
      <c r="EN83" s="546"/>
      <c r="EO83" s="11"/>
      <c r="EP83" s="883" t="s">
        <v>79</v>
      </c>
      <c r="EQ83" s="883"/>
      <c r="ER83" s="254"/>
      <c r="ES83" s="254"/>
      <c r="FC83" s="3">
        <v>0</v>
      </c>
      <c r="FD83" s="254"/>
      <c r="FE83" s="254"/>
      <c r="FF83" s="884">
        <v>1</v>
      </c>
      <c r="FG83" s="254"/>
      <c r="FH83" s="884"/>
      <c r="FI83" s="254"/>
      <c r="FJ83" s="884"/>
      <c r="FK83" s="3">
        <v>0</v>
      </c>
    </row>
    <row r="84" spans="1:167" s="3" customFormat="1">
      <c r="A84" s="254"/>
      <c r="B84" s="255">
        <v>54</v>
      </c>
      <c r="C84" s="97"/>
      <c r="D84" s="97"/>
      <c r="E84" s="880"/>
      <c r="F84" s="256">
        <v>1</v>
      </c>
      <c r="G84" s="257">
        <v>2</v>
      </c>
      <c r="H84" s="881" t="s">
        <v>29</v>
      </c>
      <c r="I84" s="258" t="s">
        <v>595</v>
      </c>
      <c r="J84" s="259">
        <v>8</v>
      </c>
      <c r="K84" s="260">
        <v>25</v>
      </c>
      <c r="L84" s="260">
        <v>3</v>
      </c>
      <c r="M84" s="261">
        <v>1</v>
      </c>
      <c r="N84" s="261">
        <v>1</v>
      </c>
      <c r="O84" s="262">
        <v>1</v>
      </c>
      <c r="P84" s="263">
        <v>4</v>
      </c>
      <c r="Q84" s="264">
        <v>1</v>
      </c>
      <c r="R84" s="264">
        <v>1</v>
      </c>
      <c r="S84" s="265">
        <v>1</v>
      </c>
      <c r="T84" s="265">
        <v>1</v>
      </c>
      <c r="U84" s="266">
        <v>1</v>
      </c>
      <c r="V84" s="267">
        <v>1</v>
      </c>
      <c r="W84" s="258" t="s">
        <v>311</v>
      </c>
      <c r="X84" s="268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  <c r="AJ84" s="269"/>
      <c r="AK84" s="269"/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70"/>
      <c r="BB84" s="271">
        <v>0</v>
      </c>
      <c r="BC84" s="272"/>
      <c r="BD84" s="273"/>
      <c r="BE84" s="273"/>
      <c r="BF84" s="273"/>
      <c r="BG84" s="273"/>
      <c r="BH84" s="273"/>
      <c r="BI84" s="274"/>
      <c r="BJ84" s="275"/>
      <c r="BK84" s="276"/>
      <c r="BL84" s="276"/>
      <c r="BM84" s="276"/>
      <c r="BN84" s="276"/>
      <c r="BO84" s="276"/>
      <c r="BP84" s="277"/>
      <c r="BQ84" s="399"/>
      <c r="BR84" s="400"/>
      <c r="BS84" s="401"/>
      <c r="BT84" s="278"/>
      <c r="BU84" s="352"/>
      <c r="BV84" s="279">
        <v>127</v>
      </c>
      <c r="BW84" s="353"/>
      <c r="BX84" s="934" t="s">
        <v>120</v>
      </c>
      <c r="BY84" s="552"/>
      <c r="BZ84" s="552"/>
      <c r="CA84" s="941" t="s">
        <v>120</v>
      </c>
      <c r="CB84" s="553"/>
      <c r="CC84" s="330"/>
      <c r="CD84" s="554"/>
      <c r="CE84" s="554"/>
      <c r="CF84" s="513"/>
      <c r="CG84" s="555"/>
      <c r="CH84" s="556"/>
      <c r="CI84" s="379" t="s">
        <v>509</v>
      </c>
      <c r="CJ84" s="380" t="s">
        <v>509</v>
      </c>
      <c r="CK84" s="381" t="s">
        <v>509</v>
      </c>
      <c r="CL84" s="370" t="s">
        <v>509</v>
      </c>
      <c r="CM84" s="371" t="s">
        <v>509</v>
      </c>
      <c r="CN84" s="372" t="s">
        <v>509</v>
      </c>
      <c r="CO84" s="70" t="s">
        <v>27</v>
      </c>
      <c r="CP84" s="97" t="s">
        <v>509</v>
      </c>
      <c r="CQ84" s="69" t="s">
        <v>509</v>
      </c>
      <c r="CR84" s="280" t="s">
        <v>510</v>
      </c>
      <c r="CS84" s="118">
        <v>1</v>
      </c>
      <c r="CT84" s="119">
        <v>0.7</v>
      </c>
      <c r="CU84" s="120"/>
      <c r="CV84" s="882">
        <v>0</v>
      </c>
      <c r="CW84" s="340"/>
      <c r="CX84" s="345"/>
      <c r="CY84" s="121"/>
      <c r="CZ84" s="122"/>
      <c r="DA84" s="104">
        <v>0.9</v>
      </c>
      <c r="DB84" s="123">
        <v>0.43588989435406728</v>
      </c>
      <c r="DC84" s="949" t="s">
        <v>120</v>
      </c>
      <c r="DD84" s="124"/>
      <c r="DE84" s="124"/>
      <c r="DF84" s="125"/>
      <c r="DG84" s="126"/>
      <c r="DH84" s="121"/>
      <c r="DI84" s="127"/>
      <c r="DJ84" s="120"/>
      <c r="DK84" s="122"/>
      <c r="DL84" s="106"/>
      <c r="DM84" s="107">
        <v>0</v>
      </c>
      <c r="DN84" s="948" t="s">
        <v>120</v>
      </c>
      <c r="DO84" s="128"/>
      <c r="DP84" s="129"/>
      <c r="DQ84" s="121"/>
      <c r="DR84" s="121"/>
      <c r="DS84" s="121"/>
      <c r="DT84" s="121"/>
      <c r="DU84" s="130"/>
      <c r="DV84" s="131"/>
      <c r="DW84" s="131"/>
      <c r="DX84" s="127"/>
      <c r="DY84" s="132"/>
      <c r="DZ84" s="132"/>
      <c r="EA84" s="132"/>
      <c r="EB84" s="132"/>
      <c r="EC84" s="133"/>
      <c r="ED84" s="134"/>
      <c r="EE84" s="135"/>
      <c r="EF84" s="136">
        <v>0</v>
      </c>
      <c r="EG84" s="393">
        <v>0</v>
      </c>
      <c r="EH84" s="536"/>
      <c r="EI84" s="544">
        <v>30</v>
      </c>
      <c r="EJ84" s="14"/>
      <c r="EK84" s="14"/>
      <c r="EL84" s="14"/>
      <c r="EM84" s="540"/>
      <c r="EN84" s="546"/>
      <c r="EO84" s="11"/>
      <c r="EP84" s="883" t="s">
        <v>79</v>
      </c>
      <c r="EQ84" s="883"/>
      <c r="ER84" s="254"/>
      <c r="ES84" s="254"/>
      <c r="FC84" s="3">
        <v>0</v>
      </c>
      <c r="FD84" s="254"/>
      <c r="FE84" s="254"/>
      <c r="FF84" s="884">
        <v>1</v>
      </c>
      <c r="FG84" s="254"/>
      <c r="FH84" s="884"/>
      <c r="FI84" s="254"/>
      <c r="FJ84" s="884"/>
      <c r="FK84" s="3">
        <v>0</v>
      </c>
    </row>
    <row r="85" spans="1:167" s="3" customFormat="1">
      <c r="A85" s="254"/>
      <c r="B85" s="255">
        <v>55</v>
      </c>
      <c r="C85" s="97"/>
      <c r="D85" s="97"/>
      <c r="E85" s="880"/>
      <c r="F85" s="256">
        <v>1</v>
      </c>
      <c r="G85" s="257">
        <v>2</v>
      </c>
      <c r="H85" s="881" t="s">
        <v>29</v>
      </c>
      <c r="I85" s="258" t="s">
        <v>595</v>
      </c>
      <c r="J85" s="259">
        <v>8</v>
      </c>
      <c r="K85" s="260">
        <v>25</v>
      </c>
      <c r="L85" s="260">
        <v>3</v>
      </c>
      <c r="M85" s="261">
        <v>1</v>
      </c>
      <c r="N85" s="261">
        <v>1</v>
      </c>
      <c r="O85" s="262">
        <v>1</v>
      </c>
      <c r="P85" s="263">
        <v>4</v>
      </c>
      <c r="Q85" s="264">
        <v>1</v>
      </c>
      <c r="R85" s="264">
        <v>1</v>
      </c>
      <c r="S85" s="265">
        <v>1</v>
      </c>
      <c r="T85" s="265">
        <v>1</v>
      </c>
      <c r="U85" s="266">
        <v>1</v>
      </c>
      <c r="V85" s="267">
        <v>1</v>
      </c>
      <c r="W85" s="258" t="s">
        <v>311</v>
      </c>
      <c r="X85" s="268"/>
      <c r="Y85" s="269"/>
      <c r="Z85" s="269"/>
      <c r="AA85" s="269"/>
      <c r="AB85" s="269"/>
      <c r="AC85" s="269"/>
      <c r="AD85" s="269"/>
      <c r="AE85" s="269"/>
      <c r="AF85" s="269"/>
      <c r="AG85" s="269"/>
      <c r="AH85" s="269"/>
      <c r="AI85" s="269"/>
      <c r="AJ85" s="269"/>
      <c r="AK85" s="269"/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70"/>
      <c r="BB85" s="271">
        <v>0</v>
      </c>
      <c r="BC85" s="272"/>
      <c r="BD85" s="273"/>
      <c r="BE85" s="273"/>
      <c r="BF85" s="273"/>
      <c r="BG85" s="273"/>
      <c r="BH85" s="273"/>
      <c r="BI85" s="274"/>
      <c r="BJ85" s="275"/>
      <c r="BK85" s="276"/>
      <c r="BL85" s="276"/>
      <c r="BM85" s="276"/>
      <c r="BN85" s="276"/>
      <c r="BO85" s="276"/>
      <c r="BP85" s="277"/>
      <c r="BQ85" s="399"/>
      <c r="BR85" s="400"/>
      <c r="BS85" s="401"/>
      <c r="BT85" s="278"/>
      <c r="BU85" s="352"/>
      <c r="BV85" s="279">
        <v>127</v>
      </c>
      <c r="BW85" s="353"/>
      <c r="BX85" s="934" t="s">
        <v>120</v>
      </c>
      <c r="BY85" s="552"/>
      <c r="BZ85" s="552"/>
      <c r="CA85" s="941" t="s">
        <v>120</v>
      </c>
      <c r="CB85" s="553"/>
      <c r="CC85" s="330"/>
      <c r="CD85" s="554"/>
      <c r="CE85" s="554"/>
      <c r="CF85" s="513"/>
      <c r="CG85" s="555"/>
      <c r="CH85" s="556"/>
      <c r="CI85" s="379" t="s">
        <v>509</v>
      </c>
      <c r="CJ85" s="380" t="s">
        <v>509</v>
      </c>
      <c r="CK85" s="381" t="s">
        <v>509</v>
      </c>
      <c r="CL85" s="370" t="s">
        <v>509</v>
      </c>
      <c r="CM85" s="371" t="s">
        <v>509</v>
      </c>
      <c r="CN85" s="372" t="s">
        <v>509</v>
      </c>
      <c r="CO85" s="70" t="s">
        <v>32</v>
      </c>
      <c r="CP85" s="97" t="s">
        <v>509</v>
      </c>
      <c r="CQ85" s="69" t="s">
        <v>509</v>
      </c>
      <c r="CR85" s="280" t="s">
        <v>510</v>
      </c>
      <c r="CS85" s="118">
        <v>1</v>
      </c>
      <c r="CT85" s="119">
        <v>0.7</v>
      </c>
      <c r="CU85" s="120"/>
      <c r="CV85" s="882">
        <v>0</v>
      </c>
      <c r="CW85" s="340"/>
      <c r="CX85" s="345"/>
      <c r="CY85" s="121"/>
      <c r="CZ85" s="122"/>
      <c r="DA85" s="104">
        <v>0.9</v>
      </c>
      <c r="DB85" s="123">
        <v>0.43588989435406728</v>
      </c>
      <c r="DC85" s="949" t="s">
        <v>120</v>
      </c>
      <c r="DD85" s="124"/>
      <c r="DE85" s="124"/>
      <c r="DF85" s="125"/>
      <c r="DG85" s="126"/>
      <c r="DH85" s="121"/>
      <c r="DI85" s="127"/>
      <c r="DJ85" s="120"/>
      <c r="DK85" s="122"/>
      <c r="DL85" s="106"/>
      <c r="DM85" s="107">
        <v>0</v>
      </c>
      <c r="DN85" s="948" t="s">
        <v>120</v>
      </c>
      <c r="DO85" s="128"/>
      <c r="DP85" s="129"/>
      <c r="DQ85" s="121"/>
      <c r="DR85" s="121"/>
      <c r="DS85" s="121"/>
      <c r="DT85" s="121"/>
      <c r="DU85" s="130"/>
      <c r="DV85" s="131"/>
      <c r="DW85" s="131"/>
      <c r="DX85" s="127"/>
      <c r="DY85" s="132"/>
      <c r="DZ85" s="132"/>
      <c r="EA85" s="132"/>
      <c r="EB85" s="132"/>
      <c r="EC85" s="133"/>
      <c r="ED85" s="134"/>
      <c r="EE85" s="135"/>
      <c r="EF85" s="136">
        <v>0</v>
      </c>
      <c r="EG85" s="393">
        <v>0</v>
      </c>
      <c r="EH85" s="536"/>
      <c r="EI85" s="544">
        <v>30</v>
      </c>
      <c r="EJ85" s="14"/>
      <c r="EK85" s="14"/>
      <c r="EL85" s="14"/>
      <c r="EM85" s="540"/>
      <c r="EN85" s="546"/>
      <c r="EO85" s="11"/>
      <c r="EP85" s="883" t="s">
        <v>79</v>
      </c>
      <c r="EQ85" s="883"/>
      <c r="ER85" s="254"/>
      <c r="ES85" s="254"/>
      <c r="FC85" s="3">
        <v>0</v>
      </c>
      <c r="FD85" s="254"/>
      <c r="FE85" s="254"/>
      <c r="FF85" s="884">
        <v>1</v>
      </c>
      <c r="FG85" s="254"/>
      <c r="FH85" s="884"/>
      <c r="FI85" s="254"/>
      <c r="FJ85" s="884"/>
      <c r="FK85" s="3">
        <v>0</v>
      </c>
    </row>
    <row r="86" spans="1:167" s="3" customFormat="1">
      <c r="A86" s="254"/>
      <c r="B86" s="255">
        <v>56</v>
      </c>
      <c r="C86" s="97"/>
      <c r="D86" s="97"/>
      <c r="E86" s="880"/>
      <c r="F86" s="256">
        <v>1</v>
      </c>
      <c r="G86" s="257">
        <v>2</v>
      </c>
      <c r="H86" s="881" t="s">
        <v>29</v>
      </c>
      <c r="I86" s="258" t="s">
        <v>595</v>
      </c>
      <c r="J86" s="259">
        <v>8</v>
      </c>
      <c r="K86" s="260">
        <v>25</v>
      </c>
      <c r="L86" s="260">
        <v>3</v>
      </c>
      <c r="M86" s="261">
        <v>1</v>
      </c>
      <c r="N86" s="261">
        <v>1</v>
      </c>
      <c r="O86" s="262">
        <v>1</v>
      </c>
      <c r="P86" s="263">
        <v>4</v>
      </c>
      <c r="Q86" s="264">
        <v>1</v>
      </c>
      <c r="R86" s="264">
        <v>1</v>
      </c>
      <c r="S86" s="265">
        <v>1</v>
      </c>
      <c r="T86" s="265">
        <v>1</v>
      </c>
      <c r="U86" s="266">
        <v>1</v>
      </c>
      <c r="V86" s="267">
        <v>1</v>
      </c>
      <c r="W86" s="258" t="s">
        <v>311</v>
      </c>
      <c r="X86" s="268"/>
      <c r="Y86" s="269"/>
      <c r="Z86" s="269"/>
      <c r="AA86" s="269"/>
      <c r="AB86" s="269"/>
      <c r="AC86" s="269"/>
      <c r="AD86" s="269"/>
      <c r="AE86" s="269"/>
      <c r="AF86" s="269"/>
      <c r="AG86" s="269"/>
      <c r="AH86" s="269"/>
      <c r="AI86" s="269"/>
      <c r="AJ86" s="269"/>
      <c r="AK86" s="269"/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70"/>
      <c r="BB86" s="271">
        <v>0</v>
      </c>
      <c r="BC86" s="272"/>
      <c r="BD86" s="273"/>
      <c r="BE86" s="273"/>
      <c r="BF86" s="273"/>
      <c r="BG86" s="273"/>
      <c r="BH86" s="273"/>
      <c r="BI86" s="274"/>
      <c r="BJ86" s="275"/>
      <c r="BK86" s="276"/>
      <c r="BL86" s="276"/>
      <c r="BM86" s="276"/>
      <c r="BN86" s="276"/>
      <c r="BO86" s="276"/>
      <c r="BP86" s="277"/>
      <c r="BQ86" s="399"/>
      <c r="BR86" s="400"/>
      <c r="BS86" s="401"/>
      <c r="BT86" s="278"/>
      <c r="BU86" s="352"/>
      <c r="BV86" s="279">
        <v>127</v>
      </c>
      <c r="BW86" s="353"/>
      <c r="BX86" s="934" t="s">
        <v>120</v>
      </c>
      <c r="BY86" s="552"/>
      <c r="BZ86" s="552"/>
      <c r="CA86" s="941" t="s">
        <v>120</v>
      </c>
      <c r="CB86" s="553"/>
      <c r="CC86" s="330"/>
      <c r="CD86" s="554"/>
      <c r="CE86" s="554"/>
      <c r="CF86" s="513"/>
      <c r="CG86" s="555"/>
      <c r="CH86" s="556"/>
      <c r="CI86" s="379" t="s">
        <v>509</v>
      </c>
      <c r="CJ86" s="380" t="s">
        <v>509</v>
      </c>
      <c r="CK86" s="381" t="s">
        <v>509</v>
      </c>
      <c r="CL86" s="370" t="s">
        <v>509</v>
      </c>
      <c r="CM86" s="371" t="s">
        <v>509</v>
      </c>
      <c r="CN86" s="372" t="s">
        <v>509</v>
      </c>
      <c r="CO86" s="70" t="s">
        <v>32</v>
      </c>
      <c r="CP86" s="97" t="s">
        <v>509</v>
      </c>
      <c r="CQ86" s="69" t="s">
        <v>509</v>
      </c>
      <c r="CR86" s="280" t="s">
        <v>510</v>
      </c>
      <c r="CS86" s="118">
        <v>1</v>
      </c>
      <c r="CT86" s="119">
        <v>0.7</v>
      </c>
      <c r="CU86" s="120"/>
      <c r="CV86" s="882">
        <v>0</v>
      </c>
      <c r="CW86" s="340"/>
      <c r="CX86" s="345"/>
      <c r="CY86" s="121"/>
      <c r="CZ86" s="122"/>
      <c r="DA86" s="104">
        <v>0.9</v>
      </c>
      <c r="DB86" s="123">
        <v>0.43588989435406728</v>
      </c>
      <c r="DC86" s="949" t="s">
        <v>120</v>
      </c>
      <c r="DD86" s="124"/>
      <c r="DE86" s="124"/>
      <c r="DF86" s="125"/>
      <c r="DG86" s="126"/>
      <c r="DH86" s="121"/>
      <c r="DI86" s="127"/>
      <c r="DJ86" s="120"/>
      <c r="DK86" s="122"/>
      <c r="DL86" s="106"/>
      <c r="DM86" s="107">
        <v>0</v>
      </c>
      <c r="DN86" s="948" t="s">
        <v>120</v>
      </c>
      <c r="DO86" s="128"/>
      <c r="DP86" s="129"/>
      <c r="DQ86" s="121"/>
      <c r="DR86" s="121"/>
      <c r="DS86" s="121"/>
      <c r="DT86" s="121"/>
      <c r="DU86" s="130"/>
      <c r="DV86" s="131"/>
      <c r="DW86" s="131"/>
      <c r="DX86" s="127"/>
      <c r="DY86" s="132"/>
      <c r="DZ86" s="132"/>
      <c r="EA86" s="132"/>
      <c r="EB86" s="132"/>
      <c r="EC86" s="133"/>
      <c r="ED86" s="134"/>
      <c r="EE86" s="135"/>
      <c r="EF86" s="136">
        <v>0</v>
      </c>
      <c r="EG86" s="393">
        <v>0</v>
      </c>
      <c r="EH86" s="536"/>
      <c r="EI86" s="544">
        <v>30</v>
      </c>
      <c r="EJ86" s="14"/>
      <c r="EK86" s="14"/>
      <c r="EL86" s="14"/>
      <c r="EM86" s="540"/>
      <c r="EN86" s="546"/>
      <c r="EO86" s="11"/>
      <c r="EP86" s="883" t="s">
        <v>79</v>
      </c>
      <c r="EQ86" s="883"/>
      <c r="ER86" s="254"/>
      <c r="ES86" s="254"/>
      <c r="FC86" s="3">
        <v>0</v>
      </c>
      <c r="FD86" s="254"/>
      <c r="FE86" s="254"/>
      <c r="FF86" s="884">
        <v>1</v>
      </c>
      <c r="FG86" s="254"/>
      <c r="FH86" s="884"/>
      <c r="FI86" s="254"/>
      <c r="FJ86" s="884"/>
      <c r="FK86" s="3">
        <v>0</v>
      </c>
    </row>
    <row r="87" spans="1:167" s="3" customFormat="1">
      <c r="A87" s="254"/>
      <c r="B87" s="255">
        <v>57</v>
      </c>
      <c r="C87" s="97"/>
      <c r="D87" s="97"/>
      <c r="E87" s="880"/>
      <c r="F87" s="256">
        <v>1</v>
      </c>
      <c r="G87" s="257">
        <v>2</v>
      </c>
      <c r="H87" s="881" t="s">
        <v>29</v>
      </c>
      <c r="I87" s="258" t="s">
        <v>595</v>
      </c>
      <c r="J87" s="259">
        <v>8</v>
      </c>
      <c r="K87" s="260">
        <v>25</v>
      </c>
      <c r="L87" s="260">
        <v>3</v>
      </c>
      <c r="M87" s="261">
        <v>1</v>
      </c>
      <c r="N87" s="261">
        <v>1</v>
      </c>
      <c r="O87" s="262">
        <v>1</v>
      </c>
      <c r="P87" s="263">
        <v>4</v>
      </c>
      <c r="Q87" s="264">
        <v>1</v>
      </c>
      <c r="R87" s="264">
        <v>1</v>
      </c>
      <c r="S87" s="265">
        <v>1</v>
      </c>
      <c r="T87" s="265">
        <v>1</v>
      </c>
      <c r="U87" s="266">
        <v>1</v>
      </c>
      <c r="V87" s="267">
        <v>1</v>
      </c>
      <c r="W87" s="258" t="s">
        <v>311</v>
      </c>
      <c r="X87" s="268"/>
      <c r="Y87" s="269"/>
      <c r="Z87" s="269"/>
      <c r="AA87" s="269"/>
      <c r="AB87" s="269"/>
      <c r="AC87" s="269"/>
      <c r="AD87" s="269"/>
      <c r="AE87" s="269"/>
      <c r="AF87" s="269"/>
      <c r="AG87" s="269"/>
      <c r="AH87" s="269"/>
      <c r="AI87" s="269"/>
      <c r="AJ87" s="269"/>
      <c r="AK87" s="269"/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70"/>
      <c r="BB87" s="271">
        <v>0</v>
      </c>
      <c r="BC87" s="272"/>
      <c r="BD87" s="273"/>
      <c r="BE87" s="273"/>
      <c r="BF87" s="273"/>
      <c r="BG87" s="273"/>
      <c r="BH87" s="273"/>
      <c r="BI87" s="274"/>
      <c r="BJ87" s="275"/>
      <c r="BK87" s="276"/>
      <c r="BL87" s="276"/>
      <c r="BM87" s="276"/>
      <c r="BN87" s="276"/>
      <c r="BO87" s="276"/>
      <c r="BP87" s="277"/>
      <c r="BQ87" s="399"/>
      <c r="BR87" s="400"/>
      <c r="BS87" s="401"/>
      <c r="BT87" s="278"/>
      <c r="BU87" s="352"/>
      <c r="BV87" s="279">
        <v>127</v>
      </c>
      <c r="BW87" s="353"/>
      <c r="BX87" s="934" t="s">
        <v>120</v>
      </c>
      <c r="BY87" s="552"/>
      <c r="BZ87" s="552"/>
      <c r="CA87" s="941" t="s">
        <v>120</v>
      </c>
      <c r="CB87" s="553"/>
      <c r="CC87" s="330"/>
      <c r="CD87" s="554"/>
      <c r="CE87" s="554"/>
      <c r="CF87" s="513"/>
      <c r="CG87" s="555"/>
      <c r="CH87" s="556"/>
      <c r="CI87" s="379" t="s">
        <v>509</v>
      </c>
      <c r="CJ87" s="380" t="s">
        <v>509</v>
      </c>
      <c r="CK87" s="381" t="s">
        <v>509</v>
      </c>
      <c r="CL87" s="370" t="s">
        <v>509</v>
      </c>
      <c r="CM87" s="371" t="s">
        <v>509</v>
      </c>
      <c r="CN87" s="372" t="s">
        <v>509</v>
      </c>
      <c r="CO87" s="70" t="s">
        <v>26</v>
      </c>
      <c r="CP87" s="97" t="s">
        <v>509</v>
      </c>
      <c r="CQ87" s="69" t="s">
        <v>509</v>
      </c>
      <c r="CR87" s="280" t="s">
        <v>510</v>
      </c>
      <c r="CS87" s="118">
        <v>1</v>
      </c>
      <c r="CT87" s="119">
        <v>0.7</v>
      </c>
      <c r="CU87" s="120"/>
      <c r="CV87" s="882">
        <v>0</v>
      </c>
      <c r="CW87" s="340"/>
      <c r="CX87" s="345"/>
      <c r="CY87" s="121"/>
      <c r="CZ87" s="122"/>
      <c r="DA87" s="104">
        <v>0.9</v>
      </c>
      <c r="DB87" s="123">
        <v>0.43588989435406728</v>
      </c>
      <c r="DC87" s="949" t="s">
        <v>120</v>
      </c>
      <c r="DD87" s="124"/>
      <c r="DE87" s="124"/>
      <c r="DF87" s="125"/>
      <c r="DG87" s="126"/>
      <c r="DH87" s="121"/>
      <c r="DI87" s="127"/>
      <c r="DJ87" s="120"/>
      <c r="DK87" s="122"/>
      <c r="DL87" s="106"/>
      <c r="DM87" s="107">
        <v>0</v>
      </c>
      <c r="DN87" s="948" t="s">
        <v>120</v>
      </c>
      <c r="DO87" s="128"/>
      <c r="DP87" s="129"/>
      <c r="DQ87" s="121"/>
      <c r="DR87" s="121"/>
      <c r="DS87" s="121"/>
      <c r="DT87" s="121"/>
      <c r="DU87" s="130"/>
      <c r="DV87" s="131"/>
      <c r="DW87" s="131"/>
      <c r="DX87" s="127"/>
      <c r="DY87" s="132"/>
      <c r="DZ87" s="132"/>
      <c r="EA87" s="132"/>
      <c r="EB87" s="132"/>
      <c r="EC87" s="133"/>
      <c r="ED87" s="134"/>
      <c r="EE87" s="135"/>
      <c r="EF87" s="136">
        <v>0</v>
      </c>
      <c r="EG87" s="393">
        <v>0</v>
      </c>
      <c r="EH87" s="536"/>
      <c r="EI87" s="544">
        <v>30</v>
      </c>
      <c r="EJ87" s="14"/>
      <c r="EK87" s="14"/>
      <c r="EL87" s="14"/>
      <c r="EM87" s="540"/>
      <c r="EN87" s="546"/>
      <c r="EO87" s="11"/>
      <c r="EP87" s="883" t="s">
        <v>79</v>
      </c>
      <c r="EQ87" s="883"/>
      <c r="ER87" s="254"/>
      <c r="ES87" s="254"/>
      <c r="FC87" s="3">
        <v>0</v>
      </c>
      <c r="FD87" s="254"/>
      <c r="FE87" s="254"/>
      <c r="FF87" s="884">
        <v>1</v>
      </c>
      <c r="FG87" s="254"/>
      <c r="FH87" s="884"/>
      <c r="FI87" s="254"/>
      <c r="FJ87" s="884"/>
      <c r="FK87" s="3">
        <v>0</v>
      </c>
    </row>
    <row r="88" spans="1:167" s="3" customFormat="1">
      <c r="A88" s="254"/>
      <c r="B88" s="255">
        <v>58</v>
      </c>
      <c r="C88" s="97"/>
      <c r="D88" s="97"/>
      <c r="E88" s="880"/>
      <c r="F88" s="256">
        <v>1</v>
      </c>
      <c r="G88" s="257">
        <v>2</v>
      </c>
      <c r="H88" s="881" t="s">
        <v>29</v>
      </c>
      <c r="I88" s="258" t="s">
        <v>595</v>
      </c>
      <c r="J88" s="259">
        <v>8</v>
      </c>
      <c r="K88" s="260">
        <v>25</v>
      </c>
      <c r="L88" s="260">
        <v>3</v>
      </c>
      <c r="M88" s="261">
        <v>1</v>
      </c>
      <c r="N88" s="261">
        <v>1</v>
      </c>
      <c r="O88" s="262">
        <v>1</v>
      </c>
      <c r="P88" s="263">
        <v>4</v>
      </c>
      <c r="Q88" s="264">
        <v>1</v>
      </c>
      <c r="R88" s="264">
        <v>1</v>
      </c>
      <c r="S88" s="265">
        <v>1</v>
      </c>
      <c r="T88" s="265">
        <v>1</v>
      </c>
      <c r="U88" s="266">
        <v>1</v>
      </c>
      <c r="V88" s="267">
        <v>1</v>
      </c>
      <c r="W88" s="258" t="s">
        <v>311</v>
      </c>
      <c r="X88" s="268"/>
      <c r="Y88" s="269"/>
      <c r="Z88" s="269"/>
      <c r="AA88" s="269"/>
      <c r="AB88" s="269"/>
      <c r="AC88" s="269"/>
      <c r="AD88" s="269"/>
      <c r="AE88" s="269"/>
      <c r="AF88" s="269"/>
      <c r="AG88" s="269"/>
      <c r="AH88" s="269"/>
      <c r="AI88" s="269"/>
      <c r="AJ88" s="269"/>
      <c r="AK88" s="269"/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70"/>
      <c r="BB88" s="271">
        <v>0</v>
      </c>
      <c r="BC88" s="272"/>
      <c r="BD88" s="273"/>
      <c r="BE88" s="273"/>
      <c r="BF88" s="273"/>
      <c r="BG88" s="273"/>
      <c r="BH88" s="273"/>
      <c r="BI88" s="274"/>
      <c r="BJ88" s="275"/>
      <c r="BK88" s="276"/>
      <c r="BL88" s="276"/>
      <c r="BM88" s="276"/>
      <c r="BN88" s="276"/>
      <c r="BO88" s="276"/>
      <c r="BP88" s="277"/>
      <c r="BQ88" s="399"/>
      <c r="BR88" s="400"/>
      <c r="BS88" s="401"/>
      <c r="BT88" s="278"/>
      <c r="BU88" s="352"/>
      <c r="BV88" s="279">
        <v>127</v>
      </c>
      <c r="BW88" s="353"/>
      <c r="BX88" s="934" t="s">
        <v>120</v>
      </c>
      <c r="BY88" s="552"/>
      <c r="BZ88" s="552"/>
      <c r="CA88" s="941" t="s">
        <v>120</v>
      </c>
      <c r="CB88" s="553"/>
      <c r="CC88" s="330"/>
      <c r="CD88" s="554"/>
      <c r="CE88" s="554"/>
      <c r="CF88" s="513"/>
      <c r="CG88" s="555"/>
      <c r="CH88" s="556"/>
      <c r="CI88" s="379" t="s">
        <v>509</v>
      </c>
      <c r="CJ88" s="380" t="s">
        <v>509</v>
      </c>
      <c r="CK88" s="381" t="s">
        <v>509</v>
      </c>
      <c r="CL88" s="370" t="s">
        <v>509</v>
      </c>
      <c r="CM88" s="371" t="s">
        <v>509</v>
      </c>
      <c r="CN88" s="372" t="s">
        <v>509</v>
      </c>
      <c r="CO88" s="70" t="s">
        <v>26</v>
      </c>
      <c r="CP88" s="97" t="s">
        <v>509</v>
      </c>
      <c r="CQ88" s="69" t="s">
        <v>509</v>
      </c>
      <c r="CR88" s="280" t="s">
        <v>510</v>
      </c>
      <c r="CS88" s="118">
        <v>1</v>
      </c>
      <c r="CT88" s="119">
        <v>0.7</v>
      </c>
      <c r="CU88" s="120"/>
      <c r="CV88" s="882">
        <v>0</v>
      </c>
      <c r="CW88" s="340"/>
      <c r="CX88" s="345"/>
      <c r="CY88" s="121"/>
      <c r="CZ88" s="122"/>
      <c r="DA88" s="104">
        <v>0.9</v>
      </c>
      <c r="DB88" s="123">
        <v>0.43588989435406728</v>
      </c>
      <c r="DC88" s="949" t="s">
        <v>120</v>
      </c>
      <c r="DD88" s="124"/>
      <c r="DE88" s="124"/>
      <c r="DF88" s="125"/>
      <c r="DG88" s="126"/>
      <c r="DH88" s="121"/>
      <c r="DI88" s="127"/>
      <c r="DJ88" s="120"/>
      <c r="DK88" s="122"/>
      <c r="DL88" s="106"/>
      <c r="DM88" s="107">
        <v>0</v>
      </c>
      <c r="DN88" s="948" t="s">
        <v>120</v>
      </c>
      <c r="DO88" s="128"/>
      <c r="DP88" s="129"/>
      <c r="DQ88" s="121"/>
      <c r="DR88" s="121"/>
      <c r="DS88" s="121"/>
      <c r="DT88" s="121"/>
      <c r="DU88" s="130"/>
      <c r="DV88" s="131"/>
      <c r="DW88" s="131"/>
      <c r="DX88" s="127"/>
      <c r="DY88" s="132"/>
      <c r="DZ88" s="132"/>
      <c r="EA88" s="132"/>
      <c r="EB88" s="132"/>
      <c r="EC88" s="133"/>
      <c r="ED88" s="134"/>
      <c r="EE88" s="135"/>
      <c r="EF88" s="136">
        <v>0</v>
      </c>
      <c r="EG88" s="393">
        <v>0</v>
      </c>
      <c r="EH88" s="536"/>
      <c r="EI88" s="544">
        <v>30</v>
      </c>
      <c r="EJ88" s="14"/>
      <c r="EK88" s="14"/>
      <c r="EL88" s="14"/>
      <c r="EM88" s="540"/>
      <c r="EN88" s="546"/>
      <c r="EO88" s="11"/>
      <c r="EP88" s="883" t="s">
        <v>79</v>
      </c>
      <c r="EQ88" s="883"/>
      <c r="ER88" s="254"/>
      <c r="ES88" s="254"/>
      <c r="FC88" s="3">
        <v>0</v>
      </c>
      <c r="FD88" s="254"/>
      <c r="FE88" s="254"/>
      <c r="FF88" s="884">
        <v>1</v>
      </c>
      <c r="FG88" s="254"/>
      <c r="FH88" s="884"/>
      <c r="FI88" s="254"/>
      <c r="FJ88" s="884"/>
      <c r="FK88" s="3">
        <v>0</v>
      </c>
    </row>
    <row r="89" spans="1:167" s="3" customFormat="1">
      <c r="A89" s="254"/>
      <c r="B89" s="255">
        <v>59</v>
      </c>
      <c r="C89" s="97"/>
      <c r="D89" s="97"/>
      <c r="E89" s="880"/>
      <c r="F89" s="256">
        <v>1</v>
      </c>
      <c r="G89" s="257">
        <v>2</v>
      </c>
      <c r="H89" s="881" t="s">
        <v>29</v>
      </c>
      <c r="I89" s="258" t="s">
        <v>595</v>
      </c>
      <c r="J89" s="259">
        <v>8</v>
      </c>
      <c r="K89" s="260">
        <v>25</v>
      </c>
      <c r="L89" s="260">
        <v>3</v>
      </c>
      <c r="M89" s="261">
        <v>1</v>
      </c>
      <c r="N89" s="261">
        <v>1</v>
      </c>
      <c r="O89" s="262">
        <v>1</v>
      </c>
      <c r="P89" s="263">
        <v>4</v>
      </c>
      <c r="Q89" s="264">
        <v>1</v>
      </c>
      <c r="R89" s="264">
        <v>1</v>
      </c>
      <c r="S89" s="265">
        <v>1</v>
      </c>
      <c r="T89" s="265">
        <v>1</v>
      </c>
      <c r="U89" s="266">
        <v>1</v>
      </c>
      <c r="V89" s="267">
        <v>1</v>
      </c>
      <c r="W89" s="258" t="s">
        <v>311</v>
      </c>
      <c r="X89" s="268"/>
      <c r="Y89" s="269"/>
      <c r="Z89" s="269"/>
      <c r="AA89" s="269"/>
      <c r="AB89" s="269"/>
      <c r="AC89" s="269"/>
      <c r="AD89" s="269"/>
      <c r="AE89" s="269"/>
      <c r="AF89" s="269"/>
      <c r="AG89" s="269"/>
      <c r="AH89" s="269"/>
      <c r="AI89" s="269"/>
      <c r="AJ89" s="269"/>
      <c r="AK89" s="269"/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70"/>
      <c r="BB89" s="271">
        <v>0</v>
      </c>
      <c r="BC89" s="272"/>
      <c r="BD89" s="273"/>
      <c r="BE89" s="273"/>
      <c r="BF89" s="273"/>
      <c r="BG89" s="273"/>
      <c r="BH89" s="273"/>
      <c r="BI89" s="274"/>
      <c r="BJ89" s="275"/>
      <c r="BK89" s="276"/>
      <c r="BL89" s="276"/>
      <c r="BM89" s="276"/>
      <c r="BN89" s="276"/>
      <c r="BO89" s="276"/>
      <c r="BP89" s="277"/>
      <c r="BQ89" s="399"/>
      <c r="BR89" s="400"/>
      <c r="BS89" s="401"/>
      <c r="BT89" s="278"/>
      <c r="BU89" s="352"/>
      <c r="BV89" s="279">
        <v>127</v>
      </c>
      <c r="BW89" s="353"/>
      <c r="BX89" s="934" t="s">
        <v>120</v>
      </c>
      <c r="BY89" s="552"/>
      <c r="BZ89" s="552"/>
      <c r="CA89" s="941" t="s">
        <v>120</v>
      </c>
      <c r="CB89" s="553"/>
      <c r="CC89" s="330"/>
      <c r="CD89" s="554"/>
      <c r="CE89" s="554"/>
      <c r="CF89" s="513"/>
      <c r="CG89" s="555"/>
      <c r="CH89" s="556"/>
      <c r="CI89" s="379" t="s">
        <v>509</v>
      </c>
      <c r="CJ89" s="380" t="s">
        <v>509</v>
      </c>
      <c r="CK89" s="381" t="s">
        <v>509</v>
      </c>
      <c r="CL89" s="370" t="s">
        <v>509</v>
      </c>
      <c r="CM89" s="371" t="s">
        <v>509</v>
      </c>
      <c r="CN89" s="372" t="s">
        <v>509</v>
      </c>
      <c r="CO89" s="70" t="s">
        <v>27</v>
      </c>
      <c r="CP89" s="97" t="s">
        <v>509</v>
      </c>
      <c r="CQ89" s="69" t="s">
        <v>509</v>
      </c>
      <c r="CR89" s="280" t="s">
        <v>510</v>
      </c>
      <c r="CS89" s="118">
        <v>1</v>
      </c>
      <c r="CT89" s="119">
        <v>0.7</v>
      </c>
      <c r="CU89" s="120"/>
      <c r="CV89" s="882">
        <v>0</v>
      </c>
      <c r="CW89" s="340"/>
      <c r="CX89" s="345"/>
      <c r="CY89" s="121"/>
      <c r="CZ89" s="122"/>
      <c r="DA89" s="104">
        <v>0.9</v>
      </c>
      <c r="DB89" s="123">
        <v>0.43588989435406728</v>
      </c>
      <c r="DC89" s="949" t="s">
        <v>120</v>
      </c>
      <c r="DD89" s="124"/>
      <c r="DE89" s="124"/>
      <c r="DF89" s="125"/>
      <c r="DG89" s="126"/>
      <c r="DH89" s="121"/>
      <c r="DI89" s="127"/>
      <c r="DJ89" s="120"/>
      <c r="DK89" s="122"/>
      <c r="DL89" s="106"/>
      <c r="DM89" s="107">
        <v>0</v>
      </c>
      <c r="DN89" s="948" t="s">
        <v>120</v>
      </c>
      <c r="DO89" s="128"/>
      <c r="DP89" s="129"/>
      <c r="DQ89" s="121"/>
      <c r="DR89" s="121"/>
      <c r="DS89" s="121"/>
      <c r="DT89" s="121"/>
      <c r="DU89" s="130"/>
      <c r="DV89" s="131"/>
      <c r="DW89" s="131"/>
      <c r="DX89" s="127"/>
      <c r="DY89" s="132"/>
      <c r="DZ89" s="132"/>
      <c r="EA89" s="132"/>
      <c r="EB89" s="132"/>
      <c r="EC89" s="133"/>
      <c r="ED89" s="134"/>
      <c r="EE89" s="135"/>
      <c r="EF89" s="136">
        <v>0</v>
      </c>
      <c r="EG89" s="393">
        <v>0</v>
      </c>
      <c r="EH89" s="536"/>
      <c r="EI89" s="544">
        <v>30</v>
      </c>
      <c r="EJ89" s="14"/>
      <c r="EK89" s="14"/>
      <c r="EL89" s="14"/>
      <c r="EM89" s="540"/>
      <c r="EN89" s="546"/>
      <c r="EO89" s="11"/>
      <c r="EP89" s="883" t="s">
        <v>79</v>
      </c>
      <c r="EQ89" s="883"/>
      <c r="ER89" s="254"/>
      <c r="ES89" s="254"/>
      <c r="FC89" s="3">
        <v>0</v>
      </c>
      <c r="FD89" s="254"/>
      <c r="FE89" s="254"/>
      <c r="FF89" s="884">
        <v>1</v>
      </c>
      <c r="FG89" s="254"/>
      <c r="FH89" s="884"/>
      <c r="FI89" s="254"/>
      <c r="FJ89" s="884"/>
      <c r="FK89" s="3">
        <v>0</v>
      </c>
    </row>
    <row r="90" spans="1:167" s="3" customFormat="1">
      <c r="A90" s="254"/>
      <c r="B90" s="255">
        <v>60</v>
      </c>
      <c r="C90" s="97"/>
      <c r="D90" s="97"/>
      <c r="E90" s="880"/>
      <c r="F90" s="256">
        <v>1</v>
      </c>
      <c r="G90" s="257">
        <v>2</v>
      </c>
      <c r="H90" s="881" t="s">
        <v>29</v>
      </c>
      <c r="I90" s="258" t="s">
        <v>595</v>
      </c>
      <c r="J90" s="259">
        <v>8</v>
      </c>
      <c r="K90" s="260">
        <v>25</v>
      </c>
      <c r="L90" s="260">
        <v>3</v>
      </c>
      <c r="M90" s="261">
        <v>1</v>
      </c>
      <c r="N90" s="261">
        <v>1</v>
      </c>
      <c r="O90" s="262">
        <v>1</v>
      </c>
      <c r="P90" s="263">
        <v>4</v>
      </c>
      <c r="Q90" s="264">
        <v>1</v>
      </c>
      <c r="R90" s="264">
        <v>1</v>
      </c>
      <c r="S90" s="265">
        <v>1</v>
      </c>
      <c r="T90" s="265">
        <v>1</v>
      </c>
      <c r="U90" s="266">
        <v>1</v>
      </c>
      <c r="V90" s="267">
        <v>1</v>
      </c>
      <c r="W90" s="258" t="s">
        <v>311</v>
      </c>
      <c r="X90" s="268"/>
      <c r="Y90" s="269"/>
      <c r="Z90" s="269"/>
      <c r="AA90" s="269"/>
      <c r="AB90" s="269"/>
      <c r="AC90" s="269"/>
      <c r="AD90" s="269"/>
      <c r="AE90" s="269"/>
      <c r="AF90" s="269"/>
      <c r="AG90" s="269"/>
      <c r="AH90" s="269"/>
      <c r="AI90" s="269"/>
      <c r="AJ90" s="269"/>
      <c r="AK90" s="269"/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70"/>
      <c r="BB90" s="271">
        <v>0</v>
      </c>
      <c r="BC90" s="272"/>
      <c r="BD90" s="273"/>
      <c r="BE90" s="273"/>
      <c r="BF90" s="273"/>
      <c r="BG90" s="273"/>
      <c r="BH90" s="273"/>
      <c r="BI90" s="274"/>
      <c r="BJ90" s="275"/>
      <c r="BK90" s="276"/>
      <c r="BL90" s="276"/>
      <c r="BM90" s="276"/>
      <c r="BN90" s="276"/>
      <c r="BO90" s="276"/>
      <c r="BP90" s="277"/>
      <c r="BQ90" s="399"/>
      <c r="BR90" s="400"/>
      <c r="BS90" s="401"/>
      <c r="BT90" s="278"/>
      <c r="BU90" s="352"/>
      <c r="BV90" s="279">
        <v>127</v>
      </c>
      <c r="BW90" s="353"/>
      <c r="BX90" s="934" t="s">
        <v>120</v>
      </c>
      <c r="BY90" s="552"/>
      <c r="BZ90" s="552"/>
      <c r="CA90" s="941" t="s">
        <v>120</v>
      </c>
      <c r="CB90" s="553"/>
      <c r="CC90" s="330"/>
      <c r="CD90" s="554"/>
      <c r="CE90" s="554"/>
      <c r="CF90" s="513"/>
      <c r="CG90" s="555"/>
      <c r="CH90" s="556"/>
      <c r="CI90" s="379" t="s">
        <v>509</v>
      </c>
      <c r="CJ90" s="380" t="s">
        <v>509</v>
      </c>
      <c r="CK90" s="381" t="s">
        <v>509</v>
      </c>
      <c r="CL90" s="370" t="s">
        <v>509</v>
      </c>
      <c r="CM90" s="371" t="s">
        <v>509</v>
      </c>
      <c r="CN90" s="372" t="s">
        <v>509</v>
      </c>
      <c r="CO90" s="70" t="s">
        <v>27</v>
      </c>
      <c r="CP90" s="97" t="s">
        <v>509</v>
      </c>
      <c r="CQ90" s="69" t="s">
        <v>509</v>
      </c>
      <c r="CR90" s="280" t="s">
        <v>510</v>
      </c>
      <c r="CS90" s="118">
        <v>1</v>
      </c>
      <c r="CT90" s="119">
        <v>0.7</v>
      </c>
      <c r="CU90" s="120"/>
      <c r="CV90" s="882">
        <v>0</v>
      </c>
      <c r="CW90" s="340"/>
      <c r="CX90" s="345"/>
      <c r="CY90" s="121"/>
      <c r="CZ90" s="122"/>
      <c r="DA90" s="104">
        <v>0.9</v>
      </c>
      <c r="DB90" s="123">
        <v>0.43588989435406728</v>
      </c>
      <c r="DC90" s="949" t="s">
        <v>120</v>
      </c>
      <c r="DD90" s="124"/>
      <c r="DE90" s="124"/>
      <c r="DF90" s="125"/>
      <c r="DG90" s="126"/>
      <c r="DH90" s="121"/>
      <c r="DI90" s="127"/>
      <c r="DJ90" s="120"/>
      <c r="DK90" s="122"/>
      <c r="DL90" s="106"/>
      <c r="DM90" s="107">
        <v>0</v>
      </c>
      <c r="DN90" s="948" t="s">
        <v>120</v>
      </c>
      <c r="DO90" s="128"/>
      <c r="DP90" s="129"/>
      <c r="DQ90" s="121"/>
      <c r="DR90" s="121"/>
      <c r="DS90" s="121"/>
      <c r="DT90" s="121"/>
      <c r="DU90" s="130"/>
      <c r="DV90" s="131"/>
      <c r="DW90" s="131"/>
      <c r="DX90" s="127"/>
      <c r="DY90" s="132"/>
      <c r="DZ90" s="132"/>
      <c r="EA90" s="132"/>
      <c r="EB90" s="132"/>
      <c r="EC90" s="133"/>
      <c r="ED90" s="134"/>
      <c r="EE90" s="135"/>
      <c r="EF90" s="136">
        <v>0</v>
      </c>
      <c r="EG90" s="393">
        <v>0</v>
      </c>
      <c r="EH90" s="536"/>
      <c r="EI90" s="544">
        <v>30</v>
      </c>
      <c r="EJ90" s="14"/>
      <c r="EK90" s="14"/>
      <c r="EL90" s="14"/>
      <c r="EM90" s="540"/>
      <c r="EN90" s="546"/>
      <c r="EO90" s="11"/>
      <c r="EP90" s="883" t="s">
        <v>79</v>
      </c>
      <c r="EQ90" s="883"/>
      <c r="ER90" s="254"/>
      <c r="ES90" s="254"/>
      <c r="FC90" s="3">
        <v>0</v>
      </c>
      <c r="FD90" s="254"/>
      <c r="FE90" s="254"/>
      <c r="FF90" s="884">
        <v>1</v>
      </c>
      <c r="FG90" s="254"/>
      <c r="FH90" s="884"/>
      <c r="FI90" s="254"/>
      <c r="FJ90" s="884"/>
      <c r="FK90" s="3">
        <v>0</v>
      </c>
    </row>
    <row r="91" spans="1:167" s="3" customFormat="1">
      <c r="A91" s="254"/>
      <c r="B91" s="255">
        <v>61</v>
      </c>
      <c r="C91" s="97"/>
      <c r="D91" s="97"/>
      <c r="E91" s="880"/>
      <c r="F91" s="256">
        <v>1</v>
      </c>
      <c r="G91" s="257">
        <v>2</v>
      </c>
      <c r="H91" s="881" t="s">
        <v>29</v>
      </c>
      <c r="I91" s="258" t="s">
        <v>595</v>
      </c>
      <c r="J91" s="259">
        <v>8</v>
      </c>
      <c r="K91" s="260">
        <v>25</v>
      </c>
      <c r="L91" s="260">
        <v>3</v>
      </c>
      <c r="M91" s="261">
        <v>1</v>
      </c>
      <c r="N91" s="261">
        <v>1</v>
      </c>
      <c r="O91" s="262">
        <v>1</v>
      </c>
      <c r="P91" s="263">
        <v>4</v>
      </c>
      <c r="Q91" s="264">
        <v>1</v>
      </c>
      <c r="R91" s="264">
        <v>1</v>
      </c>
      <c r="S91" s="265">
        <v>1</v>
      </c>
      <c r="T91" s="265">
        <v>1</v>
      </c>
      <c r="U91" s="266">
        <v>1</v>
      </c>
      <c r="V91" s="267">
        <v>1</v>
      </c>
      <c r="W91" s="258" t="s">
        <v>311</v>
      </c>
      <c r="X91" s="268"/>
      <c r="Y91" s="269"/>
      <c r="Z91" s="269"/>
      <c r="AA91" s="269"/>
      <c r="AB91" s="269"/>
      <c r="AC91" s="269"/>
      <c r="AD91" s="269"/>
      <c r="AE91" s="269"/>
      <c r="AF91" s="269"/>
      <c r="AG91" s="269"/>
      <c r="AH91" s="269"/>
      <c r="AI91" s="269"/>
      <c r="AJ91" s="269"/>
      <c r="AK91" s="269"/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70"/>
      <c r="BB91" s="271">
        <v>0</v>
      </c>
      <c r="BC91" s="272"/>
      <c r="BD91" s="273"/>
      <c r="BE91" s="273"/>
      <c r="BF91" s="273"/>
      <c r="BG91" s="273"/>
      <c r="BH91" s="273"/>
      <c r="BI91" s="274"/>
      <c r="BJ91" s="275"/>
      <c r="BK91" s="276"/>
      <c r="BL91" s="276"/>
      <c r="BM91" s="276"/>
      <c r="BN91" s="276"/>
      <c r="BO91" s="276"/>
      <c r="BP91" s="277"/>
      <c r="BQ91" s="399"/>
      <c r="BR91" s="400"/>
      <c r="BS91" s="401"/>
      <c r="BT91" s="278"/>
      <c r="BU91" s="352"/>
      <c r="BV91" s="279">
        <v>127</v>
      </c>
      <c r="BW91" s="353"/>
      <c r="BX91" s="934" t="s">
        <v>120</v>
      </c>
      <c r="BY91" s="552"/>
      <c r="BZ91" s="552"/>
      <c r="CA91" s="941" t="s">
        <v>120</v>
      </c>
      <c r="CB91" s="553"/>
      <c r="CC91" s="330"/>
      <c r="CD91" s="554"/>
      <c r="CE91" s="554"/>
      <c r="CF91" s="513"/>
      <c r="CG91" s="555"/>
      <c r="CH91" s="556"/>
      <c r="CI91" s="379" t="s">
        <v>509</v>
      </c>
      <c r="CJ91" s="380" t="s">
        <v>509</v>
      </c>
      <c r="CK91" s="381" t="s">
        <v>509</v>
      </c>
      <c r="CL91" s="370" t="s">
        <v>509</v>
      </c>
      <c r="CM91" s="371" t="s">
        <v>509</v>
      </c>
      <c r="CN91" s="372" t="s">
        <v>509</v>
      </c>
      <c r="CO91" s="70" t="s">
        <v>32</v>
      </c>
      <c r="CP91" s="97" t="s">
        <v>509</v>
      </c>
      <c r="CQ91" s="69" t="s">
        <v>509</v>
      </c>
      <c r="CR91" s="280" t="s">
        <v>510</v>
      </c>
      <c r="CS91" s="118">
        <v>1</v>
      </c>
      <c r="CT91" s="119">
        <v>0.7</v>
      </c>
      <c r="CU91" s="120"/>
      <c r="CV91" s="882">
        <v>0</v>
      </c>
      <c r="CW91" s="340"/>
      <c r="CX91" s="345"/>
      <c r="CY91" s="121"/>
      <c r="CZ91" s="122"/>
      <c r="DA91" s="104">
        <v>0.9</v>
      </c>
      <c r="DB91" s="123">
        <v>0.43588989435406728</v>
      </c>
      <c r="DC91" s="949" t="s">
        <v>120</v>
      </c>
      <c r="DD91" s="124"/>
      <c r="DE91" s="124"/>
      <c r="DF91" s="125"/>
      <c r="DG91" s="126"/>
      <c r="DH91" s="121"/>
      <c r="DI91" s="127"/>
      <c r="DJ91" s="120"/>
      <c r="DK91" s="122"/>
      <c r="DL91" s="106"/>
      <c r="DM91" s="107">
        <v>0</v>
      </c>
      <c r="DN91" s="948" t="s">
        <v>120</v>
      </c>
      <c r="DO91" s="128"/>
      <c r="DP91" s="129"/>
      <c r="DQ91" s="121"/>
      <c r="DR91" s="121"/>
      <c r="DS91" s="121"/>
      <c r="DT91" s="121"/>
      <c r="DU91" s="130"/>
      <c r="DV91" s="131"/>
      <c r="DW91" s="131"/>
      <c r="DX91" s="127"/>
      <c r="DY91" s="132"/>
      <c r="DZ91" s="132"/>
      <c r="EA91" s="132"/>
      <c r="EB91" s="132"/>
      <c r="EC91" s="133"/>
      <c r="ED91" s="134"/>
      <c r="EE91" s="135"/>
      <c r="EF91" s="136">
        <v>0</v>
      </c>
      <c r="EG91" s="393">
        <v>0</v>
      </c>
      <c r="EH91" s="536"/>
      <c r="EI91" s="544">
        <v>30</v>
      </c>
      <c r="EJ91" s="14"/>
      <c r="EK91" s="14"/>
      <c r="EL91" s="14"/>
      <c r="EM91" s="540"/>
      <c r="EN91" s="546"/>
      <c r="EO91" s="11"/>
      <c r="EP91" s="883" t="s">
        <v>79</v>
      </c>
      <c r="EQ91" s="883"/>
      <c r="ER91" s="254"/>
      <c r="ES91" s="254"/>
      <c r="FC91" s="3">
        <v>0</v>
      </c>
      <c r="FD91" s="254"/>
      <c r="FE91" s="254"/>
      <c r="FF91" s="884">
        <v>1</v>
      </c>
      <c r="FG91" s="254"/>
      <c r="FH91" s="884"/>
      <c r="FI91" s="254"/>
      <c r="FJ91" s="884"/>
      <c r="FK91" s="3">
        <v>0</v>
      </c>
    </row>
    <row r="92" spans="1:167" s="3" customFormat="1">
      <c r="A92" s="254"/>
      <c r="B92" s="255">
        <v>62</v>
      </c>
      <c r="C92" s="97"/>
      <c r="D92" s="97"/>
      <c r="E92" s="880"/>
      <c r="F92" s="256">
        <v>1</v>
      </c>
      <c r="G92" s="257">
        <v>2</v>
      </c>
      <c r="H92" s="881" t="s">
        <v>29</v>
      </c>
      <c r="I92" s="258" t="s">
        <v>595</v>
      </c>
      <c r="J92" s="259">
        <v>8</v>
      </c>
      <c r="K92" s="260">
        <v>25</v>
      </c>
      <c r="L92" s="260">
        <v>3</v>
      </c>
      <c r="M92" s="261">
        <v>1</v>
      </c>
      <c r="N92" s="261">
        <v>1</v>
      </c>
      <c r="O92" s="262">
        <v>1</v>
      </c>
      <c r="P92" s="263">
        <v>4</v>
      </c>
      <c r="Q92" s="264">
        <v>1</v>
      </c>
      <c r="R92" s="264">
        <v>1</v>
      </c>
      <c r="S92" s="265">
        <v>1</v>
      </c>
      <c r="T92" s="265">
        <v>1</v>
      </c>
      <c r="U92" s="266">
        <v>1</v>
      </c>
      <c r="V92" s="267">
        <v>1</v>
      </c>
      <c r="W92" s="258" t="s">
        <v>311</v>
      </c>
      <c r="X92" s="268"/>
      <c r="Y92" s="269"/>
      <c r="Z92" s="269"/>
      <c r="AA92" s="269"/>
      <c r="AB92" s="269"/>
      <c r="AC92" s="269"/>
      <c r="AD92" s="269"/>
      <c r="AE92" s="269"/>
      <c r="AF92" s="269"/>
      <c r="AG92" s="269"/>
      <c r="AH92" s="269"/>
      <c r="AI92" s="269"/>
      <c r="AJ92" s="269"/>
      <c r="AK92" s="269"/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70"/>
      <c r="BB92" s="271">
        <v>0</v>
      </c>
      <c r="BC92" s="272"/>
      <c r="BD92" s="273"/>
      <c r="BE92" s="273"/>
      <c r="BF92" s="273"/>
      <c r="BG92" s="273"/>
      <c r="BH92" s="273"/>
      <c r="BI92" s="274"/>
      <c r="BJ92" s="275"/>
      <c r="BK92" s="276"/>
      <c r="BL92" s="276"/>
      <c r="BM92" s="276"/>
      <c r="BN92" s="276"/>
      <c r="BO92" s="276"/>
      <c r="BP92" s="277"/>
      <c r="BQ92" s="399"/>
      <c r="BR92" s="400"/>
      <c r="BS92" s="401"/>
      <c r="BT92" s="278"/>
      <c r="BU92" s="352"/>
      <c r="BV92" s="279">
        <v>127</v>
      </c>
      <c r="BW92" s="353"/>
      <c r="BX92" s="934" t="s">
        <v>120</v>
      </c>
      <c r="BY92" s="552"/>
      <c r="BZ92" s="552"/>
      <c r="CA92" s="941" t="s">
        <v>120</v>
      </c>
      <c r="CB92" s="553"/>
      <c r="CC92" s="330"/>
      <c r="CD92" s="554"/>
      <c r="CE92" s="554"/>
      <c r="CF92" s="513"/>
      <c r="CG92" s="555"/>
      <c r="CH92" s="556"/>
      <c r="CI92" s="379" t="s">
        <v>509</v>
      </c>
      <c r="CJ92" s="380" t="s">
        <v>509</v>
      </c>
      <c r="CK92" s="381" t="s">
        <v>509</v>
      </c>
      <c r="CL92" s="370" t="s">
        <v>509</v>
      </c>
      <c r="CM92" s="371" t="s">
        <v>509</v>
      </c>
      <c r="CN92" s="372" t="s">
        <v>509</v>
      </c>
      <c r="CO92" s="70" t="s">
        <v>32</v>
      </c>
      <c r="CP92" s="97" t="s">
        <v>509</v>
      </c>
      <c r="CQ92" s="69" t="s">
        <v>509</v>
      </c>
      <c r="CR92" s="280" t="s">
        <v>510</v>
      </c>
      <c r="CS92" s="118">
        <v>1</v>
      </c>
      <c r="CT92" s="119">
        <v>0.7</v>
      </c>
      <c r="CU92" s="120"/>
      <c r="CV92" s="882">
        <v>0</v>
      </c>
      <c r="CW92" s="340"/>
      <c r="CX92" s="345"/>
      <c r="CY92" s="121"/>
      <c r="CZ92" s="122"/>
      <c r="DA92" s="104">
        <v>0.9</v>
      </c>
      <c r="DB92" s="123">
        <v>0.43588989435406728</v>
      </c>
      <c r="DC92" s="949" t="s">
        <v>120</v>
      </c>
      <c r="DD92" s="124"/>
      <c r="DE92" s="124"/>
      <c r="DF92" s="125"/>
      <c r="DG92" s="126"/>
      <c r="DH92" s="121"/>
      <c r="DI92" s="127"/>
      <c r="DJ92" s="120"/>
      <c r="DK92" s="122"/>
      <c r="DL92" s="106"/>
      <c r="DM92" s="107">
        <v>0</v>
      </c>
      <c r="DN92" s="948" t="s">
        <v>120</v>
      </c>
      <c r="DO92" s="128"/>
      <c r="DP92" s="129"/>
      <c r="DQ92" s="121"/>
      <c r="DR92" s="121"/>
      <c r="DS92" s="121"/>
      <c r="DT92" s="121"/>
      <c r="DU92" s="130"/>
      <c r="DV92" s="131"/>
      <c r="DW92" s="131"/>
      <c r="DX92" s="127"/>
      <c r="DY92" s="132"/>
      <c r="DZ92" s="132"/>
      <c r="EA92" s="132"/>
      <c r="EB92" s="132"/>
      <c r="EC92" s="133"/>
      <c r="ED92" s="134"/>
      <c r="EE92" s="135"/>
      <c r="EF92" s="136">
        <v>0</v>
      </c>
      <c r="EG92" s="393">
        <v>0</v>
      </c>
      <c r="EH92" s="536"/>
      <c r="EI92" s="544">
        <v>30</v>
      </c>
      <c r="EJ92" s="14"/>
      <c r="EK92" s="14"/>
      <c r="EL92" s="14"/>
      <c r="EM92" s="540"/>
      <c r="EN92" s="546"/>
      <c r="EO92" s="11"/>
      <c r="EP92" s="883" t="s">
        <v>79</v>
      </c>
      <c r="EQ92" s="883"/>
      <c r="ER92" s="254"/>
      <c r="ES92" s="254"/>
      <c r="FC92" s="3">
        <v>0</v>
      </c>
      <c r="FD92" s="254"/>
      <c r="FE92" s="254"/>
      <c r="FF92" s="884">
        <v>1</v>
      </c>
      <c r="FG92" s="254"/>
      <c r="FH92" s="884"/>
      <c r="FI92" s="254"/>
      <c r="FJ92" s="884"/>
      <c r="FK92" s="3">
        <v>0</v>
      </c>
    </row>
    <row r="93" spans="1:167" s="3" customFormat="1">
      <c r="A93" s="254"/>
      <c r="B93" s="255">
        <v>63</v>
      </c>
      <c r="C93" s="97"/>
      <c r="D93" s="97"/>
      <c r="E93" s="880"/>
      <c r="F93" s="256">
        <v>1</v>
      </c>
      <c r="G93" s="257">
        <v>2</v>
      </c>
      <c r="H93" s="881" t="s">
        <v>29</v>
      </c>
      <c r="I93" s="258" t="s">
        <v>595</v>
      </c>
      <c r="J93" s="259">
        <v>8</v>
      </c>
      <c r="K93" s="260">
        <v>25</v>
      </c>
      <c r="L93" s="260">
        <v>3</v>
      </c>
      <c r="M93" s="261">
        <v>1</v>
      </c>
      <c r="N93" s="261">
        <v>1</v>
      </c>
      <c r="O93" s="262">
        <v>1</v>
      </c>
      <c r="P93" s="263">
        <v>4</v>
      </c>
      <c r="Q93" s="264">
        <v>1</v>
      </c>
      <c r="R93" s="264">
        <v>1</v>
      </c>
      <c r="S93" s="265">
        <v>1</v>
      </c>
      <c r="T93" s="265">
        <v>1</v>
      </c>
      <c r="U93" s="266">
        <v>1</v>
      </c>
      <c r="V93" s="267">
        <v>1</v>
      </c>
      <c r="W93" s="258" t="s">
        <v>311</v>
      </c>
      <c r="X93" s="268"/>
      <c r="Y93" s="269"/>
      <c r="Z93" s="269"/>
      <c r="AA93" s="269"/>
      <c r="AB93" s="269"/>
      <c r="AC93" s="269"/>
      <c r="AD93" s="269"/>
      <c r="AE93" s="269"/>
      <c r="AF93" s="269"/>
      <c r="AG93" s="269"/>
      <c r="AH93" s="269"/>
      <c r="AI93" s="269"/>
      <c r="AJ93" s="269"/>
      <c r="AK93" s="269"/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70"/>
      <c r="BB93" s="271">
        <v>0</v>
      </c>
      <c r="BC93" s="272"/>
      <c r="BD93" s="273"/>
      <c r="BE93" s="273"/>
      <c r="BF93" s="273"/>
      <c r="BG93" s="273"/>
      <c r="BH93" s="273"/>
      <c r="BI93" s="274"/>
      <c r="BJ93" s="275"/>
      <c r="BK93" s="276"/>
      <c r="BL93" s="276"/>
      <c r="BM93" s="276"/>
      <c r="BN93" s="276"/>
      <c r="BO93" s="276"/>
      <c r="BP93" s="277"/>
      <c r="BQ93" s="399"/>
      <c r="BR93" s="400"/>
      <c r="BS93" s="401"/>
      <c r="BT93" s="278"/>
      <c r="BU93" s="352"/>
      <c r="BV93" s="279">
        <v>127</v>
      </c>
      <c r="BW93" s="353"/>
      <c r="BX93" s="934" t="s">
        <v>120</v>
      </c>
      <c r="BY93" s="552"/>
      <c r="BZ93" s="552"/>
      <c r="CA93" s="941" t="s">
        <v>120</v>
      </c>
      <c r="CB93" s="553"/>
      <c r="CC93" s="330"/>
      <c r="CD93" s="554"/>
      <c r="CE93" s="554"/>
      <c r="CF93" s="513"/>
      <c r="CG93" s="555"/>
      <c r="CH93" s="556"/>
      <c r="CI93" s="379" t="s">
        <v>509</v>
      </c>
      <c r="CJ93" s="380" t="s">
        <v>509</v>
      </c>
      <c r="CK93" s="381" t="s">
        <v>509</v>
      </c>
      <c r="CL93" s="370" t="s">
        <v>509</v>
      </c>
      <c r="CM93" s="371" t="s">
        <v>509</v>
      </c>
      <c r="CN93" s="372" t="s">
        <v>509</v>
      </c>
      <c r="CO93" s="70" t="s">
        <v>26</v>
      </c>
      <c r="CP93" s="97" t="s">
        <v>509</v>
      </c>
      <c r="CQ93" s="69" t="s">
        <v>509</v>
      </c>
      <c r="CR93" s="280" t="s">
        <v>510</v>
      </c>
      <c r="CS93" s="118">
        <v>1</v>
      </c>
      <c r="CT93" s="119">
        <v>0.7</v>
      </c>
      <c r="CU93" s="120"/>
      <c r="CV93" s="882">
        <v>0</v>
      </c>
      <c r="CW93" s="340"/>
      <c r="CX93" s="345"/>
      <c r="CY93" s="121"/>
      <c r="CZ93" s="122"/>
      <c r="DA93" s="104">
        <v>0.9</v>
      </c>
      <c r="DB93" s="123">
        <v>0.43588989435406728</v>
      </c>
      <c r="DC93" s="949" t="s">
        <v>120</v>
      </c>
      <c r="DD93" s="124"/>
      <c r="DE93" s="124"/>
      <c r="DF93" s="125"/>
      <c r="DG93" s="126"/>
      <c r="DH93" s="121"/>
      <c r="DI93" s="127"/>
      <c r="DJ93" s="120"/>
      <c r="DK93" s="122"/>
      <c r="DL93" s="106"/>
      <c r="DM93" s="107">
        <v>0</v>
      </c>
      <c r="DN93" s="948" t="s">
        <v>120</v>
      </c>
      <c r="DO93" s="128"/>
      <c r="DP93" s="129"/>
      <c r="DQ93" s="121"/>
      <c r="DR93" s="121"/>
      <c r="DS93" s="121"/>
      <c r="DT93" s="121"/>
      <c r="DU93" s="130"/>
      <c r="DV93" s="131"/>
      <c r="DW93" s="131"/>
      <c r="DX93" s="127"/>
      <c r="DY93" s="132"/>
      <c r="DZ93" s="132"/>
      <c r="EA93" s="132"/>
      <c r="EB93" s="132"/>
      <c r="EC93" s="133"/>
      <c r="ED93" s="134"/>
      <c r="EE93" s="135"/>
      <c r="EF93" s="136">
        <v>0</v>
      </c>
      <c r="EG93" s="393">
        <v>0</v>
      </c>
      <c r="EH93" s="536"/>
      <c r="EI93" s="544">
        <v>30</v>
      </c>
      <c r="EJ93" s="14"/>
      <c r="EK93" s="14"/>
      <c r="EL93" s="14"/>
      <c r="EM93" s="540"/>
      <c r="EN93" s="546"/>
      <c r="EO93" s="11"/>
      <c r="EP93" s="883" t="s">
        <v>79</v>
      </c>
      <c r="EQ93" s="883"/>
      <c r="ER93" s="254"/>
      <c r="ES93" s="254"/>
      <c r="FC93" s="3">
        <v>0</v>
      </c>
      <c r="FD93" s="254"/>
      <c r="FE93" s="254"/>
      <c r="FF93" s="884">
        <v>1</v>
      </c>
      <c r="FG93" s="254"/>
      <c r="FH93" s="884"/>
      <c r="FI93" s="254"/>
      <c r="FJ93" s="884"/>
      <c r="FK93" s="3">
        <v>0</v>
      </c>
    </row>
    <row r="94" spans="1:167" s="3" customFormat="1">
      <c r="A94" s="254"/>
      <c r="B94" s="255">
        <v>64</v>
      </c>
      <c r="C94" s="97"/>
      <c r="D94" s="97"/>
      <c r="E94" s="880"/>
      <c r="F94" s="256">
        <v>1</v>
      </c>
      <c r="G94" s="257">
        <v>2</v>
      </c>
      <c r="H94" s="881" t="s">
        <v>29</v>
      </c>
      <c r="I94" s="258" t="s">
        <v>595</v>
      </c>
      <c r="J94" s="259">
        <v>8</v>
      </c>
      <c r="K94" s="260">
        <v>25</v>
      </c>
      <c r="L94" s="260">
        <v>3</v>
      </c>
      <c r="M94" s="261">
        <v>1</v>
      </c>
      <c r="N94" s="261">
        <v>1</v>
      </c>
      <c r="O94" s="262">
        <v>1</v>
      </c>
      <c r="P94" s="263">
        <v>4</v>
      </c>
      <c r="Q94" s="264">
        <v>1</v>
      </c>
      <c r="R94" s="264">
        <v>1</v>
      </c>
      <c r="S94" s="265">
        <v>1</v>
      </c>
      <c r="T94" s="265">
        <v>1</v>
      </c>
      <c r="U94" s="266">
        <v>1</v>
      </c>
      <c r="V94" s="267">
        <v>1</v>
      </c>
      <c r="W94" s="258" t="s">
        <v>311</v>
      </c>
      <c r="X94" s="268"/>
      <c r="Y94" s="269"/>
      <c r="Z94" s="269"/>
      <c r="AA94" s="269"/>
      <c r="AB94" s="269"/>
      <c r="AC94" s="269"/>
      <c r="AD94" s="269"/>
      <c r="AE94" s="269"/>
      <c r="AF94" s="269"/>
      <c r="AG94" s="269"/>
      <c r="AH94" s="269"/>
      <c r="AI94" s="269"/>
      <c r="AJ94" s="269"/>
      <c r="AK94" s="269"/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70"/>
      <c r="BB94" s="271">
        <v>0</v>
      </c>
      <c r="BC94" s="272"/>
      <c r="BD94" s="273"/>
      <c r="BE94" s="273"/>
      <c r="BF94" s="273"/>
      <c r="BG94" s="273"/>
      <c r="BH94" s="273"/>
      <c r="BI94" s="274"/>
      <c r="BJ94" s="275"/>
      <c r="BK94" s="276"/>
      <c r="BL94" s="276"/>
      <c r="BM94" s="276"/>
      <c r="BN94" s="276"/>
      <c r="BO94" s="276"/>
      <c r="BP94" s="277"/>
      <c r="BQ94" s="399"/>
      <c r="BR94" s="400"/>
      <c r="BS94" s="401"/>
      <c r="BT94" s="278"/>
      <c r="BU94" s="352"/>
      <c r="BV94" s="279">
        <v>127</v>
      </c>
      <c r="BW94" s="353"/>
      <c r="BX94" s="934" t="s">
        <v>120</v>
      </c>
      <c r="BY94" s="552"/>
      <c r="BZ94" s="552"/>
      <c r="CA94" s="941" t="s">
        <v>120</v>
      </c>
      <c r="CB94" s="553"/>
      <c r="CC94" s="330"/>
      <c r="CD94" s="554"/>
      <c r="CE94" s="554"/>
      <c r="CF94" s="513"/>
      <c r="CG94" s="555"/>
      <c r="CH94" s="556"/>
      <c r="CI94" s="379" t="s">
        <v>509</v>
      </c>
      <c r="CJ94" s="380" t="s">
        <v>509</v>
      </c>
      <c r="CK94" s="381" t="s">
        <v>509</v>
      </c>
      <c r="CL94" s="370" t="s">
        <v>509</v>
      </c>
      <c r="CM94" s="371" t="s">
        <v>509</v>
      </c>
      <c r="CN94" s="372" t="s">
        <v>509</v>
      </c>
      <c r="CO94" s="70" t="s">
        <v>26</v>
      </c>
      <c r="CP94" s="97" t="s">
        <v>509</v>
      </c>
      <c r="CQ94" s="69" t="s">
        <v>509</v>
      </c>
      <c r="CR94" s="280" t="s">
        <v>510</v>
      </c>
      <c r="CS94" s="118">
        <v>1</v>
      </c>
      <c r="CT94" s="119">
        <v>0.7</v>
      </c>
      <c r="CU94" s="120"/>
      <c r="CV94" s="882">
        <v>0</v>
      </c>
      <c r="CW94" s="340"/>
      <c r="CX94" s="345"/>
      <c r="CY94" s="121"/>
      <c r="CZ94" s="122"/>
      <c r="DA94" s="104">
        <v>0.9</v>
      </c>
      <c r="DB94" s="123">
        <v>0.43588989435406728</v>
      </c>
      <c r="DC94" s="949" t="s">
        <v>120</v>
      </c>
      <c r="DD94" s="124"/>
      <c r="DE94" s="124"/>
      <c r="DF94" s="125"/>
      <c r="DG94" s="126"/>
      <c r="DH94" s="121"/>
      <c r="DI94" s="127"/>
      <c r="DJ94" s="120"/>
      <c r="DK94" s="122"/>
      <c r="DL94" s="106"/>
      <c r="DM94" s="107">
        <v>0</v>
      </c>
      <c r="DN94" s="948" t="s">
        <v>120</v>
      </c>
      <c r="DO94" s="128"/>
      <c r="DP94" s="129"/>
      <c r="DQ94" s="121"/>
      <c r="DR94" s="121"/>
      <c r="DS94" s="121"/>
      <c r="DT94" s="121"/>
      <c r="DU94" s="130"/>
      <c r="DV94" s="131"/>
      <c r="DW94" s="131"/>
      <c r="DX94" s="127"/>
      <c r="DY94" s="132"/>
      <c r="DZ94" s="132"/>
      <c r="EA94" s="132"/>
      <c r="EB94" s="132"/>
      <c r="EC94" s="133"/>
      <c r="ED94" s="134"/>
      <c r="EE94" s="135"/>
      <c r="EF94" s="136">
        <v>0</v>
      </c>
      <c r="EG94" s="393">
        <v>0</v>
      </c>
      <c r="EH94" s="536"/>
      <c r="EI94" s="544">
        <v>30</v>
      </c>
      <c r="EJ94" s="14"/>
      <c r="EK94" s="14"/>
      <c r="EL94" s="14"/>
      <c r="EM94" s="540"/>
      <c r="EN94" s="546"/>
      <c r="EO94" s="11"/>
      <c r="EP94" s="883" t="s">
        <v>79</v>
      </c>
      <c r="EQ94" s="883"/>
      <c r="ER94" s="254"/>
      <c r="ES94" s="254"/>
      <c r="FC94" s="3">
        <v>0</v>
      </c>
      <c r="FD94" s="254"/>
      <c r="FE94" s="254"/>
      <c r="FF94" s="884">
        <v>1</v>
      </c>
      <c r="FG94" s="254"/>
      <c r="FH94" s="884"/>
      <c r="FI94" s="254"/>
      <c r="FJ94" s="884"/>
      <c r="FK94" s="3">
        <v>0</v>
      </c>
    </row>
    <row r="95" spans="1:167" s="3" customFormat="1">
      <c r="A95" s="254"/>
      <c r="B95" s="255">
        <v>65</v>
      </c>
      <c r="C95" s="97"/>
      <c r="D95" s="97"/>
      <c r="E95" s="880"/>
      <c r="F95" s="256">
        <v>1</v>
      </c>
      <c r="G95" s="257">
        <v>2</v>
      </c>
      <c r="H95" s="881" t="s">
        <v>29</v>
      </c>
      <c r="I95" s="258" t="s">
        <v>595</v>
      </c>
      <c r="J95" s="259">
        <v>8</v>
      </c>
      <c r="K95" s="260">
        <v>25</v>
      </c>
      <c r="L95" s="260">
        <v>3</v>
      </c>
      <c r="M95" s="261">
        <v>1</v>
      </c>
      <c r="N95" s="261">
        <v>1</v>
      </c>
      <c r="O95" s="262">
        <v>1</v>
      </c>
      <c r="P95" s="263">
        <v>4</v>
      </c>
      <c r="Q95" s="264">
        <v>1</v>
      </c>
      <c r="R95" s="264">
        <v>1</v>
      </c>
      <c r="S95" s="265">
        <v>1</v>
      </c>
      <c r="T95" s="265">
        <v>1</v>
      </c>
      <c r="U95" s="266">
        <v>1</v>
      </c>
      <c r="V95" s="267">
        <v>1</v>
      </c>
      <c r="W95" s="258" t="s">
        <v>311</v>
      </c>
      <c r="X95" s="268"/>
      <c r="Y95" s="269"/>
      <c r="Z95" s="269"/>
      <c r="AA95" s="269"/>
      <c r="AB95" s="269"/>
      <c r="AC95" s="269"/>
      <c r="AD95" s="269"/>
      <c r="AE95" s="269"/>
      <c r="AF95" s="269"/>
      <c r="AG95" s="269"/>
      <c r="AH95" s="269"/>
      <c r="AI95" s="269"/>
      <c r="AJ95" s="269"/>
      <c r="AK95" s="269"/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70"/>
      <c r="BB95" s="271">
        <v>0</v>
      </c>
      <c r="BC95" s="272"/>
      <c r="BD95" s="273"/>
      <c r="BE95" s="273"/>
      <c r="BF95" s="273"/>
      <c r="BG95" s="273"/>
      <c r="BH95" s="273"/>
      <c r="BI95" s="274"/>
      <c r="BJ95" s="275"/>
      <c r="BK95" s="276"/>
      <c r="BL95" s="276"/>
      <c r="BM95" s="276"/>
      <c r="BN95" s="276"/>
      <c r="BO95" s="276"/>
      <c r="BP95" s="277"/>
      <c r="BQ95" s="399"/>
      <c r="BR95" s="400"/>
      <c r="BS95" s="401"/>
      <c r="BT95" s="278"/>
      <c r="BU95" s="352"/>
      <c r="BV95" s="279">
        <v>127</v>
      </c>
      <c r="BW95" s="353"/>
      <c r="BX95" s="934" t="s">
        <v>120</v>
      </c>
      <c r="BY95" s="552"/>
      <c r="BZ95" s="552"/>
      <c r="CA95" s="941" t="s">
        <v>120</v>
      </c>
      <c r="CB95" s="553"/>
      <c r="CC95" s="330"/>
      <c r="CD95" s="554"/>
      <c r="CE95" s="554"/>
      <c r="CF95" s="513"/>
      <c r="CG95" s="555"/>
      <c r="CH95" s="556"/>
      <c r="CI95" s="379" t="s">
        <v>509</v>
      </c>
      <c r="CJ95" s="380" t="s">
        <v>509</v>
      </c>
      <c r="CK95" s="381" t="s">
        <v>509</v>
      </c>
      <c r="CL95" s="370" t="s">
        <v>509</v>
      </c>
      <c r="CM95" s="371" t="s">
        <v>509</v>
      </c>
      <c r="CN95" s="372" t="s">
        <v>509</v>
      </c>
      <c r="CO95" s="70" t="s">
        <v>27</v>
      </c>
      <c r="CP95" s="97" t="s">
        <v>509</v>
      </c>
      <c r="CQ95" s="69" t="s">
        <v>509</v>
      </c>
      <c r="CR95" s="280" t="s">
        <v>510</v>
      </c>
      <c r="CS95" s="118">
        <v>1</v>
      </c>
      <c r="CT95" s="119">
        <v>0.7</v>
      </c>
      <c r="CU95" s="120"/>
      <c r="CV95" s="882">
        <v>0</v>
      </c>
      <c r="CW95" s="340"/>
      <c r="CX95" s="345"/>
      <c r="CY95" s="121"/>
      <c r="CZ95" s="122"/>
      <c r="DA95" s="104">
        <v>0.9</v>
      </c>
      <c r="DB95" s="123">
        <v>0.43588989435406728</v>
      </c>
      <c r="DC95" s="949" t="s">
        <v>120</v>
      </c>
      <c r="DD95" s="124"/>
      <c r="DE95" s="124"/>
      <c r="DF95" s="125"/>
      <c r="DG95" s="126"/>
      <c r="DH95" s="121"/>
      <c r="DI95" s="127"/>
      <c r="DJ95" s="120"/>
      <c r="DK95" s="122"/>
      <c r="DL95" s="106"/>
      <c r="DM95" s="107">
        <v>0</v>
      </c>
      <c r="DN95" s="948" t="s">
        <v>120</v>
      </c>
      <c r="DO95" s="128"/>
      <c r="DP95" s="129"/>
      <c r="DQ95" s="121"/>
      <c r="DR95" s="121"/>
      <c r="DS95" s="121"/>
      <c r="DT95" s="121"/>
      <c r="DU95" s="130"/>
      <c r="DV95" s="131"/>
      <c r="DW95" s="131"/>
      <c r="DX95" s="127"/>
      <c r="DY95" s="132"/>
      <c r="DZ95" s="132"/>
      <c r="EA95" s="132"/>
      <c r="EB95" s="132"/>
      <c r="EC95" s="133"/>
      <c r="ED95" s="134"/>
      <c r="EE95" s="135"/>
      <c r="EF95" s="136">
        <v>0</v>
      </c>
      <c r="EG95" s="393">
        <v>0</v>
      </c>
      <c r="EH95" s="536"/>
      <c r="EI95" s="544">
        <v>30</v>
      </c>
      <c r="EJ95" s="14"/>
      <c r="EK95" s="14"/>
      <c r="EL95" s="14"/>
      <c r="EM95" s="540"/>
      <c r="EN95" s="546"/>
      <c r="EO95" s="11"/>
      <c r="EP95" s="883" t="s">
        <v>79</v>
      </c>
      <c r="EQ95" s="883"/>
      <c r="ER95" s="254"/>
      <c r="ES95" s="254"/>
      <c r="FC95" s="3">
        <v>0</v>
      </c>
      <c r="FD95" s="254"/>
      <c r="FE95" s="254"/>
      <c r="FF95" s="884">
        <v>1</v>
      </c>
      <c r="FG95" s="254"/>
      <c r="FH95" s="884"/>
      <c r="FI95" s="254"/>
      <c r="FJ95" s="884"/>
      <c r="FK95" s="3">
        <v>0</v>
      </c>
    </row>
    <row r="96" spans="1:167" s="3" customFormat="1">
      <c r="A96" s="254"/>
      <c r="B96" s="255">
        <v>66</v>
      </c>
      <c r="C96" s="97"/>
      <c r="D96" s="97"/>
      <c r="E96" s="880"/>
      <c r="F96" s="256">
        <v>1</v>
      </c>
      <c r="G96" s="257">
        <v>2</v>
      </c>
      <c r="H96" s="881" t="s">
        <v>29</v>
      </c>
      <c r="I96" s="258" t="s">
        <v>595</v>
      </c>
      <c r="J96" s="259">
        <v>8</v>
      </c>
      <c r="K96" s="260">
        <v>25</v>
      </c>
      <c r="L96" s="260">
        <v>3</v>
      </c>
      <c r="M96" s="261">
        <v>1</v>
      </c>
      <c r="N96" s="261">
        <v>1</v>
      </c>
      <c r="O96" s="262">
        <v>1</v>
      </c>
      <c r="P96" s="263">
        <v>4</v>
      </c>
      <c r="Q96" s="264">
        <v>1</v>
      </c>
      <c r="R96" s="264">
        <v>1</v>
      </c>
      <c r="S96" s="265">
        <v>1</v>
      </c>
      <c r="T96" s="265">
        <v>1</v>
      </c>
      <c r="U96" s="266">
        <v>1</v>
      </c>
      <c r="V96" s="267">
        <v>1</v>
      </c>
      <c r="W96" s="258" t="s">
        <v>311</v>
      </c>
      <c r="X96" s="268"/>
      <c r="Y96" s="269"/>
      <c r="Z96" s="269"/>
      <c r="AA96" s="269"/>
      <c r="AB96" s="269"/>
      <c r="AC96" s="269"/>
      <c r="AD96" s="269"/>
      <c r="AE96" s="269"/>
      <c r="AF96" s="269"/>
      <c r="AG96" s="269"/>
      <c r="AH96" s="269"/>
      <c r="AI96" s="269"/>
      <c r="AJ96" s="269"/>
      <c r="AK96" s="269"/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70"/>
      <c r="BB96" s="271">
        <v>0</v>
      </c>
      <c r="BC96" s="272"/>
      <c r="BD96" s="273"/>
      <c r="BE96" s="273"/>
      <c r="BF96" s="273"/>
      <c r="BG96" s="273"/>
      <c r="BH96" s="273"/>
      <c r="BI96" s="274"/>
      <c r="BJ96" s="275"/>
      <c r="BK96" s="276"/>
      <c r="BL96" s="276"/>
      <c r="BM96" s="276"/>
      <c r="BN96" s="276"/>
      <c r="BO96" s="276"/>
      <c r="BP96" s="277"/>
      <c r="BQ96" s="399"/>
      <c r="BR96" s="400"/>
      <c r="BS96" s="401"/>
      <c r="BT96" s="278"/>
      <c r="BU96" s="352"/>
      <c r="BV96" s="279">
        <v>127</v>
      </c>
      <c r="BW96" s="353"/>
      <c r="BX96" s="934" t="s">
        <v>120</v>
      </c>
      <c r="BY96" s="552"/>
      <c r="BZ96" s="552"/>
      <c r="CA96" s="941" t="s">
        <v>120</v>
      </c>
      <c r="CB96" s="553"/>
      <c r="CC96" s="330"/>
      <c r="CD96" s="554"/>
      <c r="CE96" s="554"/>
      <c r="CF96" s="513"/>
      <c r="CG96" s="555"/>
      <c r="CH96" s="556"/>
      <c r="CI96" s="379" t="s">
        <v>509</v>
      </c>
      <c r="CJ96" s="380" t="s">
        <v>509</v>
      </c>
      <c r="CK96" s="381" t="s">
        <v>509</v>
      </c>
      <c r="CL96" s="370" t="s">
        <v>509</v>
      </c>
      <c r="CM96" s="371" t="s">
        <v>509</v>
      </c>
      <c r="CN96" s="372" t="s">
        <v>509</v>
      </c>
      <c r="CO96" s="70" t="s">
        <v>27</v>
      </c>
      <c r="CP96" s="97" t="s">
        <v>509</v>
      </c>
      <c r="CQ96" s="69" t="s">
        <v>509</v>
      </c>
      <c r="CR96" s="280" t="s">
        <v>510</v>
      </c>
      <c r="CS96" s="118">
        <v>1</v>
      </c>
      <c r="CT96" s="119">
        <v>0.7</v>
      </c>
      <c r="CU96" s="120"/>
      <c r="CV96" s="882">
        <v>0</v>
      </c>
      <c r="CW96" s="340"/>
      <c r="CX96" s="345"/>
      <c r="CY96" s="121"/>
      <c r="CZ96" s="122"/>
      <c r="DA96" s="104">
        <v>0.9</v>
      </c>
      <c r="DB96" s="123">
        <v>0.43588989435406728</v>
      </c>
      <c r="DC96" s="949" t="s">
        <v>120</v>
      </c>
      <c r="DD96" s="124"/>
      <c r="DE96" s="124"/>
      <c r="DF96" s="125"/>
      <c r="DG96" s="126"/>
      <c r="DH96" s="121"/>
      <c r="DI96" s="127"/>
      <c r="DJ96" s="120"/>
      <c r="DK96" s="122"/>
      <c r="DL96" s="106"/>
      <c r="DM96" s="107">
        <v>0</v>
      </c>
      <c r="DN96" s="948" t="s">
        <v>120</v>
      </c>
      <c r="DO96" s="128"/>
      <c r="DP96" s="129"/>
      <c r="DQ96" s="121"/>
      <c r="DR96" s="121"/>
      <c r="DS96" s="121"/>
      <c r="DT96" s="121"/>
      <c r="DU96" s="130"/>
      <c r="DV96" s="131"/>
      <c r="DW96" s="131"/>
      <c r="DX96" s="127"/>
      <c r="DY96" s="132"/>
      <c r="DZ96" s="132"/>
      <c r="EA96" s="132"/>
      <c r="EB96" s="132"/>
      <c r="EC96" s="133"/>
      <c r="ED96" s="134"/>
      <c r="EE96" s="135"/>
      <c r="EF96" s="136">
        <v>0</v>
      </c>
      <c r="EG96" s="393">
        <v>0</v>
      </c>
      <c r="EH96" s="536"/>
      <c r="EI96" s="544">
        <v>30</v>
      </c>
      <c r="EJ96" s="14"/>
      <c r="EK96" s="14"/>
      <c r="EL96" s="14"/>
      <c r="EM96" s="540"/>
      <c r="EN96" s="546"/>
      <c r="EO96" s="11"/>
      <c r="EP96" s="883" t="s">
        <v>79</v>
      </c>
      <c r="EQ96" s="883"/>
      <c r="ER96" s="254"/>
      <c r="ES96" s="254"/>
      <c r="FC96" s="3">
        <v>0</v>
      </c>
      <c r="FD96" s="254"/>
      <c r="FE96" s="254"/>
      <c r="FF96" s="884">
        <v>1</v>
      </c>
      <c r="FG96" s="254"/>
      <c r="FH96" s="884"/>
      <c r="FI96" s="254"/>
      <c r="FJ96" s="884"/>
      <c r="FK96" s="3">
        <v>0</v>
      </c>
    </row>
    <row r="97" spans="1:167" s="3" customFormat="1">
      <c r="A97" s="254"/>
      <c r="B97" s="255">
        <v>67</v>
      </c>
      <c r="C97" s="97"/>
      <c r="D97" s="97"/>
      <c r="E97" s="880"/>
      <c r="F97" s="256">
        <v>1</v>
      </c>
      <c r="G97" s="257">
        <v>2</v>
      </c>
      <c r="H97" s="881" t="s">
        <v>29</v>
      </c>
      <c r="I97" s="258" t="s">
        <v>595</v>
      </c>
      <c r="J97" s="259">
        <v>8</v>
      </c>
      <c r="K97" s="260">
        <v>25</v>
      </c>
      <c r="L97" s="260">
        <v>3</v>
      </c>
      <c r="M97" s="261">
        <v>1</v>
      </c>
      <c r="N97" s="261">
        <v>1</v>
      </c>
      <c r="O97" s="262">
        <v>1</v>
      </c>
      <c r="P97" s="263">
        <v>4</v>
      </c>
      <c r="Q97" s="264">
        <v>1</v>
      </c>
      <c r="R97" s="264">
        <v>1</v>
      </c>
      <c r="S97" s="265">
        <v>1</v>
      </c>
      <c r="T97" s="265">
        <v>1</v>
      </c>
      <c r="U97" s="266">
        <v>1</v>
      </c>
      <c r="V97" s="267">
        <v>1</v>
      </c>
      <c r="W97" s="258" t="s">
        <v>311</v>
      </c>
      <c r="X97" s="268"/>
      <c r="Y97" s="269"/>
      <c r="Z97" s="269"/>
      <c r="AA97" s="269"/>
      <c r="AB97" s="269"/>
      <c r="AC97" s="269"/>
      <c r="AD97" s="269"/>
      <c r="AE97" s="269"/>
      <c r="AF97" s="269"/>
      <c r="AG97" s="269"/>
      <c r="AH97" s="269"/>
      <c r="AI97" s="269"/>
      <c r="AJ97" s="269"/>
      <c r="AK97" s="269"/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70"/>
      <c r="BB97" s="271">
        <v>0</v>
      </c>
      <c r="BC97" s="272"/>
      <c r="BD97" s="273"/>
      <c r="BE97" s="273"/>
      <c r="BF97" s="273"/>
      <c r="BG97" s="273"/>
      <c r="BH97" s="273"/>
      <c r="BI97" s="274"/>
      <c r="BJ97" s="275"/>
      <c r="BK97" s="276"/>
      <c r="BL97" s="276"/>
      <c r="BM97" s="276"/>
      <c r="BN97" s="276"/>
      <c r="BO97" s="276"/>
      <c r="BP97" s="277"/>
      <c r="BQ97" s="399"/>
      <c r="BR97" s="400"/>
      <c r="BS97" s="401"/>
      <c r="BT97" s="278"/>
      <c r="BU97" s="352"/>
      <c r="BV97" s="279">
        <v>127</v>
      </c>
      <c r="BW97" s="353"/>
      <c r="BX97" s="934" t="s">
        <v>120</v>
      </c>
      <c r="BY97" s="552"/>
      <c r="BZ97" s="552"/>
      <c r="CA97" s="941" t="s">
        <v>120</v>
      </c>
      <c r="CB97" s="553"/>
      <c r="CC97" s="330"/>
      <c r="CD97" s="554"/>
      <c r="CE97" s="554"/>
      <c r="CF97" s="513"/>
      <c r="CG97" s="555"/>
      <c r="CH97" s="556"/>
      <c r="CI97" s="379" t="s">
        <v>509</v>
      </c>
      <c r="CJ97" s="380" t="s">
        <v>509</v>
      </c>
      <c r="CK97" s="381" t="s">
        <v>509</v>
      </c>
      <c r="CL97" s="370" t="s">
        <v>509</v>
      </c>
      <c r="CM97" s="371" t="s">
        <v>509</v>
      </c>
      <c r="CN97" s="372" t="s">
        <v>509</v>
      </c>
      <c r="CO97" s="70" t="s">
        <v>32</v>
      </c>
      <c r="CP97" s="97" t="s">
        <v>509</v>
      </c>
      <c r="CQ97" s="69" t="s">
        <v>509</v>
      </c>
      <c r="CR97" s="280" t="s">
        <v>510</v>
      </c>
      <c r="CS97" s="118">
        <v>1</v>
      </c>
      <c r="CT97" s="119">
        <v>0.7</v>
      </c>
      <c r="CU97" s="120"/>
      <c r="CV97" s="882">
        <v>0</v>
      </c>
      <c r="CW97" s="340"/>
      <c r="CX97" s="345"/>
      <c r="CY97" s="121"/>
      <c r="CZ97" s="122"/>
      <c r="DA97" s="104">
        <v>0.9</v>
      </c>
      <c r="DB97" s="123">
        <v>0.43588989435406728</v>
      </c>
      <c r="DC97" s="949" t="s">
        <v>120</v>
      </c>
      <c r="DD97" s="124"/>
      <c r="DE97" s="124"/>
      <c r="DF97" s="125"/>
      <c r="DG97" s="126"/>
      <c r="DH97" s="121"/>
      <c r="DI97" s="127"/>
      <c r="DJ97" s="120"/>
      <c r="DK97" s="122"/>
      <c r="DL97" s="106"/>
      <c r="DM97" s="107">
        <v>0</v>
      </c>
      <c r="DN97" s="948" t="s">
        <v>120</v>
      </c>
      <c r="DO97" s="128"/>
      <c r="DP97" s="129"/>
      <c r="DQ97" s="121"/>
      <c r="DR97" s="121"/>
      <c r="DS97" s="121"/>
      <c r="DT97" s="121"/>
      <c r="DU97" s="130"/>
      <c r="DV97" s="131"/>
      <c r="DW97" s="131"/>
      <c r="DX97" s="127"/>
      <c r="DY97" s="132"/>
      <c r="DZ97" s="132"/>
      <c r="EA97" s="132"/>
      <c r="EB97" s="132"/>
      <c r="EC97" s="133"/>
      <c r="ED97" s="134"/>
      <c r="EE97" s="135"/>
      <c r="EF97" s="136">
        <v>0</v>
      </c>
      <c r="EG97" s="393">
        <v>0</v>
      </c>
      <c r="EH97" s="536"/>
      <c r="EI97" s="544">
        <v>30</v>
      </c>
      <c r="EJ97" s="14"/>
      <c r="EK97" s="14"/>
      <c r="EL97" s="14"/>
      <c r="EM97" s="540"/>
      <c r="EN97" s="546"/>
      <c r="EO97" s="11"/>
      <c r="EP97" s="883" t="s">
        <v>79</v>
      </c>
      <c r="EQ97" s="883"/>
      <c r="ER97" s="254"/>
      <c r="ES97" s="254"/>
      <c r="FC97" s="3">
        <v>0</v>
      </c>
      <c r="FD97" s="254"/>
      <c r="FE97" s="254"/>
      <c r="FF97" s="884">
        <v>1</v>
      </c>
      <c r="FG97" s="254"/>
      <c r="FH97" s="884"/>
      <c r="FI97" s="254"/>
      <c r="FJ97" s="884"/>
      <c r="FK97" s="3">
        <v>0</v>
      </c>
    </row>
    <row r="98" spans="1:167" s="3" customFormat="1">
      <c r="A98" s="254"/>
      <c r="B98" s="255">
        <v>68</v>
      </c>
      <c r="C98" s="97"/>
      <c r="D98" s="97"/>
      <c r="E98" s="880"/>
      <c r="F98" s="256">
        <v>1</v>
      </c>
      <c r="G98" s="257">
        <v>2</v>
      </c>
      <c r="H98" s="881" t="s">
        <v>29</v>
      </c>
      <c r="I98" s="258" t="s">
        <v>595</v>
      </c>
      <c r="J98" s="259">
        <v>8</v>
      </c>
      <c r="K98" s="260">
        <v>25</v>
      </c>
      <c r="L98" s="260">
        <v>3</v>
      </c>
      <c r="M98" s="261">
        <v>1</v>
      </c>
      <c r="N98" s="261">
        <v>1</v>
      </c>
      <c r="O98" s="262">
        <v>1</v>
      </c>
      <c r="P98" s="263">
        <v>4</v>
      </c>
      <c r="Q98" s="264">
        <v>1</v>
      </c>
      <c r="R98" s="264">
        <v>1</v>
      </c>
      <c r="S98" s="265">
        <v>1</v>
      </c>
      <c r="T98" s="265">
        <v>1</v>
      </c>
      <c r="U98" s="266">
        <v>1</v>
      </c>
      <c r="V98" s="267">
        <v>1</v>
      </c>
      <c r="W98" s="258" t="s">
        <v>311</v>
      </c>
      <c r="X98" s="268"/>
      <c r="Y98" s="269"/>
      <c r="Z98" s="269"/>
      <c r="AA98" s="269"/>
      <c r="AB98" s="269"/>
      <c r="AC98" s="269"/>
      <c r="AD98" s="269"/>
      <c r="AE98" s="269"/>
      <c r="AF98" s="269"/>
      <c r="AG98" s="269"/>
      <c r="AH98" s="269"/>
      <c r="AI98" s="269"/>
      <c r="AJ98" s="269"/>
      <c r="AK98" s="269"/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70"/>
      <c r="BB98" s="271">
        <v>0</v>
      </c>
      <c r="BC98" s="272"/>
      <c r="BD98" s="273"/>
      <c r="BE98" s="273"/>
      <c r="BF98" s="273"/>
      <c r="BG98" s="273"/>
      <c r="BH98" s="273"/>
      <c r="BI98" s="274"/>
      <c r="BJ98" s="275"/>
      <c r="BK98" s="276"/>
      <c r="BL98" s="276"/>
      <c r="BM98" s="276"/>
      <c r="BN98" s="276"/>
      <c r="BO98" s="276"/>
      <c r="BP98" s="277"/>
      <c r="BQ98" s="399"/>
      <c r="BR98" s="400"/>
      <c r="BS98" s="401"/>
      <c r="BT98" s="278"/>
      <c r="BU98" s="352"/>
      <c r="BV98" s="279">
        <v>127</v>
      </c>
      <c r="BW98" s="353"/>
      <c r="BX98" s="934" t="s">
        <v>120</v>
      </c>
      <c r="BY98" s="552"/>
      <c r="BZ98" s="552"/>
      <c r="CA98" s="941" t="s">
        <v>120</v>
      </c>
      <c r="CB98" s="553"/>
      <c r="CC98" s="330"/>
      <c r="CD98" s="554"/>
      <c r="CE98" s="554"/>
      <c r="CF98" s="513"/>
      <c r="CG98" s="555"/>
      <c r="CH98" s="556"/>
      <c r="CI98" s="379" t="s">
        <v>509</v>
      </c>
      <c r="CJ98" s="380" t="s">
        <v>509</v>
      </c>
      <c r="CK98" s="381" t="s">
        <v>509</v>
      </c>
      <c r="CL98" s="370" t="s">
        <v>509</v>
      </c>
      <c r="CM98" s="371" t="s">
        <v>509</v>
      </c>
      <c r="CN98" s="372" t="s">
        <v>509</v>
      </c>
      <c r="CO98" s="70" t="s">
        <v>32</v>
      </c>
      <c r="CP98" s="97" t="s">
        <v>509</v>
      </c>
      <c r="CQ98" s="69" t="s">
        <v>509</v>
      </c>
      <c r="CR98" s="280" t="s">
        <v>510</v>
      </c>
      <c r="CS98" s="118">
        <v>1</v>
      </c>
      <c r="CT98" s="119">
        <v>0.7</v>
      </c>
      <c r="CU98" s="120"/>
      <c r="CV98" s="882">
        <v>0</v>
      </c>
      <c r="CW98" s="340"/>
      <c r="CX98" s="345"/>
      <c r="CY98" s="121"/>
      <c r="CZ98" s="122"/>
      <c r="DA98" s="104">
        <v>0.9</v>
      </c>
      <c r="DB98" s="123">
        <v>0.43588989435406728</v>
      </c>
      <c r="DC98" s="949" t="s">
        <v>120</v>
      </c>
      <c r="DD98" s="124"/>
      <c r="DE98" s="124"/>
      <c r="DF98" s="125"/>
      <c r="DG98" s="126"/>
      <c r="DH98" s="121"/>
      <c r="DI98" s="127"/>
      <c r="DJ98" s="120"/>
      <c r="DK98" s="122"/>
      <c r="DL98" s="106"/>
      <c r="DM98" s="107">
        <v>0</v>
      </c>
      <c r="DN98" s="948" t="s">
        <v>120</v>
      </c>
      <c r="DO98" s="128"/>
      <c r="DP98" s="129"/>
      <c r="DQ98" s="121"/>
      <c r="DR98" s="121"/>
      <c r="DS98" s="121"/>
      <c r="DT98" s="121"/>
      <c r="DU98" s="130"/>
      <c r="DV98" s="131"/>
      <c r="DW98" s="131"/>
      <c r="DX98" s="127"/>
      <c r="DY98" s="132"/>
      <c r="DZ98" s="132"/>
      <c r="EA98" s="132"/>
      <c r="EB98" s="132"/>
      <c r="EC98" s="133"/>
      <c r="ED98" s="134"/>
      <c r="EE98" s="135"/>
      <c r="EF98" s="136">
        <v>0</v>
      </c>
      <c r="EG98" s="393">
        <v>0</v>
      </c>
      <c r="EH98" s="536"/>
      <c r="EI98" s="544">
        <v>30</v>
      </c>
      <c r="EJ98" s="14"/>
      <c r="EK98" s="14"/>
      <c r="EL98" s="14"/>
      <c r="EM98" s="540"/>
      <c r="EN98" s="546"/>
      <c r="EO98" s="11"/>
      <c r="EP98" s="883" t="s">
        <v>79</v>
      </c>
      <c r="EQ98" s="883"/>
      <c r="ER98" s="254"/>
      <c r="ES98" s="254"/>
      <c r="FC98" s="3">
        <v>0</v>
      </c>
      <c r="FD98" s="254"/>
      <c r="FE98" s="254"/>
      <c r="FF98" s="884">
        <v>1</v>
      </c>
      <c r="FG98" s="254"/>
      <c r="FH98" s="884"/>
      <c r="FI98" s="254"/>
      <c r="FJ98" s="884"/>
      <c r="FK98" s="3">
        <v>0</v>
      </c>
    </row>
    <row r="99" spans="1:167" s="3" customFormat="1">
      <c r="A99" s="254"/>
      <c r="B99" s="255">
        <v>69</v>
      </c>
      <c r="C99" s="97"/>
      <c r="D99" s="97"/>
      <c r="E99" s="880"/>
      <c r="F99" s="256">
        <v>1</v>
      </c>
      <c r="G99" s="257">
        <v>2</v>
      </c>
      <c r="H99" s="881" t="s">
        <v>29</v>
      </c>
      <c r="I99" s="258" t="s">
        <v>595</v>
      </c>
      <c r="J99" s="259">
        <v>8</v>
      </c>
      <c r="K99" s="260">
        <v>25</v>
      </c>
      <c r="L99" s="260">
        <v>3</v>
      </c>
      <c r="M99" s="261">
        <v>1</v>
      </c>
      <c r="N99" s="261">
        <v>1</v>
      </c>
      <c r="O99" s="262">
        <v>1</v>
      </c>
      <c r="P99" s="263">
        <v>4</v>
      </c>
      <c r="Q99" s="264">
        <v>1</v>
      </c>
      <c r="R99" s="264">
        <v>1</v>
      </c>
      <c r="S99" s="265">
        <v>1</v>
      </c>
      <c r="T99" s="265">
        <v>1</v>
      </c>
      <c r="U99" s="266">
        <v>1</v>
      </c>
      <c r="V99" s="267">
        <v>1</v>
      </c>
      <c r="W99" s="258" t="s">
        <v>311</v>
      </c>
      <c r="X99" s="268"/>
      <c r="Y99" s="269"/>
      <c r="Z99" s="269"/>
      <c r="AA99" s="269"/>
      <c r="AB99" s="269"/>
      <c r="AC99" s="269"/>
      <c r="AD99" s="269"/>
      <c r="AE99" s="269"/>
      <c r="AF99" s="269"/>
      <c r="AG99" s="269"/>
      <c r="AH99" s="269"/>
      <c r="AI99" s="269"/>
      <c r="AJ99" s="269"/>
      <c r="AK99" s="269"/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70"/>
      <c r="BB99" s="271">
        <v>0</v>
      </c>
      <c r="BC99" s="272"/>
      <c r="BD99" s="273"/>
      <c r="BE99" s="273"/>
      <c r="BF99" s="273"/>
      <c r="BG99" s="273"/>
      <c r="BH99" s="273"/>
      <c r="BI99" s="274"/>
      <c r="BJ99" s="275"/>
      <c r="BK99" s="276"/>
      <c r="BL99" s="276"/>
      <c r="BM99" s="276"/>
      <c r="BN99" s="276"/>
      <c r="BO99" s="276"/>
      <c r="BP99" s="277"/>
      <c r="BQ99" s="399"/>
      <c r="BR99" s="400"/>
      <c r="BS99" s="401"/>
      <c r="BT99" s="278"/>
      <c r="BU99" s="352"/>
      <c r="BV99" s="279">
        <v>127</v>
      </c>
      <c r="BW99" s="353"/>
      <c r="BX99" s="934" t="s">
        <v>120</v>
      </c>
      <c r="BY99" s="552"/>
      <c r="BZ99" s="552"/>
      <c r="CA99" s="941" t="s">
        <v>120</v>
      </c>
      <c r="CB99" s="553"/>
      <c r="CC99" s="330"/>
      <c r="CD99" s="554"/>
      <c r="CE99" s="554"/>
      <c r="CF99" s="513"/>
      <c r="CG99" s="555"/>
      <c r="CH99" s="556"/>
      <c r="CI99" s="379" t="s">
        <v>509</v>
      </c>
      <c r="CJ99" s="380" t="s">
        <v>509</v>
      </c>
      <c r="CK99" s="381" t="s">
        <v>509</v>
      </c>
      <c r="CL99" s="370" t="s">
        <v>509</v>
      </c>
      <c r="CM99" s="371" t="s">
        <v>509</v>
      </c>
      <c r="CN99" s="372" t="s">
        <v>509</v>
      </c>
      <c r="CO99" s="70" t="s">
        <v>26</v>
      </c>
      <c r="CP99" s="97" t="s">
        <v>509</v>
      </c>
      <c r="CQ99" s="69" t="s">
        <v>509</v>
      </c>
      <c r="CR99" s="280" t="s">
        <v>510</v>
      </c>
      <c r="CS99" s="118">
        <v>1</v>
      </c>
      <c r="CT99" s="119">
        <v>0.7</v>
      </c>
      <c r="CU99" s="120"/>
      <c r="CV99" s="882">
        <v>0</v>
      </c>
      <c r="CW99" s="340"/>
      <c r="CX99" s="345"/>
      <c r="CY99" s="121"/>
      <c r="CZ99" s="122"/>
      <c r="DA99" s="104">
        <v>0.9</v>
      </c>
      <c r="DB99" s="123">
        <v>0.43588989435406728</v>
      </c>
      <c r="DC99" s="949" t="s">
        <v>120</v>
      </c>
      <c r="DD99" s="124"/>
      <c r="DE99" s="124"/>
      <c r="DF99" s="125"/>
      <c r="DG99" s="126"/>
      <c r="DH99" s="121"/>
      <c r="DI99" s="127"/>
      <c r="DJ99" s="120"/>
      <c r="DK99" s="122"/>
      <c r="DL99" s="106"/>
      <c r="DM99" s="107">
        <v>0</v>
      </c>
      <c r="DN99" s="948" t="s">
        <v>120</v>
      </c>
      <c r="DO99" s="128"/>
      <c r="DP99" s="129"/>
      <c r="DQ99" s="121"/>
      <c r="DR99" s="121"/>
      <c r="DS99" s="121"/>
      <c r="DT99" s="121"/>
      <c r="DU99" s="130"/>
      <c r="DV99" s="131"/>
      <c r="DW99" s="131"/>
      <c r="DX99" s="127"/>
      <c r="DY99" s="132"/>
      <c r="DZ99" s="132"/>
      <c r="EA99" s="132"/>
      <c r="EB99" s="132"/>
      <c r="EC99" s="133"/>
      <c r="ED99" s="134"/>
      <c r="EE99" s="135"/>
      <c r="EF99" s="136">
        <v>0</v>
      </c>
      <c r="EG99" s="393">
        <v>0</v>
      </c>
      <c r="EH99" s="536"/>
      <c r="EI99" s="544">
        <v>30</v>
      </c>
      <c r="EJ99" s="14"/>
      <c r="EK99" s="14"/>
      <c r="EL99" s="14"/>
      <c r="EM99" s="540"/>
      <c r="EN99" s="546"/>
      <c r="EO99" s="11"/>
      <c r="EP99" s="883" t="s">
        <v>79</v>
      </c>
      <c r="EQ99" s="883"/>
      <c r="ER99" s="254"/>
      <c r="ES99" s="254"/>
      <c r="FC99" s="3">
        <v>0</v>
      </c>
      <c r="FD99" s="254"/>
      <c r="FE99" s="254"/>
      <c r="FF99" s="884">
        <v>1</v>
      </c>
      <c r="FG99" s="254"/>
      <c r="FH99" s="884"/>
      <c r="FI99" s="254"/>
      <c r="FJ99" s="884"/>
      <c r="FK99" s="3">
        <v>0</v>
      </c>
    </row>
    <row r="100" spans="1:167" s="3" customFormat="1">
      <c r="A100" s="254"/>
      <c r="B100" s="255">
        <v>70</v>
      </c>
      <c r="C100" s="97"/>
      <c r="D100" s="97"/>
      <c r="E100" s="880"/>
      <c r="F100" s="256">
        <v>1</v>
      </c>
      <c r="G100" s="257">
        <v>2</v>
      </c>
      <c r="H100" s="257" t="s">
        <v>29</v>
      </c>
      <c r="I100" s="258" t="s">
        <v>595</v>
      </c>
      <c r="J100" s="259">
        <v>8</v>
      </c>
      <c r="K100" s="260">
        <v>25</v>
      </c>
      <c r="L100" s="260">
        <v>3</v>
      </c>
      <c r="M100" s="261">
        <v>1</v>
      </c>
      <c r="N100" s="261">
        <v>1</v>
      </c>
      <c r="O100" s="262">
        <v>1</v>
      </c>
      <c r="P100" s="263">
        <v>4</v>
      </c>
      <c r="Q100" s="264">
        <v>1</v>
      </c>
      <c r="R100" s="264">
        <v>1</v>
      </c>
      <c r="S100" s="265">
        <v>1</v>
      </c>
      <c r="T100" s="265">
        <v>1</v>
      </c>
      <c r="U100" s="266">
        <v>1</v>
      </c>
      <c r="V100" s="267">
        <v>1</v>
      </c>
      <c r="W100" s="258" t="s">
        <v>311</v>
      </c>
      <c r="X100" s="268"/>
      <c r="Y100" s="269"/>
      <c r="Z100" s="269"/>
      <c r="AA100" s="269"/>
      <c r="AB100" s="269"/>
      <c r="AC100" s="269"/>
      <c r="AD100" s="269"/>
      <c r="AE100" s="269"/>
      <c r="AF100" s="269"/>
      <c r="AG100" s="269"/>
      <c r="AH100" s="269"/>
      <c r="AI100" s="269"/>
      <c r="AJ100" s="269"/>
      <c r="AK100" s="269"/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70"/>
      <c r="BB100" s="271">
        <v>0</v>
      </c>
      <c r="BC100" s="272"/>
      <c r="BD100" s="273"/>
      <c r="BE100" s="273"/>
      <c r="BF100" s="273"/>
      <c r="BG100" s="273"/>
      <c r="BH100" s="273"/>
      <c r="BI100" s="274"/>
      <c r="BJ100" s="275"/>
      <c r="BK100" s="276"/>
      <c r="BL100" s="276"/>
      <c r="BM100" s="276"/>
      <c r="BN100" s="276"/>
      <c r="BO100" s="276"/>
      <c r="BP100" s="277"/>
      <c r="BQ100" s="399"/>
      <c r="BR100" s="400"/>
      <c r="BS100" s="401"/>
      <c r="BT100" s="278"/>
      <c r="BU100" s="352"/>
      <c r="BV100" s="279">
        <v>127</v>
      </c>
      <c r="BW100" s="353"/>
      <c r="BX100" s="934" t="s">
        <v>120</v>
      </c>
      <c r="BY100" s="552"/>
      <c r="BZ100" s="552"/>
      <c r="CA100" s="941" t="s">
        <v>120</v>
      </c>
      <c r="CB100" s="553"/>
      <c r="CC100" s="330"/>
      <c r="CD100" s="554"/>
      <c r="CE100" s="554"/>
      <c r="CF100" s="513"/>
      <c r="CG100" s="555"/>
      <c r="CH100" s="556"/>
      <c r="CI100" s="379" t="s">
        <v>509</v>
      </c>
      <c r="CJ100" s="380" t="s">
        <v>509</v>
      </c>
      <c r="CK100" s="381" t="s">
        <v>509</v>
      </c>
      <c r="CL100" s="370" t="s">
        <v>509</v>
      </c>
      <c r="CM100" s="371" t="s">
        <v>509</v>
      </c>
      <c r="CN100" s="372" t="s">
        <v>509</v>
      </c>
      <c r="CO100" s="70" t="s">
        <v>26</v>
      </c>
      <c r="CP100" s="97" t="s">
        <v>509</v>
      </c>
      <c r="CQ100" s="69" t="s">
        <v>509</v>
      </c>
      <c r="CR100" s="280" t="s">
        <v>510</v>
      </c>
      <c r="CS100" s="118">
        <v>1</v>
      </c>
      <c r="CT100" s="119">
        <v>0.7</v>
      </c>
      <c r="CU100" s="120"/>
      <c r="CV100" s="882">
        <v>0</v>
      </c>
      <c r="CW100" s="340"/>
      <c r="CX100" s="345"/>
      <c r="CY100" s="121"/>
      <c r="CZ100" s="122"/>
      <c r="DA100" s="104">
        <v>0.9</v>
      </c>
      <c r="DB100" s="123">
        <v>0.43588989435406728</v>
      </c>
      <c r="DC100" s="949" t="s">
        <v>120</v>
      </c>
      <c r="DD100" s="124"/>
      <c r="DE100" s="124"/>
      <c r="DF100" s="125"/>
      <c r="DG100" s="126"/>
      <c r="DH100" s="121"/>
      <c r="DI100" s="127"/>
      <c r="DJ100" s="120"/>
      <c r="DK100" s="122"/>
      <c r="DL100" s="106"/>
      <c r="DM100" s="107">
        <v>0</v>
      </c>
      <c r="DN100" s="948" t="s">
        <v>120</v>
      </c>
      <c r="DO100" s="128"/>
      <c r="DP100" s="129"/>
      <c r="DQ100" s="121"/>
      <c r="DR100" s="121"/>
      <c r="DS100" s="121"/>
      <c r="DT100" s="121"/>
      <c r="DU100" s="130"/>
      <c r="DV100" s="131"/>
      <c r="DW100" s="131"/>
      <c r="DX100" s="127"/>
      <c r="DY100" s="132"/>
      <c r="DZ100" s="132"/>
      <c r="EA100" s="132"/>
      <c r="EB100" s="132"/>
      <c r="EC100" s="133"/>
      <c r="ED100" s="134"/>
      <c r="EE100" s="135"/>
      <c r="EF100" s="136">
        <v>0</v>
      </c>
      <c r="EG100" s="393">
        <v>0</v>
      </c>
      <c r="EH100" s="536"/>
      <c r="EI100" s="544">
        <v>30</v>
      </c>
      <c r="EJ100" s="14"/>
      <c r="EK100" s="14"/>
      <c r="EL100" s="14"/>
      <c r="EM100" s="540"/>
      <c r="EN100" s="546"/>
      <c r="EO100" s="11"/>
      <c r="EP100" s="883" t="s">
        <v>79</v>
      </c>
      <c r="EQ100" s="883"/>
      <c r="ER100" s="254"/>
      <c r="ES100" s="254"/>
      <c r="FC100" s="3">
        <v>0</v>
      </c>
      <c r="FD100" s="254"/>
      <c r="FE100" s="254"/>
      <c r="FF100" s="884">
        <v>1</v>
      </c>
      <c r="FG100" s="254"/>
      <c r="FH100" s="884"/>
      <c r="FI100" s="254"/>
      <c r="FJ100" s="884"/>
      <c r="FK100" s="3">
        <v>0</v>
      </c>
    </row>
    <row r="101" spans="1:167" s="3" customFormat="1">
      <c r="A101" s="254"/>
      <c r="B101" s="255">
        <v>71</v>
      </c>
      <c r="C101" s="97"/>
      <c r="D101" s="97"/>
      <c r="E101" s="880"/>
      <c r="F101" s="256">
        <v>1</v>
      </c>
      <c r="G101" s="257">
        <v>2</v>
      </c>
      <c r="H101" s="257" t="s">
        <v>29</v>
      </c>
      <c r="I101" s="258" t="s">
        <v>595</v>
      </c>
      <c r="J101" s="259">
        <v>8</v>
      </c>
      <c r="K101" s="260">
        <v>25</v>
      </c>
      <c r="L101" s="260">
        <v>3</v>
      </c>
      <c r="M101" s="261">
        <v>1</v>
      </c>
      <c r="N101" s="261">
        <v>1</v>
      </c>
      <c r="O101" s="262">
        <v>1</v>
      </c>
      <c r="P101" s="263">
        <v>4</v>
      </c>
      <c r="Q101" s="264">
        <v>1</v>
      </c>
      <c r="R101" s="264">
        <v>1</v>
      </c>
      <c r="S101" s="265">
        <v>1</v>
      </c>
      <c r="T101" s="265">
        <v>1</v>
      </c>
      <c r="U101" s="266">
        <v>1</v>
      </c>
      <c r="V101" s="267">
        <v>1</v>
      </c>
      <c r="W101" s="258" t="s">
        <v>311</v>
      </c>
      <c r="X101" s="268"/>
      <c r="Y101" s="269"/>
      <c r="Z101" s="269"/>
      <c r="AA101" s="269"/>
      <c r="AB101" s="269"/>
      <c r="AC101" s="269"/>
      <c r="AD101" s="269"/>
      <c r="AE101" s="269"/>
      <c r="AF101" s="269"/>
      <c r="AG101" s="269"/>
      <c r="AH101" s="269"/>
      <c r="AI101" s="269"/>
      <c r="AJ101" s="269"/>
      <c r="AK101" s="269"/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70"/>
      <c r="BB101" s="271">
        <v>0</v>
      </c>
      <c r="BC101" s="272"/>
      <c r="BD101" s="273"/>
      <c r="BE101" s="273"/>
      <c r="BF101" s="273"/>
      <c r="BG101" s="273"/>
      <c r="BH101" s="273"/>
      <c r="BI101" s="274"/>
      <c r="BJ101" s="275"/>
      <c r="BK101" s="276"/>
      <c r="BL101" s="276"/>
      <c r="BM101" s="276"/>
      <c r="BN101" s="276"/>
      <c r="BO101" s="276"/>
      <c r="BP101" s="277"/>
      <c r="BQ101" s="399"/>
      <c r="BR101" s="400"/>
      <c r="BS101" s="401"/>
      <c r="BT101" s="278"/>
      <c r="BU101" s="352"/>
      <c r="BV101" s="279">
        <v>127</v>
      </c>
      <c r="BW101" s="353"/>
      <c r="BX101" s="934" t="s">
        <v>120</v>
      </c>
      <c r="BY101" s="552"/>
      <c r="BZ101" s="552"/>
      <c r="CA101" s="941" t="s">
        <v>120</v>
      </c>
      <c r="CB101" s="553"/>
      <c r="CC101" s="330"/>
      <c r="CD101" s="554"/>
      <c r="CE101" s="554"/>
      <c r="CF101" s="513"/>
      <c r="CG101" s="555"/>
      <c r="CH101" s="556"/>
      <c r="CI101" s="379" t="s">
        <v>509</v>
      </c>
      <c r="CJ101" s="380" t="s">
        <v>509</v>
      </c>
      <c r="CK101" s="381" t="s">
        <v>509</v>
      </c>
      <c r="CL101" s="370" t="s">
        <v>509</v>
      </c>
      <c r="CM101" s="371" t="s">
        <v>509</v>
      </c>
      <c r="CN101" s="372" t="s">
        <v>509</v>
      </c>
      <c r="CO101" s="70" t="s">
        <v>27</v>
      </c>
      <c r="CP101" s="97" t="s">
        <v>509</v>
      </c>
      <c r="CQ101" s="69" t="s">
        <v>509</v>
      </c>
      <c r="CR101" s="280" t="s">
        <v>510</v>
      </c>
      <c r="CS101" s="118">
        <v>1</v>
      </c>
      <c r="CT101" s="119">
        <v>0.7</v>
      </c>
      <c r="CU101" s="120"/>
      <c r="CV101" s="882">
        <v>0</v>
      </c>
      <c r="CW101" s="340"/>
      <c r="CX101" s="345"/>
      <c r="CY101" s="121"/>
      <c r="CZ101" s="122"/>
      <c r="DA101" s="104">
        <v>0.9</v>
      </c>
      <c r="DB101" s="123">
        <v>0.43588989435406728</v>
      </c>
      <c r="DC101" s="949" t="s">
        <v>120</v>
      </c>
      <c r="DD101" s="124"/>
      <c r="DE101" s="124"/>
      <c r="DF101" s="125"/>
      <c r="DG101" s="126"/>
      <c r="DH101" s="121"/>
      <c r="DI101" s="127"/>
      <c r="DJ101" s="120"/>
      <c r="DK101" s="122"/>
      <c r="DL101" s="106"/>
      <c r="DM101" s="107">
        <v>0</v>
      </c>
      <c r="DN101" s="948" t="s">
        <v>120</v>
      </c>
      <c r="DO101" s="128"/>
      <c r="DP101" s="129"/>
      <c r="DQ101" s="121"/>
      <c r="DR101" s="121"/>
      <c r="DS101" s="121"/>
      <c r="DT101" s="121"/>
      <c r="DU101" s="130"/>
      <c r="DV101" s="131"/>
      <c r="DW101" s="131"/>
      <c r="DX101" s="127"/>
      <c r="DY101" s="132"/>
      <c r="DZ101" s="132"/>
      <c r="EA101" s="132"/>
      <c r="EB101" s="132"/>
      <c r="EC101" s="133"/>
      <c r="ED101" s="134"/>
      <c r="EE101" s="135"/>
      <c r="EF101" s="136">
        <v>0</v>
      </c>
      <c r="EG101" s="393">
        <v>0</v>
      </c>
      <c r="EH101" s="536"/>
      <c r="EI101" s="544">
        <v>30</v>
      </c>
      <c r="EJ101" s="14"/>
      <c r="EK101" s="14"/>
      <c r="EL101" s="14"/>
      <c r="EM101" s="540"/>
      <c r="EN101" s="546"/>
      <c r="EO101" s="11"/>
      <c r="EP101" s="883" t="s">
        <v>79</v>
      </c>
      <c r="EQ101" s="883"/>
      <c r="ER101" s="254"/>
      <c r="ES101" s="254"/>
      <c r="FC101" s="3">
        <v>0</v>
      </c>
      <c r="FD101" s="254"/>
      <c r="FE101" s="254"/>
      <c r="FF101" s="884">
        <v>1</v>
      </c>
      <c r="FG101" s="254"/>
      <c r="FH101" s="884"/>
      <c r="FI101" s="254"/>
      <c r="FJ101" s="884"/>
      <c r="FK101" s="3">
        <v>0</v>
      </c>
    </row>
    <row r="102" spans="1:167" s="3" customFormat="1">
      <c r="A102" s="254"/>
      <c r="B102" s="255">
        <v>72</v>
      </c>
      <c r="C102" s="97"/>
      <c r="D102" s="97"/>
      <c r="E102" s="880"/>
      <c r="F102" s="256">
        <v>1</v>
      </c>
      <c r="G102" s="257">
        <v>2</v>
      </c>
      <c r="H102" s="257" t="s">
        <v>29</v>
      </c>
      <c r="I102" s="258" t="s">
        <v>595</v>
      </c>
      <c r="J102" s="259">
        <v>8</v>
      </c>
      <c r="K102" s="260">
        <v>25</v>
      </c>
      <c r="L102" s="260">
        <v>3</v>
      </c>
      <c r="M102" s="261">
        <v>1</v>
      </c>
      <c r="N102" s="261">
        <v>1</v>
      </c>
      <c r="O102" s="262">
        <v>1</v>
      </c>
      <c r="P102" s="263">
        <v>4</v>
      </c>
      <c r="Q102" s="264">
        <v>1</v>
      </c>
      <c r="R102" s="264">
        <v>1</v>
      </c>
      <c r="S102" s="265">
        <v>1</v>
      </c>
      <c r="T102" s="265">
        <v>1</v>
      </c>
      <c r="U102" s="266">
        <v>1</v>
      </c>
      <c r="V102" s="267">
        <v>1</v>
      </c>
      <c r="W102" s="258" t="s">
        <v>311</v>
      </c>
      <c r="X102" s="268"/>
      <c r="Y102" s="269"/>
      <c r="Z102" s="269"/>
      <c r="AA102" s="269"/>
      <c r="AB102" s="269"/>
      <c r="AC102" s="269"/>
      <c r="AD102" s="269"/>
      <c r="AE102" s="269"/>
      <c r="AF102" s="269"/>
      <c r="AG102" s="269"/>
      <c r="AH102" s="269"/>
      <c r="AI102" s="269"/>
      <c r="AJ102" s="269"/>
      <c r="AK102" s="269"/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70"/>
      <c r="BB102" s="271">
        <v>0</v>
      </c>
      <c r="BC102" s="272"/>
      <c r="BD102" s="273"/>
      <c r="BE102" s="273"/>
      <c r="BF102" s="273"/>
      <c r="BG102" s="273"/>
      <c r="BH102" s="273"/>
      <c r="BI102" s="274"/>
      <c r="BJ102" s="275"/>
      <c r="BK102" s="276"/>
      <c r="BL102" s="276"/>
      <c r="BM102" s="276"/>
      <c r="BN102" s="276"/>
      <c r="BO102" s="276"/>
      <c r="BP102" s="277"/>
      <c r="BQ102" s="399"/>
      <c r="BR102" s="400"/>
      <c r="BS102" s="401"/>
      <c r="BT102" s="278"/>
      <c r="BU102" s="352"/>
      <c r="BV102" s="279">
        <v>127</v>
      </c>
      <c r="BW102" s="353"/>
      <c r="BX102" s="934" t="s">
        <v>120</v>
      </c>
      <c r="BY102" s="552"/>
      <c r="BZ102" s="552"/>
      <c r="CA102" s="941" t="s">
        <v>120</v>
      </c>
      <c r="CB102" s="553"/>
      <c r="CC102" s="330"/>
      <c r="CD102" s="554"/>
      <c r="CE102" s="554"/>
      <c r="CF102" s="513"/>
      <c r="CG102" s="555"/>
      <c r="CH102" s="556"/>
      <c r="CI102" s="379" t="s">
        <v>509</v>
      </c>
      <c r="CJ102" s="380" t="s">
        <v>509</v>
      </c>
      <c r="CK102" s="381" t="s">
        <v>509</v>
      </c>
      <c r="CL102" s="370" t="s">
        <v>509</v>
      </c>
      <c r="CM102" s="371" t="s">
        <v>509</v>
      </c>
      <c r="CN102" s="372" t="s">
        <v>509</v>
      </c>
      <c r="CO102" s="70" t="s">
        <v>27</v>
      </c>
      <c r="CP102" s="97" t="s">
        <v>509</v>
      </c>
      <c r="CQ102" s="69" t="s">
        <v>509</v>
      </c>
      <c r="CR102" s="280" t="s">
        <v>510</v>
      </c>
      <c r="CS102" s="118">
        <v>1</v>
      </c>
      <c r="CT102" s="119">
        <v>0.7</v>
      </c>
      <c r="CU102" s="120"/>
      <c r="CV102" s="882">
        <v>0</v>
      </c>
      <c r="CW102" s="340"/>
      <c r="CX102" s="345"/>
      <c r="CY102" s="121"/>
      <c r="CZ102" s="122"/>
      <c r="DA102" s="104">
        <v>0.9</v>
      </c>
      <c r="DB102" s="123">
        <v>0.43588989435406728</v>
      </c>
      <c r="DC102" s="949" t="s">
        <v>120</v>
      </c>
      <c r="DD102" s="124"/>
      <c r="DE102" s="124"/>
      <c r="DF102" s="125"/>
      <c r="DG102" s="126"/>
      <c r="DH102" s="121"/>
      <c r="DI102" s="127"/>
      <c r="DJ102" s="120"/>
      <c r="DK102" s="122"/>
      <c r="DL102" s="106"/>
      <c r="DM102" s="107">
        <v>0</v>
      </c>
      <c r="DN102" s="948" t="s">
        <v>120</v>
      </c>
      <c r="DO102" s="128"/>
      <c r="DP102" s="129"/>
      <c r="DQ102" s="121"/>
      <c r="DR102" s="121"/>
      <c r="DS102" s="121"/>
      <c r="DT102" s="121"/>
      <c r="DU102" s="130"/>
      <c r="DV102" s="131"/>
      <c r="DW102" s="131"/>
      <c r="DX102" s="127"/>
      <c r="DY102" s="132"/>
      <c r="DZ102" s="132"/>
      <c r="EA102" s="132"/>
      <c r="EB102" s="132"/>
      <c r="EC102" s="133"/>
      <c r="ED102" s="134"/>
      <c r="EE102" s="135"/>
      <c r="EF102" s="136">
        <v>0</v>
      </c>
      <c r="EG102" s="393">
        <v>0</v>
      </c>
      <c r="EH102" s="536"/>
      <c r="EI102" s="544">
        <v>30</v>
      </c>
      <c r="EJ102" s="14"/>
      <c r="EK102" s="14"/>
      <c r="EL102" s="14"/>
      <c r="EM102" s="540"/>
      <c r="EN102" s="546"/>
      <c r="EO102" s="11"/>
      <c r="EP102" s="883" t="s">
        <v>79</v>
      </c>
      <c r="EQ102" s="883"/>
      <c r="ER102" s="254"/>
      <c r="ES102" s="254"/>
      <c r="FC102" s="3">
        <v>0</v>
      </c>
      <c r="FD102" s="254"/>
      <c r="FE102" s="254"/>
      <c r="FF102" s="884">
        <v>1</v>
      </c>
      <c r="FG102" s="254"/>
      <c r="FH102" s="884"/>
      <c r="FI102" s="254"/>
      <c r="FJ102" s="884"/>
      <c r="FK102" s="3">
        <v>0</v>
      </c>
    </row>
    <row r="103" spans="1:167" s="3" customFormat="1">
      <c r="A103" s="254"/>
      <c r="B103" s="255">
        <v>73</v>
      </c>
      <c r="C103" s="97"/>
      <c r="D103" s="97"/>
      <c r="E103" s="880"/>
      <c r="F103" s="256">
        <v>1</v>
      </c>
      <c r="G103" s="257">
        <v>2</v>
      </c>
      <c r="H103" s="257" t="s">
        <v>29</v>
      </c>
      <c r="I103" s="258" t="s">
        <v>595</v>
      </c>
      <c r="J103" s="259">
        <v>8</v>
      </c>
      <c r="K103" s="260">
        <v>25</v>
      </c>
      <c r="L103" s="260">
        <v>3</v>
      </c>
      <c r="M103" s="261">
        <v>1</v>
      </c>
      <c r="N103" s="261">
        <v>1</v>
      </c>
      <c r="O103" s="262">
        <v>1</v>
      </c>
      <c r="P103" s="263">
        <v>4</v>
      </c>
      <c r="Q103" s="264">
        <v>1</v>
      </c>
      <c r="R103" s="264">
        <v>1</v>
      </c>
      <c r="S103" s="265">
        <v>1</v>
      </c>
      <c r="T103" s="265">
        <v>1</v>
      </c>
      <c r="U103" s="266">
        <v>1</v>
      </c>
      <c r="V103" s="267">
        <v>1</v>
      </c>
      <c r="W103" s="258" t="s">
        <v>311</v>
      </c>
      <c r="X103" s="268"/>
      <c r="Y103" s="269"/>
      <c r="Z103" s="269"/>
      <c r="AA103" s="269"/>
      <c r="AB103" s="269"/>
      <c r="AC103" s="269"/>
      <c r="AD103" s="269"/>
      <c r="AE103" s="269"/>
      <c r="AF103" s="269"/>
      <c r="AG103" s="269"/>
      <c r="AH103" s="269"/>
      <c r="AI103" s="269"/>
      <c r="AJ103" s="269"/>
      <c r="AK103" s="269"/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70"/>
      <c r="BB103" s="271">
        <v>0</v>
      </c>
      <c r="BC103" s="272"/>
      <c r="BD103" s="273"/>
      <c r="BE103" s="273"/>
      <c r="BF103" s="273"/>
      <c r="BG103" s="273"/>
      <c r="BH103" s="273"/>
      <c r="BI103" s="274"/>
      <c r="BJ103" s="275"/>
      <c r="BK103" s="276"/>
      <c r="BL103" s="276"/>
      <c r="BM103" s="276"/>
      <c r="BN103" s="276"/>
      <c r="BO103" s="276"/>
      <c r="BP103" s="277"/>
      <c r="BQ103" s="399"/>
      <c r="BR103" s="400"/>
      <c r="BS103" s="401"/>
      <c r="BT103" s="278"/>
      <c r="BU103" s="352"/>
      <c r="BV103" s="279">
        <v>127</v>
      </c>
      <c r="BW103" s="353"/>
      <c r="BX103" s="934" t="s">
        <v>120</v>
      </c>
      <c r="BY103" s="552"/>
      <c r="BZ103" s="552"/>
      <c r="CA103" s="941" t="s">
        <v>120</v>
      </c>
      <c r="CB103" s="553"/>
      <c r="CC103" s="330"/>
      <c r="CD103" s="554"/>
      <c r="CE103" s="554"/>
      <c r="CF103" s="513"/>
      <c r="CG103" s="555"/>
      <c r="CH103" s="556"/>
      <c r="CI103" s="379" t="s">
        <v>509</v>
      </c>
      <c r="CJ103" s="380" t="s">
        <v>509</v>
      </c>
      <c r="CK103" s="381" t="s">
        <v>509</v>
      </c>
      <c r="CL103" s="370" t="s">
        <v>509</v>
      </c>
      <c r="CM103" s="371" t="s">
        <v>509</v>
      </c>
      <c r="CN103" s="372" t="s">
        <v>509</v>
      </c>
      <c r="CO103" s="70" t="s">
        <v>32</v>
      </c>
      <c r="CP103" s="97" t="s">
        <v>509</v>
      </c>
      <c r="CQ103" s="69" t="s">
        <v>509</v>
      </c>
      <c r="CR103" s="280" t="s">
        <v>510</v>
      </c>
      <c r="CS103" s="118">
        <v>1</v>
      </c>
      <c r="CT103" s="119">
        <v>0.7</v>
      </c>
      <c r="CU103" s="120"/>
      <c r="CV103" s="882">
        <v>0</v>
      </c>
      <c r="CW103" s="340"/>
      <c r="CX103" s="345"/>
      <c r="CY103" s="121"/>
      <c r="CZ103" s="122"/>
      <c r="DA103" s="104">
        <v>0.9</v>
      </c>
      <c r="DB103" s="123">
        <v>0.43588989435406728</v>
      </c>
      <c r="DC103" s="949" t="s">
        <v>120</v>
      </c>
      <c r="DD103" s="124"/>
      <c r="DE103" s="124"/>
      <c r="DF103" s="125"/>
      <c r="DG103" s="126"/>
      <c r="DH103" s="121"/>
      <c r="DI103" s="127"/>
      <c r="DJ103" s="120"/>
      <c r="DK103" s="122"/>
      <c r="DL103" s="106"/>
      <c r="DM103" s="107">
        <v>0</v>
      </c>
      <c r="DN103" s="948" t="s">
        <v>120</v>
      </c>
      <c r="DO103" s="128"/>
      <c r="DP103" s="129"/>
      <c r="DQ103" s="121"/>
      <c r="DR103" s="121"/>
      <c r="DS103" s="121"/>
      <c r="DT103" s="121"/>
      <c r="DU103" s="130"/>
      <c r="DV103" s="131"/>
      <c r="DW103" s="131"/>
      <c r="DX103" s="127"/>
      <c r="DY103" s="132"/>
      <c r="DZ103" s="132"/>
      <c r="EA103" s="132"/>
      <c r="EB103" s="132"/>
      <c r="EC103" s="133"/>
      <c r="ED103" s="134"/>
      <c r="EE103" s="135"/>
      <c r="EF103" s="136">
        <v>0</v>
      </c>
      <c r="EG103" s="393">
        <v>0</v>
      </c>
      <c r="EH103" s="536"/>
      <c r="EI103" s="544">
        <v>30</v>
      </c>
      <c r="EJ103" s="14"/>
      <c r="EK103" s="14"/>
      <c r="EL103" s="14"/>
      <c r="EM103" s="540"/>
      <c r="EN103" s="546"/>
      <c r="EO103" s="11"/>
      <c r="EP103" s="883" t="s">
        <v>79</v>
      </c>
      <c r="EQ103" s="883"/>
      <c r="ER103" s="254"/>
      <c r="ES103" s="254"/>
      <c r="FC103" s="3">
        <v>0</v>
      </c>
      <c r="FD103" s="254"/>
      <c r="FE103" s="254"/>
      <c r="FF103" s="884">
        <v>1</v>
      </c>
      <c r="FG103" s="254"/>
      <c r="FH103" s="884"/>
      <c r="FI103" s="254"/>
      <c r="FJ103" s="884"/>
      <c r="FK103" s="3">
        <v>0</v>
      </c>
    </row>
    <row r="104" spans="1:167" s="3" customFormat="1">
      <c r="A104" s="254"/>
      <c r="B104" s="255">
        <v>74</v>
      </c>
      <c r="C104" s="97"/>
      <c r="D104" s="97"/>
      <c r="E104" s="880"/>
      <c r="F104" s="256">
        <v>1</v>
      </c>
      <c r="G104" s="257">
        <v>2</v>
      </c>
      <c r="H104" s="257" t="s">
        <v>29</v>
      </c>
      <c r="I104" s="258" t="s">
        <v>595</v>
      </c>
      <c r="J104" s="259">
        <v>8</v>
      </c>
      <c r="K104" s="260">
        <v>25</v>
      </c>
      <c r="L104" s="260">
        <v>3</v>
      </c>
      <c r="M104" s="261">
        <v>1</v>
      </c>
      <c r="N104" s="261">
        <v>1</v>
      </c>
      <c r="O104" s="262">
        <v>1</v>
      </c>
      <c r="P104" s="263">
        <v>4</v>
      </c>
      <c r="Q104" s="264">
        <v>1</v>
      </c>
      <c r="R104" s="264">
        <v>1</v>
      </c>
      <c r="S104" s="265">
        <v>1</v>
      </c>
      <c r="T104" s="265">
        <v>1</v>
      </c>
      <c r="U104" s="266">
        <v>1</v>
      </c>
      <c r="V104" s="267">
        <v>1</v>
      </c>
      <c r="W104" s="258" t="s">
        <v>311</v>
      </c>
      <c r="X104" s="268"/>
      <c r="Y104" s="269"/>
      <c r="Z104" s="269"/>
      <c r="AA104" s="269"/>
      <c r="AB104" s="269"/>
      <c r="AC104" s="269"/>
      <c r="AD104" s="269"/>
      <c r="AE104" s="269"/>
      <c r="AF104" s="269"/>
      <c r="AG104" s="269"/>
      <c r="AH104" s="269"/>
      <c r="AI104" s="269"/>
      <c r="AJ104" s="269"/>
      <c r="AK104" s="269"/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70"/>
      <c r="BB104" s="271">
        <v>0</v>
      </c>
      <c r="BC104" s="272"/>
      <c r="BD104" s="273"/>
      <c r="BE104" s="273"/>
      <c r="BF104" s="273"/>
      <c r="BG104" s="273"/>
      <c r="BH104" s="273"/>
      <c r="BI104" s="274"/>
      <c r="BJ104" s="275"/>
      <c r="BK104" s="276"/>
      <c r="BL104" s="276"/>
      <c r="BM104" s="276"/>
      <c r="BN104" s="276"/>
      <c r="BO104" s="276"/>
      <c r="BP104" s="277"/>
      <c r="BQ104" s="399"/>
      <c r="BR104" s="400"/>
      <c r="BS104" s="401"/>
      <c r="BT104" s="278"/>
      <c r="BU104" s="352"/>
      <c r="BV104" s="279">
        <v>127</v>
      </c>
      <c r="BW104" s="353"/>
      <c r="BX104" s="934" t="s">
        <v>120</v>
      </c>
      <c r="BY104" s="552"/>
      <c r="BZ104" s="552"/>
      <c r="CA104" s="941" t="s">
        <v>120</v>
      </c>
      <c r="CB104" s="553"/>
      <c r="CC104" s="330"/>
      <c r="CD104" s="554"/>
      <c r="CE104" s="554"/>
      <c r="CF104" s="513"/>
      <c r="CG104" s="555"/>
      <c r="CH104" s="556"/>
      <c r="CI104" s="379" t="s">
        <v>509</v>
      </c>
      <c r="CJ104" s="380" t="s">
        <v>509</v>
      </c>
      <c r="CK104" s="381" t="s">
        <v>509</v>
      </c>
      <c r="CL104" s="370" t="s">
        <v>509</v>
      </c>
      <c r="CM104" s="371" t="s">
        <v>509</v>
      </c>
      <c r="CN104" s="372" t="s">
        <v>509</v>
      </c>
      <c r="CO104" s="70" t="s">
        <v>32</v>
      </c>
      <c r="CP104" s="97" t="s">
        <v>509</v>
      </c>
      <c r="CQ104" s="69" t="s">
        <v>509</v>
      </c>
      <c r="CR104" s="280" t="s">
        <v>510</v>
      </c>
      <c r="CS104" s="118">
        <v>1</v>
      </c>
      <c r="CT104" s="119">
        <v>0.7</v>
      </c>
      <c r="CU104" s="120"/>
      <c r="CV104" s="882">
        <v>0</v>
      </c>
      <c r="CW104" s="340"/>
      <c r="CX104" s="345"/>
      <c r="CY104" s="121"/>
      <c r="CZ104" s="122"/>
      <c r="DA104" s="104">
        <v>0.9</v>
      </c>
      <c r="DB104" s="123">
        <v>0.43588989435406728</v>
      </c>
      <c r="DC104" s="949" t="s">
        <v>120</v>
      </c>
      <c r="DD104" s="124"/>
      <c r="DE104" s="124"/>
      <c r="DF104" s="125"/>
      <c r="DG104" s="126"/>
      <c r="DH104" s="121"/>
      <c r="DI104" s="127"/>
      <c r="DJ104" s="120"/>
      <c r="DK104" s="122"/>
      <c r="DL104" s="106"/>
      <c r="DM104" s="107">
        <v>0</v>
      </c>
      <c r="DN104" s="948" t="s">
        <v>120</v>
      </c>
      <c r="DO104" s="128"/>
      <c r="DP104" s="129"/>
      <c r="DQ104" s="121"/>
      <c r="DR104" s="121"/>
      <c r="DS104" s="121"/>
      <c r="DT104" s="121"/>
      <c r="DU104" s="130"/>
      <c r="DV104" s="131"/>
      <c r="DW104" s="131"/>
      <c r="DX104" s="127"/>
      <c r="DY104" s="132"/>
      <c r="DZ104" s="132"/>
      <c r="EA104" s="132"/>
      <c r="EB104" s="132"/>
      <c r="EC104" s="133"/>
      <c r="ED104" s="134"/>
      <c r="EE104" s="135"/>
      <c r="EF104" s="136">
        <v>0</v>
      </c>
      <c r="EG104" s="393">
        <v>0</v>
      </c>
      <c r="EH104" s="536"/>
      <c r="EI104" s="544">
        <v>30</v>
      </c>
      <c r="EJ104" s="14"/>
      <c r="EK104" s="14"/>
      <c r="EL104" s="14"/>
      <c r="EM104" s="540"/>
      <c r="EN104" s="546"/>
      <c r="EO104" s="11"/>
      <c r="EP104" s="883" t="s">
        <v>79</v>
      </c>
      <c r="EQ104" s="883"/>
      <c r="ER104" s="254"/>
      <c r="ES104" s="254"/>
      <c r="FC104" s="3">
        <v>0</v>
      </c>
      <c r="FD104" s="254"/>
      <c r="FE104" s="254"/>
      <c r="FF104" s="884">
        <v>1</v>
      </c>
      <c r="FG104" s="254"/>
      <c r="FH104" s="884"/>
      <c r="FI104" s="254"/>
      <c r="FJ104" s="884"/>
      <c r="FK104" s="3">
        <v>0</v>
      </c>
    </row>
    <row r="105" spans="1:167" s="3" customFormat="1">
      <c r="A105" s="254"/>
      <c r="B105" s="255">
        <v>75</v>
      </c>
      <c r="C105" s="97"/>
      <c r="D105" s="97"/>
      <c r="E105" s="880"/>
      <c r="F105" s="256">
        <v>1</v>
      </c>
      <c r="G105" s="257">
        <v>2</v>
      </c>
      <c r="H105" s="257" t="s">
        <v>29</v>
      </c>
      <c r="I105" s="258" t="s">
        <v>595</v>
      </c>
      <c r="J105" s="259">
        <v>8</v>
      </c>
      <c r="K105" s="260">
        <v>25</v>
      </c>
      <c r="L105" s="260">
        <v>3</v>
      </c>
      <c r="M105" s="261">
        <v>1</v>
      </c>
      <c r="N105" s="261">
        <v>1</v>
      </c>
      <c r="O105" s="262">
        <v>1</v>
      </c>
      <c r="P105" s="263">
        <v>4</v>
      </c>
      <c r="Q105" s="264">
        <v>1</v>
      </c>
      <c r="R105" s="264">
        <v>1</v>
      </c>
      <c r="S105" s="265">
        <v>1</v>
      </c>
      <c r="T105" s="265">
        <v>1</v>
      </c>
      <c r="U105" s="266">
        <v>1</v>
      </c>
      <c r="V105" s="267">
        <v>1</v>
      </c>
      <c r="W105" s="258" t="s">
        <v>311</v>
      </c>
      <c r="X105" s="268"/>
      <c r="Y105" s="269"/>
      <c r="Z105" s="269"/>
      <c r="AA105" s="269"/>
      <c r="AB105" s="269"/>
      <c r="AC105" s="269"/>
      <c r="AD105" s="269"/>
      <c r="AE105" s="269"/>
      <c r="AF105" s="269"/>
      <c r="AG105" s="269"/>
      <c r="AH105" s="269"/>
      <c r="AI105" s="269"/>
      <c r="AJ105" s="269"/>
      <c r="AK105" s="269"/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70"/>
      <c r="BB105" s="271">
        <v>0</v>
      </c>
      <c r="BC105" s="272"/>
      <c r="BD105" s="273"/>
      <c r="BE105" s="273"/>
      <c r="BF105" s="273"/>
      <c r="BG105" s="273"/>
      <c r="BH105" s="273"/>
      <c r="BI105" s="274"/>
      <c r="BJ105" s="275"/>
      <c r="BK105" s="276"/>
      <c r="BL105" s="276"/>
      <c r="BM105" s="276"/>
      <c r="BN105" s="276"/>
      <c r="BO105" s="276"/>
      <c r="BP105" s="277"/>
      <c r="BQ105" s="399"/>
      <c r="BR105" s="400"/>
      <c r="BS105" s="401"/>
      <c r="BT105" s="278"/>
      <c r="BU105" s="352"/>
      <c r="BV105" s="279">
        <v>127</v>
      </c>
      <c r="BW105" s="353"/>
      <c r="BX105" s="934" t="s">
        <v>120</v>
      </c>
      <c r="BY105" s="552"/>
      <c r="BZ105" s="552"/>
      <c r="CA105" s="941" t="s">
        <v>120</v>
      </c>
      <c r="CB105" s="553"/>
      <c r="CC105" s="330"/>
      <c r="CD105" s="554"/>
      <c r="CE105" s="554"/>
      <c r="CF105" s="513"/>
      <c r="CG105" s="555"/>
      <c r="CH105" s="556"/>
      <c r="CI105" s="379" t="s">
        <v>509</v>
      </c>
      <c r="CJ105" s="380" t="s">
        <v>509</v>
      </c>
      <c r="CK105" s="381" t="s">
        <v>509</v>
      </c>
      <c r="CL105" s="370" t="s">
        <v>509</v>
      </c>
      <c r="CM105" s="371" t="s">
        <v>509</v>
      </c>
      <c r="CN105" s="372" t="s">
        <v>509</v>
      </c>
      <c r="CO105" s="70" t="s">
        <v>26</v>
      </c>
      <c r="CP105" s="97" t="s">
        <v>509</v>
      </c>
      <c r="CQ105" s="69" t="s">
        <v>509</v>
      </c>
      <c r="CR105" s="280" t="s">
        <v>510</v>
      </c>
      <c r="CS105" s="118">
        <v>1</v>
      </c>
      <c r="CT105" s="119">
        <v>0.7</v>
      </c>
      <c r="CU105" s="120"/>
      <c r="CV105" s="882">
        <v>0</v>
      </c>
      <c r="CW105" s="340"/>
      <c r="CX105" s="345"/>
      <c r="CY105" s="121"/>
      <c r="CZ105" s="122"/>
      <c r="DA105" s="104">
        <v>0.9</v>
      </c>
      <c r="DB105" s="123">
        <v>0.43588989435406728</v>
      </c>
      <c r="DC105" s="949" t="s">
        <v>120</v>
      </c>
      <c r="DD105" s="124"/>
      <c r="DE105" s="124"/>
      <c r="DF105" s="125"/>
      <c r="DG105" s="126"/>
      <c r="DH105" s="121"/>
      <c r="DI105" s="127"/>
      <c r="DJ105" s="120"/>
      <c r="DK105" s="122"/>
      <c r="DL105" s="106"/>
      <c r="DM105" s="107">
        <v>0</v>
      </c>
      <c r="DN105" s="948" t="s">
        <v>120</v>
      </c>
      <c r="DO105" s="128"/>
      <c r="DP105" s="129"/>
      <c r="DQ105" s="121"/>
      <c r="DR105" s="121"/>
      <c r="DS105" s="121"/>
      <c r="DT105" s="121"/>
      <c r="DU105" s="130"/>
      <c r="DV105" s="131"/>
      <c r="DW105" s="131"/>
      <c r="DX105" s="127"/>
      <c r="DY105" s="132"/>
      <c r="DZ105" s="132"/>
      <c r="EA105" s="132"/>
      <c r="EB105" s="132"/>
      <c r="EC105" s="133"/>
      <c r="ED105" s="134"/>
      <c r="EE105" s="135"/>
      <c r="EF105" s="136">
        <v>0</v>
      </c>
      <c r="EG105" s="393">
        <v>0</v>
      </c>
      <c r="EH105" s="536"/>
      <c r="EI105" s="544">
        <v>30</v>
      </c>
      <c r="EJ105" s="14"/>
      <c r="EK105" s="14"/>
      <c r="EL105" s="14"/>
      <c r="EM105" s="540"/>
      <c r="EN105" s="546"/>
      <c r="EO105" s="11"/>
      <c r="EP105" s="883" t="s">
        <v>79</v>
      </c>
      <c r="EQ105" s="883"/>
      <c r="ER105" s="254"/>
      <c r="ES105" s="254"/>
      <c r="FC105" s="3">
        <v>0</v>
      </c>
      <c r="FD105" s="254"/>
      <c r="FE105" s="254"/>
      <c r="FF105" s="884">
        <v>1</v>
      </c>
      <c r="FG105" s="254"/>
      <c r="FH105" s="884"/>
      <c r="FI105" s="254"/>
      <c r="FJ105" s="884"/>
      <c r="FK105" s="3">
        <v>0</v>
      </c>
    </row>
    <row r="106" spans="1:167" s="3" customFormat="1">
      <c r="A106" s="254"/>
      <c r="B106" s="255">
        <v>76</v>
      </c>
      <c r="C106" s="97"/>
      <c r="D106" s="97"/>
      <c r="E106" s="880"/>
      <c r="F106" s="256">
        <v>1</v>
      </c>
      <c r="G106" s="257">
        <v>2</v>
      </c>
      <c r="H106" s="257" t="s">
        <v>29</v>
      </c>
      <c r="I106" s="258" t="s">
        <v>595</v>
      </c>
      <c r="J106" s="259">
        <v>8</v>
      </c>
      <c r="K106" s="260">
        <v>25</v>
      </c>
      <c r="L106" s="260">
        <v>3</v>
      </c>
      <c r="M106" s="261">
        <v>1</v>
      </c>
      <c r="N106" s="261">
        <v>1</v>
      </c>
      <c r="O106" s="262">
        <v>1</v>
      </c>
      <c r="P106" s="263">
        <v>4</v>
      </c>
      <c r="Q106" s="264">
        <v>1</v>
      </c>
      <c r="R106" s="264">
        <v>1</v>
      </c>
      <c r="S106" s="265">
        <v>1</v>
      </c>
      <c r="T106" s="265">
        <v>1</v>
      </c>
      <c r="U106" s="266">
        <v>1</v>
      </c>
      <c r="V106" s="267">
        <v>1</v>
      </c>
      <c r="W106" s="258" t="s">
        <v>311</v>
      </c>
      <c r="X106" s="268"/>
      <c r="Y106" s="269"/>
      <c r="Z106" s="269"/>
      <c r="AA106" s="269"/>
      <c r="AB106" s="269"/>
      <c r="AC106" s="269"/>
      <c r="AD106" s="269"/>
      <c r="AE106" s="269"/>
      <c r="AF106" s="269"/>
      <c r="AG106" s="269"/>
      <c r="AH106" s="269"/>
      <c r="AI106" s="269"/>
      <c r="AJ106" s="269"/>
      <c r="AK106" s="269"/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70"/>
      <c r="BB106" s="271">
        <v>0</v>
      </c>
      <c r="BC106" s="272"/>
      <c r="BD106" s="273"/>
      <c r="BE106" s="273"/>
      <c r="BF106" s="273"/>
      <c r="BG106" s="273"/>
      <c r="BH106" s="273"/>
      <c r="BI106" s="274"/>
      <c r="BJ106" s="275"/>
      <c r="BK106" s="276"/>
      <c r="BL106" s="276"/>
      <c r="BM106" s="276"/>
      <c r="BN106" s="276"/>
      <c r="BO106" s="276"/>
      <c r="BP106" s="277"/>
      <c r="BQ106" s="399"/>
      <c r="BR106" s="400"/>
      <c r="BS106" s="401"/>
      <c r="BT106" s="278"/>
      <c r="BU106" s="352"/>
      <c r="BV106" s="279">
        <v>127</v>
      </c>
      <c r="BW106" s="353"/>
      <c r="BX106" s="934" t="s">
        <v>120</v>
      </c>
      <c r="BY106" s="552"/>
      <c r="BZ106" s="552"/>
      <c r="CA106" s="941" t="s">
        <v>120</v>
      </c>
      <c r="CB106" s="553"/>
      <c r="CC106" s="330"/>
      <c r="CD106" s="554"/>
      <c r="CE106" s="554"/>
      <c r="CF106" s="513"/>
      <c r="CG106" s="555"/>
      <c r="CH106" s="556"/>
      <c r="CI106" s="379" t="s">
        <v>509</v>
      </c>
      <c r="CJ106" s="380" t="s">
        <v>509</v>
      </c>
      <c r="CK106" s="381" t="s">
        <v>509</v>
      </c>
      <c r="CL106" s="370" t="s">
        <v>509</v>
      </c>
      <c r="CM106" s="371" t="s">
        <v>509</v>
      </c>
      <c r="CN106" s="372" t="s">
        <v>509</v>
      </c>
      <c r="CO106" s="70" t="s">
        <v>26</v>
      </c>
      <c r="CP106" s="97" t="s">
        <v>509</v>
      </c>
      <c r="CQ106" s="69" t="s">
        <v>509</v>
      </c>
      <c r="CR106" s="280" t="s">
        <v>510</v>
      </c>
      <c r="CS106" s="118">
        <v>1</v>
      </c>
      <c r="CT106" s="119">
        <v>0.7</v>
      </c>
      <c r="CU106" s="120"/>
      <c r="CV106" s="882">
        <v>0</v>
      </c>
      <c r="CW106" s="340"/>
      <c r="CX106" s="345"/>
      <c r="CY106" s="121"/>
      <c r="CZ106" s="122"/>
      <c r="DA106" s="104">
        <v>0.9</v>
      </c>
      <c r="DB106" s="123">
        <v>0.43588989435406728</v>
      </c>
      <c r="DC106" s="949" t="s">
        <v>120</v>
      </c>
      <c r="DD106" s="124"/>
      <c r="DE106" s="124"/>
      <c r="DF106" s="125"/>
      <c r="DG106" s="126"/>
      <c r="DH106" s="121"/>
      <c r="DI106" s="127"/>
      <c r="DJ106" s="120"/>
      <c r="DK106" s="122"/>
      <c r="DL106" s="106"/>
      <c r="DM106" s="107">
        <v>0</v>
      </c>
      <c r="DN106" s="948" t="s">
        <v>120</v>
      </c>
      <c r="DO106" s="128"/>
      <c r="DP106" s="129"/>
      <c r="DQ106" s="121"/>
      <c r="DR106" s="121"/>
      <c r="DS106" s="121"/>
      <c r="DT106" s="121"/>
      <c r="DU106" s="130"/>
      <c r="DV106" s="131"/>
      <c r="DW106" s="131"/>
      <c r="DX106" s="127"/>
      <c r="DY106" s="132"/>
      <c r="DZ106" s="132"/>
      <c r="EA106" s="132"/>
      <c r="EB106" s="132"/>
      <c r="EC106" s="133"/>
      <c r="ED106" s="134"/>
      <c r="EE106" s="135"/>
      <c r="EF106" s="136">
        <v>0</v>
      </c>
      <c r="EG106" s="393">
        <v>0</v>
      </c>
      <c r="EH106" s="536"/>
      <c r="EI106" s="544">
        <v>30</v>
      </c>
      <c r="EJ106" s="14"/>
      <c r="EK106" s="14"/>
      <c r="EL106" s="14"/>
      <c r="EM106" s="540"/>
      <c r="EN106" s="546"/>
      <c r="EO106" s="11"/>
      <c r="EP106" s="883" t="s">
        <v>79</v>
      </c>
      <c r="EQ106" s="883"/>
      <c r="ER106" s="254"/>
      <c r="ES106" s="254"/>
      <c r="FC106" s="3">
        <v>0</v>
      </c>
      <c r="FD106" s="254"/>
      <c r="FE106" s="254"/>
      <c r="FF106" s="884">
        <v>1</v>
      </c>
      <c r="FG106" s="254"/>
      <c r="FH106" s="884"/>
      <c r="FI106" s="254"/>
      <c r="FJ106" s="884"/>
      <c r="FK106" s="3">
        <v>0</v>
      </c>
    </row>
    <row r="107" spans="1:167" s="3" customFormat="1">
      <c r="A107" s="254"/>
      <c r="B107" s="255">
        <v>77</v>
      </c>
      <c r="C107" s="97"/>
      <c r="D107" s="97"/>
      <c r="E107" s="880"/>
      <c r="F107" s="256">
        <v>1</v>
      </c>
      <c r="G107" s="257">
        <v>2</v>
      </c>
      <c r="H107" s="257" t="s">
        <v>29</v>
      </c>
      <c r="I107" s="258" t="s">
        <v>595</v>
      </c>
      <c r="J107" s="259">
        <v>8</v>
      </c>
      <c r="K107" s="260">
        <v>25</v>
      </c>
      <c r="L107" s="260">
        <v>3</v>
      </c>
      <c r="M107" s="261">
        <v>1</v>
      </c>
      <c r="N107" s="261">
        <v>1</v>
      </c>
      <c r="O107" s="262">
        <v>1</v>
      </c>
      <c r="P107" s="263">
        <v>4</v>
      </c>
      <c r="Q107" s="264">
        <v>1</v>
      </c>
      <c r="R107" s="264">
        <v>1</v>
      </c>
      <c r="S107" s="265">
        <v>1</v>
      </c>
      <c r="T107" s="265">
        <v>1</v>
      </c>
      <c r="U107" s="266">
        <v>1</v>
      </c>
      <c r="V107" s="267">
        <v>1</v>
      </c>
      <c r="W107" s="258" t="s">
        <v>311</v>
      </c>
      <c r="X107" s="268"/>
      <c r="Y107" s="269"/>
      <c r="Z107" s="269"/>
      <c r="AA107" s="269"/>
      <c r="AB107" s="269"/>
      <c r="AC107" s="269"/>
      <c r="AD107" s="269"/>
      <c r="AE107" s="269"/>
      <c r="AF107" s="269"/>
      <c r="AG107" s="269"/>
      <c r="AH107" s="269"/>
      <c r="AI107" s="269"/>
      <c r="AJ107" s="269"/>
      <c r="AK107" s="269"/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70"/>
      <c r="BB107" s="271">
        <v>0</v>
      </c>
      <c r="BC107" s="272"/>
      <c r="BD107" s="273"/>
      <c r="BE107" s="273"/>
      <c r="BF107" s="273"/>
      <c r="BG107" s="273"/>
      <c r="BH107" s="273"/>
      <c r="BI107" s="274"/>
      <c r="BJ107" s="275"/>
      <c r="BK107" s="276"/>
      <c r="BL107" s="276"/>
      <c r="BM107" s="276"/>
      <c r="BN107" s="276"/>
      <c r="BO107" s="276"/>
      <c r="BP107" s="277"/>
      <c r="BQ107" s="399"/>
      <c r="BR107" s="400"/>
      <c r="BS107" s="401"/>
      <c r="BT107" s="278"/>
      <c r="BU107" s="352"/>
      <c r="BV107" s="279">
        <v>127</v>
      </c>
      <c r="BW107" s="353"/>
      <c r="BX107" s="934" t="s">
        <v>120</v>
      </c>
      <c r="BY107" s="552"/>
      <c r="BZ107" s="552"/>
      <c r="CA107" s="941" t="s">
        <v>120</v>
      </c>
      <c r="CB107" s="553"/>
      <c r="CC107" s="330"/>
      <c r="CD107" s="554"/>
      <c r="CE107" s="554"/>
      <c r="CF107" s="513"/>
      <c r="CG107" s="555"/>
      <c r="CH107" s="556"/>
      <c r="CI107" s="379" t="s">
        <v>509</v>
      </c>
      <c r="CJ107" s="380" t="s">
        <v>509</v>
      </c>
      <c r="CK107" s="381" t="s">
        <v>509</v>
      </c>
      <c r="CL107" s="370" t="s">
        <v>509</v>
      </c>
      <c r="CM107" s="371" t="s">
        <v>509</v>
      </c>
      <c r="CN107" s="372" t="s">
        <v>509</v>
      </c>
      <c r="CO107" s="70" t="s">
        <v>27</v>
      </c>
      <c r="CP107" s="97" t="s">
        <v>509</v>
      </c>
      <c r="CQ107" s="69" t="s">
        <v>509</v>
      </c>
      <c r="CR107" s="280" t="s">
        <v>510</v>
      </c>
      <c r="CS107" s="118">
        <v>1</v>
      </c>
      <c r="CT107" s="119">
        <v>0.7</v>
      </c>
      <c r="CU107" s="120"/>
      <c r="CV107" s="882">
        <v>0</v>
      </c>
      <c r="CW107" s="340"/>
      <c r="CX107" s="345"/>
      <c r="CY107" s="121"/>
      <c r="CZ107" s="122"/>
      <c r="DA107" s="104">
        <v>0.9</v>
      </c>
      <c r="DB107" s="123">
        <v>0.43588989435406728</v>
      </c>
      <c r="DC107" s="949" t="s">
        <v>120</v>
      </c>
      <c r="DD107" s="124"/>
      <c r="DE107" s="124"/>
      <c r="DF107" s="125"/>
      <c r="DG107" s="126"/>
      <c r="DH107" s="121"/>
      <c r="DI107" s="127"/>
      <c r="DJ107" s="120"/>
      <c r="DK107" s="122"/>
      <c r="DL107" s="106"/>
      <c r="DM107" s="107">
        <v>0</v>
      </c>
      <c r="DN107" s="948" t="s">
        <v>120</v>
      </c>
      <c r="DO107" s="128"/>
      <c r="DP107" s="129"/>
      <c r="DQ107" s="121"/>
      <c r="DR107" s="121"/>
      <c r="DS107" s="121"/>
      <c r="DT107" s="121"/>
      <c r="DU107" s="130"/>
      <c r="DV107" s="131"/>
      <c r="DW107" s="131"/>
      <c r="DX107" s="127"/>
      <c r="DY107" s="132"/>
      <c r="DZ107" s="132"/>
      <c r="EA107" s="132"/>
      <c r="EB107" s="132"/>
      <c r="EC107" s="133"/>
      <c r="ED107" s="134"/>
      <c r="EE107" s="135"/>
      <c r="EF107" s="136">
        <v>0</v>
      </c>
      <c r="EG107" s="393">
        <v>0</v>
      </c>
      <c r="EH107" s="536"/>
      <c r="EI107" s="544">
        <v>30</v>
      </c>
      <c r="EJ107" s="14"/>
      <c r="EK107" s="14"/>
      <c r="EL107" s="14"/>
      <c r="EM107" s="540"/>
      <c r="EN107" s="546"/>
      <c r="EO107" s="11"/>
      <c r="EP107" s="883" t="s">
        <v>79</v>
      </c>
      <c r="EQ107" s="883"/>
      <c r="ER107" s="254"/>
      <c r="ES107" s="254"/>
      <c r="FC107" s="3">
        <v>0</v>
      </c>
      <c r="FD107" s="254"/>
      <c r="FE107" s="254"/>
      <c r="FF107" s="884">
        <v>1</v>
      </c>
      <c r="FG107" s="254"/>
      <c r="FH107" s="884"/>
      <c r="FI107" s="254"/>
      <c r="FJ107" s="884"/>
      <c r="FK107" s="3">
        <v>0</v>
      </c>
    </row>
    <row r="108" spans="1:167" s="3" customFormat="1">
      <c r="A108" s="254"/>
      <c r="B108" s="255">
        <v>78</v>
      </c>
      <c r="C108" s="97"/>
      <c r="D108" s="97"/>
      <c r="E108" s="880"/>
      <c r="F108" s="256">
        <v>1</v>
      </c>
      <c r="G108" s="257">
        <v>2</v>
      </c>
      <c r="H108" s="257" t="s">
        <v>29</v>
      </c>
      <c r="I108" s="258" t="s">
        <v>595</v>
      </c>
      <c r="J108" s="259">
        <v>8</v>
      </c>
      <c r="K108" s="260">
        <v>25</v>
      </c>
      <c r="L108" s="260">
        <v>3</v>
      </c>
      <c r="M108" s="261">
        <v>1</v>
      </c>
      <c r="N108" s="261">
        <v>1</v>
      </c>
      <c r="O108" s="262">
        <v>1</v>
      </c>
      <c r="P108" s="263">
        <v>4</v>
      </c>
      <c r="Q108" s="264">
        <v>1</v>
      </c>
      <c r="R108" s="264">
        <v>1</v>
      </c>
      <c r="S108" s="265">
        <v>1</v>
      </c>
      <c r="T108" s="265">
        <v>1</v>
      </c>
      <c r="U108" s="266">
        <v>1</v>
      </c>
      <c r="V108" s="267">
        <v>1</v>
      </c>
      <c r="W108" s="258" t="s">
        <v>311</v>
      </c>
      <c r="X108" s="268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70"/>
      <c r="BB108" s="271">
        <v>0</v>
      </c>
      <c r="BC108" s="272"/>
      <c r="BD108" s="273"/>
      <c r="BE108" s="273"/>
      <c r="BF108" s="273"/>
      <c r="BG108" s="273"/>
      <c r="BH108" s="273"/>
      <c r="BI108" s="274"/>
      <c r="BJ108" s="275"/>
      <c r="BK108" s="276"/>
      <c r="BL108" s="276"/>
      <c r="BM108" s="276"/>
      <c r="BN108" s="276"/>
      <c r="BO108" s="276"/>
      <c r="BP108" s="277"/>
      <c r="BQ108" s="399"/>
      <c r="BR108" s="400"/>
      <c r="BS108" s="401"/>
      <c r="BT108" s="278"/>
      <c r="BU108" s="352"/>
      <c r="BV108" s="279">
        <v>127</v>
      </c>
      <c r="BW108" s="353"/>
      <c r="BX108" s="934" t="s">
        <v>120</v>
      </c>
      <c r="BY108" s="552"/>
      <c r="BZ108" s="552"/>
      <c r="CA108" s="941" t="s">
        <v>120</v>
      </c>
      <c r="CB108" s="553"/>
      <c r="CC108" s="330"/>
      <c r="CD108" s="554"/>
      <c r="CE108" s="554"/>
      <c r="CF108" s="513"/>
      <c r="CG108" s="555"/>
      <c r="CH108" s="556"/>
      <c r="CI108" s="379" t="s">
        <v>509</v>
      </c>
      <c r="CJ108" s="380" t="s">
        <v>509</v>
      </c>
      <c r="CK108" s="381" t="s">
        <v>509</v>
      </c>
      <c r="CL108" s="370" t="s">
        <v>509</v>
      </c>
      <c r="CM108" s="371" t="s">
        <v>509</v>
      </c>
      <c r="CN108" s="372" t="s">
        <v>509</v>
      </c>
      <c r="CO108" s="70" t="s">
        <v>27</v>
      </c>
      <c r="CP108" s="97" t="s">
        <v>509</v>
      </c>
      <c r="CQ108" s="69" t="s">
        <v>509</v>
      </c>
      <c r="CR108" s="280" t="s">
        <v>510</v>
      </c>
      <c r="CS108" s="118">
        <v>1</v>
      </c>
      <c r="CT108" s="119">
        <v>0.7</v>
      </c>
      <c r="CU108" s="120"/>
      <c r="CV108" s="882">
        <v>0</v>
      </c>
      <c r="CW108" s="340"/>
      <c r="CX108" s="345"/>
      <c r="CY108" s="121"/>
      <c r="CZ108" s="122"/>
      <c r="DA108" s="104">
        <v>0.9</v>
      </c>
      <c r="DB108" s="123">
        <v>0.43588989435406728</v>
      </c>
      <c r="DC108" s="949" t="s">
        <v>120</v>
      </c>
      <c r="DD108" s="124"/>
      <c r="DE108" s="124"/>
      <c r="DF108" s="125"/>
      <c r="DG108" s="126"/>
      <c r="DH108" s="121"/>
      <c r="DI108" s="127"/>
      <c r="DJ108" s="120"/>
      <c r="DK108" s="122"/>
      <c r="DL108" s="106"/>
      <c r="DM108" s="107">
        <v>0</v>
      </c>
      <c r="DN108" s="948" t="s">
        <v>120</v>
      </c>
      <c r="DO108" s="128"/>
      <c r="DP108" s="129"/>
      <c r="DQ108" s="121"/>
      <c r="DR108" s="121"/>
      <c r="DS108" s="121"/>
      <c r="DT108" s="121"/>
      <c r="DU108" s="130"/>
      <c r="DV108" s="131"/>
      <c r="DW108" s="131"/>
      <c r="DX108" s="127"/>
      <c r="DY108" s="132"/>
      <c r="DZ108" s="132"/>
      <c r="EA108" s="132"/>
      <c r="EB108" s="132"/>
      <c r="EC108" s="133"/>
      <c r="ED108" s="134"/>
      <c r="EE108" s="135"/>
      <c r="EF108" s="136">
        <v>0</v>
      </c>
      <c r="EG108" s="393">
        <v>0</v>
      </c>
      <c r="EH108" s="536"/>
      <c r="EI108" s="544">
        <v>30</v>
      </c>
      <c r="EJ108" s="14"/>
      <c r="EK108" s="14"/>
      <c r="EL108" s="14"/>
      <c r="EM108" s="540"/>
      <c r="EN108" s="546"/>
      <c r="EO108" s="11"/>
      <c r="EP108" s="883" t="s">
        <v>79</v>
      </c>
      <c r="EQ108" s="883"/>
      <c r="ER108" s="254"/>
      <c r="ES108" s="254"/>
      <c r="FC108" s="3">
        <v>0</v>
      </c>
      <c r="FD108" s="254"/>
      <c r="FE108" s="254"/>
      <c r="FF108" s="884">
        <v>1</v>
      </c>
      <c r="FG108" s="254"/>
      <c r="FH108" s="884"/>
      <c r="FI108" s="254"/>
      <c r="FJ108" s="884"/>
      <c r="FK108" s="3">
        <v>0</v>
      </c>
    </row>
    <row r="109" spans="1:167" s="3" customFormat="1">
      <c r="A109" s="254"/>
      <c r="B109" s="255">
        <v>79</v>
      </c>
      <c r="C109" s="97"/>
      <c r="D109" s="97"/>
      <c r="E109" s="880"/>
      <c r="F109" s="256">
        <v>1</v>
      </c>
      <c r="G109" s="257">
        <v>2</v>
      </c>
      <c r="H109" s="257" t="s">
        <v>29</v>
      </c>
      <c r="I109" s="258" t="s">
        <v>595</v>
      </c>
      <c r="J109" s="259">
        <v>8</v>
      </c>
      <c r="K109" s="260">
        <v>25</v>
      </c>
      <c r="L109" s="260">
        <v>3</v>
      </c>
      <c r="M109" s="261">
        <v>1</v>
      </c>
      <c r="N109" s="261">
        <v>1</v>
      </c>
      <c r="O109" s="262">
        <v>1</v>
      </c>
      <c r="P109" s="263">
        <v>4</v>
      </c>
      <c r="Q109" s="264">
        <v>1</v>
      </c>
      <c r="R109" s="264">
        <v>1</v>
      </c>
      <c r="S109" s="265">
        <v>1</v>
      </c>
      <c r="T109" s="265">
        <v>1</v>
      </c>
      <c r="U109" s="266">
        <v>1</v>
      </c>
      <c r="V109" s="267">
        <v>1</v>
      </c>
      <c r="W109" s="258" t="s">
        <v>311</v>
      </c>
      <c r="X109" s="268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70"/>
      <c r="BB109" s="271">
        <v>0</v>
      </c>
      <c r="BC109" s="272"/>
      <c r="BD109" s="273"/>
      <c r="BE109" s="273"/>
      <c r="BF109" s="273"/>
      <c r="BG109" s="273"/>
      <c r="BH109" s="273"/>
      <c r="BI109" s="274"/>
      <c r="BJ109" s="275"/>
      <c r="BK109" s="276"/>
      <c r="BL109" s="276"/>
      <c r="BM109" s="276"/>
      <c r="BN109" s="276"/>
      <c r="BO109" s="276"/>
      <c r="BP109" s="277"/>
      <c r="BQ109" s="399"/>
      <c r="BR109" s="400"/>
      <c r="BS109" s="401"/>
      <c r="BT109" s="278"/>
      <c r="BU109" s="352"/>
      <c r="BV109" s="279">
        <v>127</v>
      </c>
      <c r="BW109" s="353"/>
      <c r="BX109" s="934" t="s">
        <v>120</v>
      </c>
      <c r="BY109" s="552"/>
      <c r="BZ109" s="552"/>
      <c r="CA109" s="941" t="s">
        <v>120</v>
      </c>
      <c r="CB109" s="553"/>
      <c r="CC109" s="330"/>
      <c r="CD109" s="554"/>
      <c r="CE109" s="554"/>
      <c r="CF109" s="513"/>
      <c r="CG109" s="555"/>
      <c r="CH109" s="556"/>
      <c r="CI109" s="379" t="s">
        <v>509</v>
      </c>
      <c r="CJ109" s="380" t="s">
        <v>509</v>
      </c>
      <c r="CK109" s="381" t="s">
        <v>509</v>
      </c>
      <c r="CL109" s="370" t="s">
        <v>509</v>
      </c>
      <c r="CM109" s="371" t="s">
        <v>509</v>
      </c>
      <c r="CN109" s="372" t="s">
        <v>509</v>
      </c>
      <c r="CO109" s="70" t="s">
        <v>32</v>
      </c>
      <c r="CP109" s="97" t="s">
        <v>509</v>
      </c>
      <c r="CQ109" s="69" t="s">
        <v>509</v>
      </c>
      <c r="CR109" s="280" t="s">
        <v>510</v>
      </c>
      <c r="CS109" s="118">
        <v>1</v>
      </c>
      <c r="CT109" s="119">
        <v>0.7</v>
      </c>
      <c r="CU109" s="120"/>
      <c r="CV109" s="882">
        <v>0</v>
      </c>
      <c r="CW109" s="340"/>
      <c r="CX109" s="345"/>
      <c r="CY109" s="121"/>
      <c r="CZ109" s="122"/>
      <c r="DA109" s="104">
        <v>0.9</v>
      </c>
      <c r="DB109" s="123">
        <v>0.43588989435406728</v>
      </c>
      <c r="DC109" s="949" t="s">
        <v>120</v>
      </c>
      <c r="DD109" s="124"/>
      <c r="DE109" s="124"/>
      <c r="DF109" s="125"/>
      <c r="DG109" s="126"/>
      <c r="DH109" s="121"/>
      <c r="DI109" s="127"/>
      <c r="DJ109" s="120"/>
      <c r="DK109" s="122"/>
      <c r="DL109" s="106"/>
      <c r="DM109" s="107">
        <v>0</v>
      </c>
      <c r="DN109" s="948" t="s">
        <v>120</v>
      </c>
      <c r="DO109" s="128"/>
      <c r="DP109" s="129"/>
      <c r="DQ109" s="121"/>
      <c r="DR109" s="121"/>
      <c r="DS109" s="121"/>
      <c r="DT109" s="121"/>
      <c r="DU109" s="130"/>
      <c r="DV109" s="131"/>
      <c r="DW109" s="131"/>
      <c r="DX109" s="127"/>
      <c r="DY109" s="132"/>
      <c r="DZ109" s="132"/>
      <c r="EA109" s="132"/>
      <c r="EB109" s="132"/>
      <c r="EC109" s="133"/>
      <c r="ED109" s="134"/>
      <c r="EE109" s="135"/>
      <c r="EF109" s="136">
        <v>0</v>
      </c>
      <c r="EG109" s="393">
        <v>0</v>
      </c>
      <c r="EH109" s="536"/>
      <c r="EI109" s="544">
        <v>30</v>
      </c>
      <c r="EJ109" s="14"/>
      <c r="EK109" s="14"/>
      <c r="EL109" s="14"/>
      <c r="EM109" s="540"/>
      <c r="EN109" s="546"/>
      <c r="EO109" s="11"/>
      <c r="EP109" s="883" t="s">
        <v>79</v>
      </c>
      <c r="EQ109" s="883"/>
      <c r="ER109" s="254"/>
      <c r="ES109" s="254"/>
      <c r="FC109" s="3">
        <v>0</v>
      </c>
      <c r="FD109" s="254"/>
      <c r="FE109" s="254"/>
      <c r="FF109" s="884">
        <v>1</v>
      </c>
      <c r="FG109" s="254"/>
      <c r="FH109" s="884"/>
      <c r="FI109" s="254"/>
      <c r="FJ109" s="884"/>
      <c r="FK109" s="3">
        <v>0</v>
      </c>
    </row>
    <row r="110" spans="1:167" s="3" customFormat="1">
      <c r="A110" s="254"/>
      <c r="B110" s="255">
        <v>80</v>
      </c>
      <c r="C110" s="97"/>
      <c r="D110" s="97"/>
      <c r="E110" s="880"/>
      <c r="F110" s="256">
        <v>1</v>
      </c>
      <c r="G110" s="257">
        <v>2</v>
      </c>
      <c r="H110" s="257" t="s">
        <v>29</v>
      </c>
      <c r="I110" s="258" t="s">
        <v>595</v>
      </c>
      <c r="J110" s="259">
        <v>8</v>
      </c>
      <c r="K110" s="260">
        <v>25</v>
      </c>
      <c r="L110" s="260">
        <v>3</v>
      </c>
      <c r="M110" s="261">
        <v>1</v>
      </c>
      <c r="N110" s="261">
        <v>1</v>
      </c>
      <c r="O110" s="262">
        <v>1</v>
      </c>
      <c r="P110" s="263">
        <v>4</v>
      </c>
      <c r="Q110" s="264">
        <v>1</v>
      </c>
      <c r="R110" s="264">
        <v>1</v>
      </c>
      <c r="S110" s="265">
        <v>1</v>
      </c>
      <c r="T110" s="265">
        <v>1</v>
      </c>
      <c r="U110" s="266">
        <v>1</v>
      </c>
      <c r="V110" s="267">
        <v>1</v>
      </c>
      <c r="W110" s="258" t="s">
        <v>311</v>
      </c>
      <c r="X110" s="268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70"/>
      <c r="BB110" s="271">
        <v>0</v>
      </c>
      <c r="BC110" s="272"/>
      <c r="BD110" s="273"/>
      <c r="BE110" s="273"/>
      <c r="BF110" s="273"/>
      <c r="BG110" s="273"/>
      <c r="BH110" s="273"/>
      <c r="BI110" s="274"/>
      <c r="BJ110" s="275"/>
      <c r="BK110" s="276"/>
      <c r="BL110" s="276"/>
      <c r="BM110" s="276"/>
      <c r="BN110" s="276"/>
      <c r="BO110" s="276"/>
      <c r="BP110" s="277"/>
      <c r="BQ110" s="399"/>
      <c r="BR110" s="400"/>
      <c r="BS110" s="401"/>
      <c r="BT110" s="278"/>
      <c r="BU110" s="352"/>
      <c r="BV110" s="279">
        <v>127</v>
      </c>
      <c r="BW110" s="353"/>
      <c r="BX110" s="934" t="s">
        <v>120</v>
      </c>
      <c r="BY110" s="552"/>
      <c r="BZ110" s="552"/>
      <c r="CA110" s="941" t="s">
        <v>120</v>
      </c>
      <c r="CB110" s="553"/>
      <c r="CC110" s="330"/>
      <c r="CD110" s="554"/>
      <c r="CE110" s="554"/>
      <c r="CF110" s="513"/>
      <c r="CG110" s="555"/>
      <c r="CH110" s="556"/>
      <c r="CI110" s="379" t="s">
        <v>509</v>
      </c>
      <c r="CJ110" s="380" t="s">
        <v>509</v>
      </c>
      <c r="CK110" s="381" t="s">
        <v>509</v>
      </c>
      <c r="CL110" s="370" t="s">
        <v>509</v>
      </c>
      <c r="CM110" s="371" t="s">
        <v>509</v>
      </c>
      <c r="CN110" s="372" t="s">
        <v>509</v>
      </c>
      <c r="CO110" s="70" t="s">
        <v>32</v>
      </c>
      <c r="CP110" s="97" t="s">
        <v>509</v>
      </c>
      <c r="CQ110" s="69" t="s">
        <v>509</v>
      </c>
      <c r="CR110" s="280" t="s">
        <v>510</v>
      </c>
      <c r="CS110" s="118">
        <v>1</v>
      </c>
      <c r="CT110" s="119">
        <v>0.7</v>
      </c>
      <c r="CU110" s="120"/>
      <c r="CV110" s="882">
        <v>0</v>
      </c>
      <c r="CW110" s="340"/>
      <c r="CX110" s="345"/>
      <c r="CY110" s="121"/>
      <c r="CZ110" s="122"/>
      <c r="DA110" s="104">
        <v>0.9</v>
      </c>
      <c r="DB110" s="123">
        <v>0.43588989435406728</v>
      </c>
      <c r="DC110" s="949" t="s">
        <v>120</v>
      </c>
      <c r="DD110" s="124"/>
      <c r="DE110" s="124"/>
      <c r="DF110" s="125"/>
      <c r="DG110" s="126"/>
      <c r="DH110" s="121"/>
      <c r="DI110" s="127"/>
      <c r="DJ110" s="120"/>
      <c r="DK110" s="122"/>
      <c r="DL110" s="106"/>
      <c r="DM110" s="107">
        <v>0</v>
      </c>
      <c r="DN110" s="948" t="s">
        <v>120</v>
      </c>
      <c r="DO110" s="128"/>
      <c r="DP110" s="129"/>
      <c r="DQ110" s="121"/>
      <c r="DR110" s="121"/>
      <c r="DS110" s="121"/>
      <c r="DT110" s="121"/>
      <c r="DU110" s="130"/>
      <c r="DV110" s="131"/>
      <c r="DW110" s="131"/>
      <c r="DX110" s="127"/>
      <c r="DY110" s="132"/>
      <c r="DZ110" s="132"/>
      <c r="EA110" s="132"/>
      <c r="EB110" s="132"/>
      <c r="EC110" s="133"/>
      <c r="ED110" s="134"/>
      <c r="EE110" s="135"/>
      <c r="EF110" s="136">
        <v>0</v>
      </c>
      <c r="EG110" s="393">
        <v>0</v>
      </c>
      <c r="EH110" s="536"/>
      <c r="EI110" s="544">
        <v>30</v>
      </c>
      <c r="EJ110" s="14"/>
      <c r="EK110" s="14"/>
      <c r="EL110" s="14"/>
      <c r="EM110" s="540"/>
      <c r="EN110" s="546"/>
      <c r="EO110" s="11"/>
      <c r="EP110" s="883" t="s">
        <v>79</v>
      </c>
      <c r="EQ110" s="883"/>
      <c r="ER110" s="254"/>
      <c r="ES110" s="254"/>
      <c r="FC110" s="3">
        <v>0</v>
      </c>
      <c r="FD110" s="254"/>
      <c r="FE110" s="254"/>
      <c r="FF110" s="884">
        <v>1</v>
      </c>
      <c r="FG110" s="254"/>
      <c r="FH110" s="884"/>
      <c r="FI110" s="254"/>
      <c r="FJ110" s="884"/>
      <c r="FK110" s="3">
        <v>0</v>
      </c>
    </row>
    <row r="111" spans="1:167" s="3" customFormat="1">
      <c r="A111" s="254"/>
      <c r="B111" s="255">
        <v>81</v>
      </c>
      <c r="C111" s="97"/>
      <c r="D111" s="97"/>
      <c r="E111" s="880"/>
      <c r="F111" s="256">
        <v>1</v>
      </c>
      <c r="G111" s="257">
        <v>2</v>
      </c>
      <c r="H111" s="257" t="s">
        <v>29</v>
      </c>
      <c r="I111" s="258" t="s">
        <v>595</v>
      </c>
      <c r="J111" s="259">
        <v>8</v>
      </c>
      <c r="K111" s="260">
        <v>25</v>
      </c>
      <c r="L111" s="260">
        <v>3</v>
      </c>
      <c r="M111" s="261">
        <v>1</v>
      </c>
      <c r="N111" s="261">
        <v>1</v>
      </c>
      <c r="O111" s="262">
        <v>1</v>
      </c>
      <c r="P111" s="263">
        <v>4</v>
      </c>
      <c r="Q111" s="264">
        <v>1</v>
      </c>
      <c r="R111" s="264">
        <v>1</v>
      </c>
      <c r="S111" s="265">
        <v>1</v>
      </c>
      <c r="T111" s="265">
        <v>1</v>
      </c>
      <c r="U111" s="266">
        <v>1</v>
      </c>
      <c r="V111" s="267">
        <v>1</v>
      </c>
      <c r="W111" s="258" t="s">
        <v>311</v>
      </c>
      <c r="X111" s="268"/>
      <c r="Y111" s="269"/>
      <c r="Z111" s="269"/>
      <c r="AA111" s="269"/>
      <c r="AB111" s="269"/>
      <c r="AC111" s="269"/>
      <c r="AD111" s="269"/>
      <c r="AE111" s="269"/>
      <c r="AF111" s="269"/>
      <c r="AG111" s="269"/>
      <c r="AH111" s="269"/>
      <c r="AI111" s="269"/>
      <c r="AJ111" s="269"/>
      <c r="AK111" s="269"/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70"/>
      <c r="BB111" s="271">
        <v>0</v>
      </c>
      <c r="BC111" s="272"/>
      <c r="BD111" s="273"/>
      <c r="BE111" s="273"/>
      <c r="BF111" s="273"/>
      <c r="BG111" s="273"/>
      <c r="BH111" s="273"/>
      <c r="BI111" s="274"/>
      <c r="BJ111" s="275"/>
      <c r="BK111" s="276"/>
      <c r="BL111" s="276"/>
      <c r="BM111" s="276"/>
      <c r="BN111" s="276"/>
      <c r="BO111" s="276"/>
      <c r="BP111" s="277"/>
      <c r="BQ111" s="399"/>
      <c r="BR111" s="400"/>
      <c r="BS111" s="401"/>
      <c r="BT111" s="278"/>
      <c r="BU111" s="352"/>
      <c r="BV111" s="279">
        <v>127</v>
      </c>
      <c r="BW111" s="353"/>
      <c r="BX111" s="934" t="s">
        <v>120</v>
      </c>
      <c r="BY111" s="552"/>
      <c r="BZ111" s="552"/>
      <c r="CA111" s="941" t="s">
        <v>120</v>
      </c>
      <c r="CB111" s="553"/>
      <c r="CC111" s="330"/>
      <c r="CD111" s="554"/>
      <c r="CE111" s="554"/>
      <c r="CF111" s="513"/>
      <c r="CG111" s="555"/>
      <c r="CH111" s="556"/>
      <c r="CI111" s="379" t="s">
        <v>509</v>
      </c>
      <c r="CJ111" s="380" t="s">
        <v>509</v>
      </c>
      <c r="CK111" s="381" t="s">
        <v>509</v>
      </c>
      <c r="CL111" s="370" t="s">
        <v>509</v>
      </c>
      <c r="CM111" s="371" t="s">
        <v>509</v>
      </c>
      <c r="CN111" s="372" t="s">
        <v>509</v>
      </c>
      <c r="CO111" s="70" t="s">
        <v>26</v>
      </c>
      <c r="CP111" s="97" t="s">
        <v>509</v>
      </c>
      <c r="CQ111" s="69" t="s">
        <v>509</v>
      </c>
      <c r="CR111" s="280" t="s">
        <v>510</v>
      </c>
      <c r="CS111" s="118">
        <v>1</v>
      </c>
      <c r="CT111" s="119">
        <v>0.7</v>
      </c>
      <c r="CU111" s="120"/>
      <c r="CV111" s="882">
        <v>0</v>
      </c>
      <c r="CW111" s="340"/>
      <c r="CX111" s="345"/>
      <c r="CY111" s="121"/>
      <c r="CZ111" s="122"/>
      <c r="DA111" s="104">
        <v>0.9</v>
      </c>
      <c r="DB111" s="123">
        <v>0.43588989435406728</v>
      </c>
      <c r="DC111" s="949" t="s">
        <v>120</v>
      </c>
      <c r="DD111" s="124"/>
      <c r="DE111" s="124"/>
      <c r="DF111" s="125"/>
      <c r="DG111" s="126"/>
      <c r="DH111" s="121"/>
      <c r="DI111" s="127"/>
      <c r="DJ111" s="120"/>
      <c r="DK111" s="122"/>
      <c r="DL111" s="106"/>
      <c r="DM111" s="107">
        <v>0</v>
      </c>
      <c r="DN111" s="948" t="s">
        <v>120</v>
      </c>
      <c r="DO111" s="128"/>
      <c r="DP111" s="129"/>
      <c r="DQ111" s="121"/>
      <c r="DR111" s="121"/>
      <c r="DS111" s="121"/>
      <c r="DT111" s="121"/>
      <c r="DU111" s="130"/>
      <c r="DV111" s="131"/>
      <c r="DW111" s="131"/>
      <c r="DX111" s="127"/>
      <c r="DY111" s="132"/>
      <c r="DZ111" s="132"/>
      <c r="EA111" s="132"/>
      <c r="EB111" s="132"/>
      <c r="EC111" s="133"/>
      <c r="ED111" s="134"/>
      <c r="EE111" s="135"/>
      <c r="EF111" s="136">
        <v>0</v>
      </c>
      <c r="EG111" s="393">
        <v>0</v>
      </c>
      <c r="EH111" s="536"/>
      <c r="EI111" s="544">
        <v>30</v>
      </c>
      <c r="EJ111" s="14"/>
      <c r="EK111" s="14"/>
      <c r="EL111" s="14"/>
      <c r="EM111" s="540"/>
      <c r="EN111" s="546"/>
      <c r="EO111" s="11"/>
      <c r="EP111" s="883" t="s">
        <v>79</v>
      </c>
      <c r="EQ111" s="883"/>
      <c r="ER111" s="254"/>
      <c r="ES111" s="254"/>
      <c r="FC111" s="3">
        <v>0</v>
      </c>
      <c r="FD111" s="254"/>
      <c r="FE111" s="254"/>
      <c r="FF111" s="884">
        <v>1</v>
      </c>
      <c r="FG111" s="254"/>
      <c r="FH111" s="884"/>
      <c r="FI111" s="254"/>
      <c r="FJ111" s="884"/>
      <c r="FK111" s="3">
        <v>0</v>
      </c>
    </row>
    <row r="112" spans="1:167" s="3" customFormat="1">
      <c r="A112" s="254"/>
      <c r="B112" s="255">
        <v>82</v>
      </c>
      <c r="C112" s="97"/>
      <c r="D112" s="97"/>
      <c r="E112" s="880"/>
      <c r="F112" s="256">
        <v>1</v>
      </c>
      <c r="G112" s="257">
        <v>2</v>
      </c>
      <c r="H112" s="257" t="s">
        <v>29</v>
      </c>
      <c r="I112" s="258" t="s">
        <v>595</v>
      </c>
      <c r="J112" s="259">
        <v>8</v>
      </c>
      <c r="K112" s="260">
        <v>25</v>
      </c>
      <c r="L112" s="260">
        <v>3</v>
      </c>
      <c r="M112" s="261">
        <v>1</v>
      </c>
      <c r="N112" s="261">
        <v>1</v>
      </c>
      <c r="O112" s="262">
        <v>1</v>
      </c>
      <c r="P112" s="263">
        <v>4</v>
      </c>
      <c r="Q112" s="264">
        <v>1</v>
      </c>
      <c r="R112" s="264">
        <v>1</v>
      </c>
      <c r="S112" s="265">
        <v>1</v>
      </c>
      <c r="T112" s="265">
        <v>1</v>
      </c>
      <c r="U112" s="266">
        <v>1</v>
      </c>
      <c r="V112" s="267">
        <v>1</v>
      </c>
      <c r="W112" s="258" t="s">
        <v>311</v>
      </c>
      <c r="X112" s="268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  <c r="AJ112" s="269"/>
      <c r="AK112" s="269"/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70"/>
      <c r="BB112" s="271">
        <v>0</v>
      </c>
      <c r="BC112" s="272"/>
      <c r="BD112" s="273"/>
      <c r="BE112" s="273"/>
      <c r="BF112" s="273"/>
      <c r="BG112" s="273"/>
      <c r="BH112" s="273"/>
      <c r="BI112" s="274"/>
      <c r="BJ112" s="275"/>
      <c r="BK112" s="276"/>
      <c r="BL112" s="276"/>
      <c r="BM112" s="276"/>
      <c r="BN112" s="276"/>
      <c r="BO112" s="276"/>
      <c r="BP112" s="277"/>
      <c r="BQ112" s="399"/>
      <c r="BR112" s="400"/>
      <c r="BS112" s="401"/>
      <c r="BT112" s="278"/>
      <c r="BU112" s="352"/>
      <c r="BV112" s="279">
        <v>127</v>
      </c>
      <c r="BW112" s="353"/>
      <c r="BX112" s="934" t="s">
        <v>120</v>
      </c>
      <c r="BY112" s="552"/>
      <c r="BZ112" s="552"/>
      <c r="CA112" s="941" t="s">
        <v>120</v>
      </c>
      <c r="CB112" s="553"/>
      <c r="CC112" s="330"/>
      <c r="CD112" s="554"/>
      <c r="CE112" s="554"/>
      <c r="CF112" s="513"/>
      <c r="CG112" s="555"/>
      <c r="CH112" s="556"/>
      <c r="CI112" s="379" t="s">
        <v>509</v>
      </c>
      <c r="CJ112" s="380" t="s">
        <v>509</v>
      </c>
      <c r="CK112" s="381" t="s">
        <v>509</v>
      </c>
      <c r="CL112" s="370" t="s">
        <v>509</v>
      </c>
      <c r="CM112" s="371" t="s">
        <v>509</v>
      </c>
      <c r="CN112" s="372" t="s">
        <v>509</v>
      </c>
      <c r="CO112" s="70" t="s">
        <v>26</v>
      </c>
      <c r="CP112" s="97" t="s">
        <v>509</v>
      </c>
      <c r="CQ112" s="69" t="s">
        <v>509</v>
      </c>
      <c r="CR112" s="280" t="s">
        <v>510</v>
      </c>
      <c r="CS112" s="118">
        <v>1</v>
      </c>
      <c r="CT112" s="119">
        <v>0.7</v>
      </c>
      <c r="CU112" s="120"/>
      <c r="CV112" s="882">
        <v>0</v>
      </c>
      <c r="CW112" s="340"/>
      <c r="CX112" s="345"/>
      <c r="CY112" s="121"/>
      <c r="CZ112" s="122"/>
      <c r="DA112" s="104">
        <v>0.9</v>
      </c>
      <c r="DB112" s="123">
        <v>0.43588989435406728</v>
      </c>
      <c r="DC112" s="949" t="s">
        <v>120</v>
      </c>
      <c r="DD112" s="124"/>
      <c r="DE112" s="124"/>
      <c r="DF112" s="125"/>
      <c r="DG112" s="126"/>
      <c r="DH112" s="121"/>
      <c r="DI112" s="127"/>
      <c r="DJ112" s="120"/>
      <c r="DK112" s="122"/>
      <c r="DL112" s="106"/>
      <c r="DM112" s="107">
        <v>0</v>
      </c>
      <c r="DN112" s="948" t="s">
        <v>120</v>
      </c>
      <c r="DO112" s="128"/>
      <c r="DP112" s="129"/>
      <c r="DQ112" s="121"/>
      <c r="DR112" s="121"/>
      <c r="DS112" s="121"/>
      <c r="DT112" s="121"/>
      <c r="DU112" s="130"/>
      <c r="DV112" s="131"/>
      <c r="DW112" s="131"/>
      <c r="DX112" s="127"/>
      <c r="DY112" s="132"/>
      <c r="DZ112" s="132"/>
      <c r="EA112" s="132"/>
      <c r="EB112" s="132"/>
      <c r="EC112" s="133"/>
      <c r="ED112" s="134"/>
      <c r="EE112" s="135"/>
      <c r="EF112" s="136">
        <v>0</v>
      </c>
      <c r="EG112" s="393">
        <v>0</v>
      </c>
      <c r="EH112" s="536"/>
      <c r="EI112" s="544">
        <v>30</v>
      </c>
      <c r="EJ112" s="14"/>
      <c r="EK112" s="14"/>
      <c r="EL112" s="14"/>
      <c r="EM112" s="540"/>
      <c r="EN112" s="546"/>
      <c r="EO112" s="11"/>
      <c r="EP112" s="883" t="s">
        <v>79</v>
      </c>
      <c r="EQ112" s="883"/>
      <c r="ER112" s="254"/>
      <c r="ES112" s="254"/>
      <c r="FC112" s="3">
        <v>0</v>
      </c>
      <c r="FD112" s="254"/>
      <c r="FE112" s="254"/>
      <c r="FF112" s="884">
        <v>1</v>
      </c>
      <c r="FG112" s="254"/>
      <c r="FH112" s="884"/>
      <c r="FI112" s="254"/>
      <c r="FJ112" s="884"/>
      <c r="FK112" s="3">
        <v>0</v>
      </c>
    </row>
    <row r="113" spans="1:169" s="3" customFormat="1">
      <c r="A113" s="254"/>
      <c r="B113" s="255">
        <v>83</v>
      </c>
      <c r="C113" s="97"/>
      <c r="D113" s="97"/>
      <c r="E113" s="880"/>
      <c r="F113" s="256">
        <v>1</v>
      </c>
      <c r="G113" s="257">
        <v>2</v>
      </c>
      <c r="H113" s="257" t="s">
        <v>29</v>
      </c>
      <c r="I113" s="258" t="s">
        <v>595</v>
      </c>
      <c r="J113" s="259">
        <v>8</v>
      </c>
      <c r="K113" s="260">
        <v>25</v>
      </c>
      <c r="L113" s="260">
        <v>3</v>
      </c>
      <c r="M113" s="261">
        <v>1</v>
      </c>
      <c r="N113" s="261">
        <v>1</v>
      </c>
      <c r="O113" s="262">
        <v>1</v>
      </c>
      <c r="P113" s="263">
        <v>4</v>
      </c>
      <c r="Q113" s="264">
        <v>1</v>
      </c>
      <c r="R113" s="264">
        <v>1</v>
      </c>
      <c r="S113" s="265">
        <v>1</v>
      </c>
      <c r="T113" s="265">
        <v>1</v>
      </c>
      <c r="U113" s="266">
        <v>1</v>
      </c>
      <c r="V113" s="267">
        <v>1</v>
      </c>
      <c r="W113" s="258" t="s">
        <v>311</v>
      </c>
      <c r="X113" s="268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70"/>
      <c r="BB113" s="271">
        <v>0</v>
      </c>
      <c r="BC113" s="272"/>
      <c r="BD113" s="273"/>
      <c r="BE113" s="273"/>
      <c r="BF113" s="273"/>
      <c r="BG113" s="273"/>
      <c r="BH113" s="273"/>
      <c r="BI113" s="274"/>
      <c r="BJ113" s="275"/>
      <c r="BK113" s="276"/>
      <c r="BL113" s="276"/>
      <c r="BM113" s="276"/>
      <c r="BN113" s="276"/>
      <c r="BO113" s="276"/>
      <c r="BP113" s="277"/>
      <c r="BQ113" s="399"/>
      <c r="BR113" s="400"/>
      <c r="BS113" s="401"/>
      <c r="BT113" s="278"/>
      <c r="BU113" s="352"/>
      <c r="BV113" s="279">
        <v>127</v>
      </c>
      <c r="BW113" s="353"/>
      <c r="BX113" s="934" t="s">
        <v>120</v>
      </c>
      <c r="BY113" s="552"/>
      <c r="BZ113" s="552"/>
      <c r="CA113" s="941" t="s">
        <v>120</v>
      </c>
      <c r="CB113" s="553"/>
      <c r="CC113" s="330"/>
      <c r="CD113" s="554"/>
      <c r="CE113" s="554"/>
      <c r="CF113" s="513"/>
      <c r="CG113" s="555"/>
      <c r="CH113" s="556"/>
      <c r="CI113" s="379" t="s">
        <v>509</v>
      </c>
      <c r="CJ113" s="380" t="s">
        <v>509</v>
      </c>
      <c r="CK113" s="381" t="s">
        <v>509</v>
      </c>
      <c r="CL113" s="370" t="s">
        <v>509</v>
      </c>
      <c r="CM113" s="371" t="s">
        <v>509</v>
      </c>
      <c r="CN113" s="372" t="s">
        <v>509</v>
      </c>
      <c r="CO113" s="70" t="s">
        <v>27</v>
      </c>
      <c r="CP113" s="97" t="s">
        <v>509</v>
      </c>
      <c r="CQ113" s="69" t="s">
        <v>509</v>
      </c>
      <c r="CR113" s="280" t="s">
        <v>510</v>
      </c>
      <c r="CS113" s="118">
        <v>1</v>
      </c>
      <c r="CT113" s="119">
        <v>0.7</v>
      </c>
      <c r="CU113" s="120"/>
      <c r="CV113" s="882">
        <v>0</v>
      </c>
      <c r="CW113" s="340"/>
      <c r="CX113" s="345"/>
      <c r="CY113" s="121"/>
      <c r="CZ113" s="122"/>
      <c r="DA113" s="104">
        <v>0.9</v>
      </c>
      <c r="DB113" s="123">
        <v>0.43588989435406728</v>
      </c>
      <c r="DC113" s="949" t="s">
        <v>120</v>
      </c>
      <c r="DD113" s="124"/>
      <c r="DE113" s="124"/>
      <c r="DF113" s="125"/>
      <c r="DG113" s="126"/>
      <c r="DH113" s="121"/>
      <c r="DI113" s="127"/>
      <c r="DJ113" s="120"/>
      <c r="DK113" s="122"/>
      <c r="DL113" s="106"/>
      <c r="DM113" s="107">
        <v>0</v>
      </c>
      <c r="DN113" s="948" t="s">
        <v>120</v>
      </c>
      <c r="DO113" s="128"/>
      <c r="DP113" s="129"/>
      <c r="DQ113" s="121"/>
      <c r="DR113" s="121"/>
      <c r="DS113" s="121"/>
      <c r="DT113" s="121"/>
      <c r="DU113" s="130"/>
      <c r="DV113" s="131"/>
      <c r="DW113" s="131"/>
      <c r="DX113" s="127"/>
      <c r="DY113" s="132"/>
      <c r="DZ113" s="132"/>
      <c r="EA113" s="132"/>
      <c r="EB113" s="132"/>
      <c r="EC113" s="133"/>
      <c r="ED113" s="134"/>
      <c r="EE113" s="135"/>
      <c r="EF113" s="136">
        <v>0</v>
      </c>
      <c r="EG113" s="393">
        <v>0</v>
      </c>
      <c r="EH113" s="536"/>
      <c r="EI113" s="544">
        <v>30</v>
      </c>
      <c r="EJ113" s="14"/>
      <c r="EK113" s="14"/>
      <c r="EL113" s="14"/>
      <c r="EM113" s="540"/>
      <c r="EN113" s="546"/>
      <c r="EO113" s="11"/>
      <c r="EP113" s="883" t="s">
        <v>79</v>
      </c>
      <c r="EQ113" s="883"/>
      <c r="ER113" s="254"/>
      <c r="ES113" s="254"/>
      <c r="FC113" s="3">
        <v>0</v>
      </c>
      <c r="FD113" s="254"/>
      <c r="FE113" s="254"/>
      <c r="FF113" s="884">
        <v>1</v>
      </c>
      <c r="FG113" s="254"/>
      <c r="FH113" s="884"/>
      <c r="FI113" s="254"/>
      <c r="FJ113" s="884"/>
      <c r="FK113" s="3">
        <v>0</v>
      </c>
    </row>
    <row r="114" spans="1:169" s="3" customFormat="1">
      <c r="A114" s="254"/>
      <c r="B114" s="255">
        <v>84</v>
      </c>
      <c r="C114" s="97"/>
      <c r="D114" s="97"/>
      <c r="E114" s="880"/>
      <c r="F114" s="256">
        <v>1</v>
      </c>
      <c r="G114" s="257">
        <v>2</v>
      </c>
      <c r="H114" s="257" t="s">
        <v>29</v>
      </c>
      <c r="I114" s="258" t="s">
        <v>595</v>
      </c>
      <c r="J114" s="259">
        <v>8</v>
      </c>
      <c r="K114" s="260">
        <v>25</v>
      </c>
      <c r="L114" s="260">
        <v>3</v>
      </c>
      <c r="M114" s="261">
        <v>1</v>
      </c>
      <c r="N114" s="261">
        <v>1</v>
      </c>
      <c r="O114" s="262">
        <v>1</v>
      </c>
      <c r="P114" s="263">
        <v>4</v>
      </c>
      <c r="Q114" s="264">
        <v>1</v>
      </c>
      <c r="R114" s="264">
        <v>1</v>
      </c>
      <c r="S114" s="265">
        <v>1</v>
      </c>
      <c r="T114" s="265">
        <v>1</v>
      </c>
      <c r="U114" s="266">
        <v>1</v>
      </c>
      <c r="V114" s="267">
        <v>1</v>
      </c>
      <c r="W114" s="258" t="s">
        <v>311</v>
      </c>
      <c r="X114" s="268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70"/>
      <c r="BB114" s="271">
        <v>0</v>
      </c>
      <c r="BC114" s="272"/>
      <c r="BD114" s="273"/>
      <c r="BE114" s="273"/>
      <c r="BF114" s="273"/>
      <c r="BG114" s="273"/>
      <c r="BH114" s="273"/>
      <c r="BI114" s="274"/>
      <c r="BJ114" s="275"/>
      <c r="BK114" s="276"/>
      <c r="BL114" s="276"/>
      <c r="BM114" s="276"/>
      <c r="BN114" s="276"/>
      <c r="BO114" s="276"/>
      <c r="BP114" s="277"/>
      <c r="BQ114" s="399"/>
      <c r="BR114" s="400"/>
      <c r="BS114" s="401"/>
      <c r="BT114" s="278"/>
      <c r="BU114" s="352"/>
      <c r="BV114" s="279">
        <v>127</v>
      </c>
      <c r="BW114" s="353"/>
      <c r="BX114" s="934" t="s">
        <v>120</v>
      </c>
      <c r="BY114" s="552"/>
      <c r="BZ114" s="552"/>
      <c r="CA114" s="941" t="s">
        <v>120</v>
      </c>
      <c r="CB114" s="553"/>
      <c r="CC114" s="330"/>
      <c r="CD114" s="554"/>
      <c r="CE114" s="554"/>
      <c r="CF114" s="513"/>
      <c r="CG114" s="555"/>
      <c r="CH114" s="556"/>
      <c r="CI114" s="379" t="s">
        <v>509</v>
      </c>
      <c r="CJ114" s="380" t="s">
        <v>509</v>
      </c>
      <c r="CK114" s="381" t="s">
        <v>509</v>
      </c>
      <c r="CL114" s="370" t="s">
        <v>509</v>
      </c>
      <c r="CM114" s="371" t="s">
        <v>509</v>
      </c>
      <c r="CN114" s="372" t="s">
        <v>509</v>
      </c>
      <c r="CO114" s="70" t="s">
        <v>27</v>
      </c>
      <c r="CP114" s="97" t="s">
        <v>509</v>
      </c>
      <c r="CQ114" s="69" t="s">
        <v>509</v>
      </c>
      <c r="CR114" s="280" t="s">
        <v>510</v>
      </c>
      <c r="CS114" s="118">
        <v>1</v>
      </c>
      <c r="CT114" s="119">
        <v>0.7</v>
      </c>
      <c r="CU114" s="120"/>
      <c r="CV114" s="882">
        <v>0</v>
      </c>
      <c r="CW114" s="340"/>
      <c r="CX114" s="345"/>
      <c r="CY114" s="121"/>
      <c r="CZ114" s="122"/>
      <c r="DA114" s="104">
        <v>0.9</v>
      </c>
      <c r="DB114" s="123">
        <v>0.43588989435406728</v>
      </c>
      <c r="DC114" s="949" t="s">
        <v>120</v>
      </c>
      <c r="DD114" s="124"/>
      <c r="DE114" s="124"/>
      <c r="DF114" s="125"/>
      <c r="DG114" s="126"/>
      <c r="DH114" s="121"/>
      <c r="DI114" s="127"/>
      <c r="DJ114" s="120"/>
      <c r="DK114" s="122"/>
      <c r="DL114" s="106"/>
      <c r="DM114" s="107">
        <v>0</v>
      </c>
      <c r="DN114" s="948" t="s">
        <v>120</v>
      </c>
      <c r="DO114" s="128"/>
      <c r="DP114" s="129"/>
      <c r="DQ114" s="121"/>
      <c r="DR114" s="121"/>
      <c r="DS114" s="121"/>
      <c r="DT114" s="121"/>
      <c r="DU114" s="130"/>
      <c r="DV114" s="131"/>
      <c r="DW114" s="131"/>
      <c r="DX114" s="127"/>
      <c r="DY114" s="132"/>
      <c r="DZ114" s="132"/>
      <c r="EA114" s="132"/>
      <c r="EB114" s="132"/>
      <c r="EC114" s="133"/>
      <c r="ED114" s="134"/>
      <c r="EE114" s="135"/>
      <c r="EF114" s="136">
        <v>0</v>
      </c>
      <c r="EG114" s="393">
        <v>0</v>
      </c>
      <c r="EH114" s="536"/>
      <c r="EI114" s="544">
        <v>30</v>
      </c>
      <c r="EJ114" s="14"/>
      <c r="EK114" s="14"/>
      <c r="EL114" s="14"/>
      <c r="EM114" s="540"/>
      <c r="EN114" s="546"/>
      <c r="EO114" s="11"/>
      <c r="EP114" s="883" t="s">
        <v>79</v>
      </c>
      <c r="EQ114" s="883"/>
      <c r="ER114" s="254"/>
      <c r="ES114" s="254"/>
      <c r="EX114" s="930"/>
      <c r="FC114" s="3">
        <v>0</v>
      </c>
      <c r="FD114" s="254"/>
      <c r="FE114" s="254"/>
      <c r="FF114" s="884">
        <v>1</v>
      </c>
      <c r="FG114" s="254"/>
      <c r="FH114" s="884"/>
      <c r="FI114" s="254"/>
      <c r="FJ114" s="884"/>
      <c r="FK114" s="3">
        <v>0</v>
      </c>
    </row>
    <row r="115" spans="1:169" ht="13.8" thickBot="1">
      <c r="B115" s="137"/>
      <c r="C115" s="137"/>
      <c r="D115" s="137"/>
      <c r="E115" s="138"/>
      <c r="F115" s="139"/>
      <c r="G115" s="140"/>
      <c r="H115" s="140"/>
      <c r="I115" s="141"/>
      <c r="J115" s="142"/>
      <c r="K115" s="143"/>
      <c r="L115" s="143"/>
      <c r="M115" s="144"/>
      <c r="N115" s="144"/>
      <c r="O115" s="145"/>
      <c r="P115" s="146"/>
      <c r="Q115" s="147"/>
      <c r="R115" s="147"/>
      <c r="S115" s="148"/>
      <c r="T115" s="148"/>
      <c r="U115" s="149"/>
      <c r="V115" s="150"/>
      <c r="W115" s="141"/>
      <c r="X115" s="151"/>
      <c r="Y115" s="152"/>
      <c r="Z115" s="152"/>
      <c r="AA115" s="152"/>
      <c r="AB115" s="152"/>
      <c r="AC115" s="152"/>
      <c r="AD115" s="152"/>
      <c r="AE115" s="152"/>
      <c r="AF115" s="152"/>
      <c r="AG115" s="152"/>
      <c r="AH115" s="152"/>
      <c r="AI115" s="152"/>
      <c r="AJ115" s="152"/>
      <c r="AK115" s="152"/>
      <c r="AL115" s="152"/>
      <c r="AM115" s="152"/>
      <c r="AN115" s="152"/>
      <c r="AO115" s="152"/>
      <c r="AP115" s="152"/>
      <c r="AQ115" s="152"/>
      <c r="AR115" s="152"/>
      <c r="AS115" s="152"/>
      <c r="AT115" s="152"/>
      <c r="AU115" s="152"/>
      <c r="AV115" s="152"/>
      <c r="AW115" s="152"/>
      <c r="AX115" s="152"/>
      <c r="AY115" s="152"/>
      <c r="AZ115" s="152"/>
      <c r="BA115" s="153"/>
      <c r="BB115" s="154"/>
      <c r="BC115" s="155"/>
      <c r="BD115" s="156"/>
      <c r="BE115" s="156"/>
      <c r="BF115" s="156"/>
      <c r="BG115" s="156"/>
      <c r="BH115" s="156"/>
      <c r="BI115" s="157"/>
      <c r="BJ115" s="158"/>
      <c r="BK115" s="159"/>
      <c r="BL115" s="159"/>
      <c r="BM115" s="159"/>
      <c r="BN115" s="159"/>
      <c r="BO115" s="159"/>
      <c r="BP115" s="160"/>
      <c r="BQ115" s="193"/>
      <c r="BR115" s="397"/>
      <c r="BS115" s="194"/>
      <c r="BT115" s="161"/>
      <c r="BU115" s="161"/>
      <c r="BV115" s="162"/>
      <c r="BW115" s="163"/>
      <c r="BX115" s="935"/>
      <c r="BY115" s="164"/>
      <c r="BZ115" s="164"/>
      <c r="CA115" s="942"/>
      <c r="CB115" s="165"/>
      <c r="CC115" s="166"/>
      <c r="CD115" s="167"/>
      <c r="CE115" s="167"/>
      <c r="CF115" s="168"/>
      <c r="CG115" s="169"/>
      <c r="CH115" s="170"/>
      <c r="CI115" s="150"/>
      <c r="CJ115" s="382"/>
      <c r="CK115" s="383"/>
      <c r="CL115" s="365"/>
      <c r="CM115" s="366"/>
      <c r="CN115" s="359"/>
      <c r="CO115" s="171"/>
      <c r="CP115" s="137"/>
      <c r="CQ115" s="138"/>
      <c r="CR115" s="172"/>
      <c r="CS115" s="173"/>
      <c r="CT115" s="174"/>
      <c r="CU115" s="175"/>
      <c r="CV115" s="886"/>
      <c r="CW115" s="341"/>
      <c r="CX115" s="346"/>
      <c r="CY115" s="176"/>
      <c r="CZ115" s="177"/>
      <c r="DA115" s="178"/>
      <c r="DB115" s="179"/>
      <c r="DC115" s="887"/>
      <c r="DD115" s="180"/>
      <c r="DE115" s="180"/>
      <c r="DF115" s="181"/>
      <c r="DG115" s="182"/>
      <c r="DH115" s="176"/>
      <c r="DI115" s="183"/>
      <c r="DJ115" s="175"/>
      <c r="DK115" s="177"/>
      <c r="DL115" s="184"/>
      <c r="DM115" s="185"/>
      <c r="DN115" s="888"/>
      <c r="DO115" s="186"/>
      <c r="DP115" s="187"/>
      <c r="DQ115" s="176"/>
      <c r="DR115" s="176"/>
      <c r="DS115" s="176"/>
      <c r="DT115" s="188"/>
      <c r="DU115" s="189"/>
      <c r="DV115" s="190"/>
      <c r="DW115" s="190"/>
      <c r="DX115" s="183"/>
      <c r="DY115" s="191"/>
      <c r="DZ115" s="191"/>
      <c r="EA115" s="191"/>
      <c r="EB115" s="191"/>
      <c r="EC115" s="192"/>
      <c r="ED115" s="195"/>
      <c r="EE115" s="196"/>
      <c r="EF115" s="197"/>
      <c r="EG115" s="394"/>
      <c r="EH115" s="537"/>
      <c r="EI115" s="544">
        <v>30</v>
      </c>
      <c r="EJ115" s="45"/>
      <c r="EK115" s="45"/>
      <c r="EL115" s="45"/>
      <c r="EM115" s="45"/>
      <c r="EN115" s="543"/>
      <c r="EO115" s="11"/>
      <c r="EW115" s="3"/>
      <c r="EX115" s="3"/>
      <c r="EY115" s="3"/>
      <c r="EZ115" s="3"/>
      <c r="FA115" s="3"/>
      <c r="FB115" s="3"/>
      <c r="FC115" s="3">
        <v>0</v>
      </c>
      <c r="FD115" s="64"/>
      <c r="FE115" s="64"/>
      <c r="FF115" s="889"/>
      <c r="FG115" s="64"/>
      <c r="FH115" s="889"/>
      <c r="FI115" s="64"/>
      <c r="FJ115" s="889"/>
      <c r="FL115" s="3"/>
    </row>
    <row r="116" spans="1:169" ht="13.8" thickBot="1">
      <c r="B116" s="198"/>
      <c r="C116" s="199"/>
      <c r="D116" s="199"/>
      <c r="E116" s="200" t="s">
        <v>653</v>
      </c>
      <c r="F116" s="281">
        <v>3</v>
      </c>
      <c r="G116" s="282">
        <v>4</v>
      </c>
      <c r="H116" s="282" t="s">
        <v>51</v>
      </c>
      <c r="I116" s="283" t="s">
        <v>646</v>
      </c>
      <c r="J116" s="284">
        <v>8</v>
      </c>
      <c r="K116" s="285">
        <v>120</v>
      </c>
      <c r="L116" s="285">
        <v>1.9438544433295104</v>
      </c>
      <c r="M116" s="286">
        <v>1</v>
      </c>
      <c r="N116" s="286">
        <v>2</v>
      </c>
      <c r="O116" s="287">
        <v>1</v>
      </c>
      <c r="P116" s="288">
        <v>1</v>
      </c>
      <c r="Q116" s="289"/>
      <c r="R116" s="289">
        <v>2</v>
      </c>
      <c r="S116" s="290">
        <v>1</v>
      </c>
      <c r="T116" s="290">
        <v>1</v>
      </c>
      <c r="U116" s="291">
        <v>1</v>
      </c>
      <c r="V116" s="292">
        <v>0.8</v>
      </c>
      <c r="W116" s="283" t="s">
        <v>311</v>
      </c>
      <c r="X116" s="204">
        <v>0</v>
      </c>
      <c r="Y116" s="205">
        <v>1</v>
      </c>
      <c r="Z116" s="205">
        <v>4</v>
      </c>
      <c r="AA116" s="205">
        <v>1</v>
      </c>
      <c r="AB116" s="205">
        <v>0</v>
      </c>
      <c r="AC116" s="205">
        <v>0</v>
      </c>
      <c r="AD116" s="205">
        <v>0</v>
      </c>
      <c r="AE116" s="205">
        <v>0</v>
      </c>
      <c r="AF116" s="205">
        <v>0</v>
      </c>
      <c r="AG116" s="205">
        <v>0</v>
      </c>
      <c r="AH116" s="205">
        <v>0</v>
      </c>
      <c r="AI116" s="205">
        <v>0</v>
      </c>
      <c r="AJ116" s="205">
        <v>0</v>
      </c>
      <c r="AK116" s="205">
        <v>0</v>
      </c>
      <c r="AL116" s="205">
        <v>0</v>
      </c>
      <c r="AM116" s="205">
        <v>0</v>
      </c>
      <c r="AN116" s="205">
        <v>0</v>
      </c>
      <c r="AO116" s="205">
        <v>0</v>
      </c>
      <c r="AP116" s="205">
        <v>0</v>
      </c>
      <c r="AQ116" s="205">
        <v>0</v>
      </c>
      <c r="AR116" s="205">
        <v>0</v>
      </c>
      <c r="AS116" s="205">
        <v>0</v>
      </c>
      <c r="AT116" s="205">
        <v>0</v>
      </c>
      <c r="AU116" s="205">
        <v>0</v>
      </c>
      <c r="AV116" s="205">
        <v>0</v>
      </c>
      <c r="AW116" s="205">
        <v>0</v>
      </c>
      <c r="AX116" s="205">
        <v>0</v>
      </c>
      <c r="AY116" s="205">
        <v>0</v>
      </c>
      <c r="AZ116" s="205">
        <v>0</v>
      </c>
      <c r="BA116" s="206">
        <v>0</v>
      </c>
      <c r="BB116" s="301">
        <v>93.44301999999999</v>
      </c>
      <c r="BC116" s="302">
        <v>4.5999999999999996</v>
      </c>
      <c r="BD116" s="303">
        <v>0</v>
      </c>
      <c r="BE116" s="303">
        <v>30</v>
      </c>
      <c r="BF116" s="303">
        <v>38.70702</v>
      </c>
      <c r="BG116" s="303">
        <v>0</v>
      </c>
      <c r="BH116" s="303">
        <v>0</v>
      </c>
      <c r="BI116" s="304">
        <v>0</v>
      </c>
      <c r="BJ116" s="305">
        <v>0</v>
      </c>
      <c r="BK116" s="306">
        <v>20.135999999999999</v>
      </c>
      <c r="BL116" s="306">
        <v>0</v>
      </c>
      <c r="BM116" s="306">
        <v>0</v>
      </c>
      <c r="BN116" s="306">
        <v>0</v>
      </c>
      <c r="BO116" s="306">
        <v>0</v>
      </c>
      <c r="BP116" s="307">
        <v>0</v>
      </c>
      <c r="BQ116" s="230">
        <v>38.70702</v>
      </c>
      <c r="BR116" s="76">
        <v>15.825348000000002</v>
      </c>
      <c r="BS116" s="398">
        <v>70</v>
      </c>
      <c r="BT116" s="308">
        <v>74.754415999999992</v>
      </c>
      <c r="BU116" s="350">
        <v>218.23558124598586</v>
      </c>
      <c r="BV116" s="207">
        <v>220</v>
      </c>
      <c r="BW116" s="354">
        <v>300</v>
      </c>
      <c r="BX116" s="936">
        <v>500</v>
      </c>
      <c r="BY116" s="208">
        <v>620</v>
      </c>
      <c r="BZ116" s="208">
        <v>2.0761825408485093</v>
      </c>
      <c r="CA116" s="943" t="s">
        <v>621</v>
      </c>
      <c r="CB116" s="210" t="s">
        <v>647</v>
      </c>
      <c r="CC116" s="336"/>
      <c r="CD116" s="311"/>
      <c r="CE116" s="311"/>
      <c r="CF116" s="312"/>
      <c r="CG116" s="313"/>
      <c r="CH116" s="212">
        <v>2.0761825408485093</v>
      </c>
      <c r="CI116" s="384">
        <v>32695.673333333336</v>
      </c>
      <c r="CJ116" s="385">
        <v>33109.67333333334</v>
      </c>
      <c r="CK116" s="386">
        <v>27637.673333333336</v>
      </c>
      <c r="CL116" s="363"/>
      <c r="CM116" s="360"/>
      <c r="CN116" s="364"/>
      <c r="CO116" s="213" t="s">
        <v>509</v>
      </c>
      <c r="CP116" s="199" t="s">
        <v>509</v>
      </c>
      <c r="CQ116" s="200" t="s">
        <v>509</v>
      </c>
      <c r="CR116" s="214" t="s">
        <v>510</v>
      </c>
      <c r="CS116" s="215">
        <v>1</v>
      </c>
      <c r="CT116" s="209">
        <v>0.7</v>
      </c>
      <c r="CU116" s="211"/>
      <c r="CV116" s="890"/>
      <c r="CW116" s="342">
        <v>218.23558124598586</v>
      </c>
      <c r="CX116" s="347">
        <v>300</v>
      </c>
      <c r="CY116" s="201">
        <v>353.82514492572301</v>
      </c>
      <c r="CZ116" s="216"/>
      <c r="DA116" s="217">
        <v>0.9</v>
      </c>
      <c r="DB116" s="218">
        <v>0.43588989435406728</v>
      </c>
      <c r="DC116" s="949">
        <v>600</v>
      </c>
      <c r="DD116" s="219">
        <v>385</v>
      </c>
      <c r="DE116" s="219" t="e">
        <v>#VALUE!</v>
      </c>
      <c r="DF116" s="220">
        <v>0.18878327212899701</v>
      </c>
      <c r="DG116" s="202">
        <v>750</v>
      </c>
      <c r="DH116" s="201">
        <v>770</v>
      </c>
      <c r="DI116" s="221"/>
      <c r="DJ116" s="211"/>
      <c r="DK116" s="216"/>
      <c r="DL116" s="222">
        <v>257.47760144800611</v>
      </c>
      <c r="DM116" s="223">
        <v>300</v>
      </c>
      <c r="DN116" s="932">
        <v>500</v>
      </c>
      <c r="DO116" s="224">
        <v>0.14799999999999999</v>
      </c>
      <c r="DP116" s="225">
        <v>0.157</v>
      </c>
      <c r="DQ116" s="201">
        <v>23.95</v>
      </c>
      <c r="DR116" s="201">
        <v>450.50740350000001</v>
      </c>
      <c r="DS116" s="201">
        <v>4.5676015898667206</v>
      </c>
      <c r="DT116" s="226">
        <v>53.5</v>
      </c>
      <c r="DU116" s="227">
        <v>3657.5592280000001</v>
      </c>
      <c r="DV116" s="228"/>
      <c r="DW116" s="228"/>
      <c r="DX116" s="221"/>
      <c r="DY116" s="203"/>
      <c r="DZ116" s="203"/>
      <c r="EA116" s="203"/>
      <c r="EB116" s="203"/>
      <c r="EC116" s="229"/>
      <c r="ED116" s="231" t="s">
        <v>699</v>
      </c>
      <c r="EE116" s="232"/>
      <c r="EF116" s="233" t="e">
        <v>#VALUE!</v>
      </c>
      <c r="EG116" s="395" t="e">
        <v>#VALUE!</v>
      </c>
      <c r="EH116" s="538">
        <v>0</v>
      </c>
      <c r="EI116" s="544">
        <v>30</v>
      </c>
      <c r="EJ116" s="14"/>
      <c r="EK116" s="45"/>
      <c r="EL116" s="45"/>
      <c r="EM116" s="45"/>
      <c r="EN116" s="543"/>
      <c r="EO116" s="11">
        <v>3657.5592280000001</v>
      </c>
      <c r="EP116" s="254" t="s">
        <v>188</v>
      </c>
      <c r="EW116" s="3"/>
      <c r="EX116" s="930"/>
      <c r="EY116" s="3"/>
      <c r="EZ116" s="930"/>
      <c r="FA116" s="3"/>
      <c r="FB116" s="3"/>
      <c r="FC116" s="3">
        <v>0</v>
      </c>
      <c r="FD116" s="64"/>
      <c r="FE116" s="64"/>
      <c r="FF116" s="889">
        <v>1</v>
      </c>
      <c r="FG116" s="64"/>
      <c r="FH116" s="889"/>
      <c r="FI116" s="64"/>
      <c r="FJ116" s="889"/>
      <c r="FK116" s="3">
        <v>29</v>
      </c>
      <c r="FM116" s="3" t="s">
        <v>700</v>
      </c>
    </row>
    <row r="117" spans="1:169" s="3" customFormat="1" ht="13.8" thickBot="1">
      <c r="H117" s="820" t="s">
        <v>566</v>
      </c>
      <c r="I117" s="3" t="s">
        <v>654</v>
      </c>
      <c r="AY117" s="3" t="s">
        <v>639</v>
      </c>
      <c r="AZ117" s="891" t="s">
        <v>640</v>
      </c>
      <c r="BA117" s="891" t="s">
        <v>14</v>
      </c>
      <c r="BX117" s="937"/>
      <c r="BY117" s="820" t="s">
        <v>588</v>
      </c>
      <c r="CA117" s="937">
        <v>506.8</v>
      </c>
      <c r="CB117" s="3" t="s">
        <v>701</v>
      </c>
      <c r="CR117" s="3" t="s">
        <v>510</v>
      </c>
      <c r="CX117" s="820">
        <v>300</v>
      </c>
      <c r="DN117" s="950">
        <v>500</v>
      </c>
      <c r="DO117" s="930" t="e">
        <v>#VALUE!</v>
      </c>
      <c r="EO117" s="11"/>
      <c r="FC117" s="3">
        <v>0</v>
      </c>
      <c r="FD117" s="254"/>
      <c r="FE117" s="254"/>
      <c r="FF117" s="884"/>
      <c r="FG117" s="254"/>
      <c r="FH117" s="884"/>
      <c r="FI117" s="254"/>
      <c r="FJ117" s="884"/>
    </row>
    <row r="118" spans="1:169" ht="13.8" thickBot="1">
      <c r="B118" s="961" t="s">
        <v>567</v>
      </c>
      <c r="C118" s="962"/>
      <c r="D118" s="963"/>
      <c r="E118" s="97" t="s">
        <v>55</v>
      </c>
      <c r="F118" s="257">
        <v>3</v>
      </c>
      <c r="G118" s="257">
        <v>4</v>
      </c>
      <c r="H118" s="257" t="s">
        <v>49</v>
      </c>
      <c r="I118" s="892" t="s">
        <v>646</v>
      </c>
      <c r="J118" s="293">
        <v>4</v>
      </c>
      <c r="K118" s="294">
        <v>8</v>
      </c>
      <c r="L118" s="294">
        <v>1.9438544433295104</v>
      </c>
      <c r="M118" s="893">
        <v>1</v>
      </c>
      <c r="N118" s="893">
        <v>1</v>
      </c>
      <c r="O118" s="893">
        <v>1</v>
      </c>
      <c r="P118" s="296">
        <v>6</v>
      </c>
      <c r="Q118" s="297"/>
      <c r="R118" s="297">
        <v>2</v>
      </c>
      <c r="S118" s="298">
        <v>1</v>
      </c>
      <c r="T118" s="298">
        <v>1</v>
      </c>
      <c r="U118" s="298">
        <v>1</v>
      </c>
      <c r="V118" s="299">
        <v>1</v>
      </c>
      <c r="W118" s="300" t="s">
        <v>311</v>
      </c>
      <c r="X118" s="243"/>
      <c r="Y118" s="243"/>
      <c r="Z118" s="243"/>
      <c r="AA118" s="243"/>
      <c r="AB118" s="243"/>
      <c r="AC118" s="243"/>
      <c r="AD118" s="243"/>
      <c r="AE118" s="243"/>
      <c r="AF118" s="243"/>
      <c r="AG118" s="243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>
        <v>112.5</v>
      </c>
      <c r="AZ118" s="894">
        <v>101.25</v>
      </c>
      <c r="BA118" s="894">
        <v>295.5859169732002</v>
      </c>
      <c r="BB118" s="310">
        <v>93.44301999999999</v>
      </c>
      <c r="BC118" s="273">
        <v>4.5999999999999996</v>
      </c>
      <c r="BD118" s="273">
        <v>0</v>
      </c>
      <c r="BE118" s="273">
        <v>30</v>
      </c>
      <c r="BF118" s="273">
        <v>38.70702</v>
      </c>
      <c r="BG118" s="273">
        <v>0</v>
      </c>
      <c r="BH118" s="273">
        <v>0</v>
      </c>
      <c r="BI118" s="273">
        <v>0</v>
      </c>
      <c r="BJ118" s="273">
        <v>0</v>
      </c>
      <c r="BK118" s="273">
        <v>20.135999999999999</v>
      </c>
      <c r="BL118" s="273">
        <v>0</v>
      </c>
      <c r="BM118" s="273">
        <v>0</v>
      </c>
      <c r="BN118" s="273">
        <v>0</v>
      </c>
      <c r="BO118" s="273">
        <v>0</v>
      </c>
      <c r="BP118" s="273">
        <v>0</v>
      </c>
      <c r="BQ118" s="117">
        <v>38.70702</v>
      </c>
      <c r="BR118" s="252">
        <v>15.825348000000002</v>
      </c>
      <c r="BS118" s="252">
        <v>70</v>
      </c>
      <c r="BT118" s="278">
        <v>74.754415999999992</v>
      </c>
      <c r="BU118" s="278">
        <v>218.23558124598586</v>
      </c>
      <c r="BV118" s="244">
        <v>220</v>
      </c>
      <c r="BW118" s="355">
        <v>300</v>
      </c>
      <c r="BX118" s="938" t="s">
        <v>660</v>
      </c>
      <c r="BY118" s="245">
        <v>155</v>
      </c>
      <c r="BZ118" s="245">
        <v>0.6336444765887701</v>
      </c>
      <c r="CA118" s="944">
        <v>4</v>
      </c>
      <c r="CB118" s="242" t="s">
        <v>647</v>
      </c>
      <c r="CC118" s="338"/>
      <c r="CD118" s="315"/>
      <c r="CE118" s="315"/>
      <c r="CF118" s="296"/>
      <c r="CG118" s="296"/>
      <c r="CH118" s="246">
        <v>0.6336444765887701</v>
      </c>
      <c r="CI118" s="389">
        <v>32695.673333333336</v>
      </c>
      <c r="CJ118" s="390">
        <v>33109.67333333334</v>
      </c>
      <c r="CK118" s="391">
        <v>27637.673333333336</v>
      </c>
      <c r="CL118" s="362"/>
      <c r="CM118" s="362"/>
      <c r="CN118" s="362"/>
      <c r="CO118" s="70"/>
      <c r="CP118" s="97"/>
      <c r="CQ118" s="97"/>
      <c r="CR118" s="247" t="s">
        <v>510</v>
      </c>
      <c r="CS118" s="248">
        <v>1</v>
      </c>
      <c r="CT118" s="242">
        <v>0.8</v>
      </c>
      <c r="CU118" s="120"/>
      <c r="CV118" s="882"/>
      <c r="CW118" s="340">
        <v>218.23558124598586</v>
      </c>
      <c r="CX118" s="345">
        <v>300</v>
      </c>
      <c r="CY118" s="121">
        <v>272.79447655748231</v>
      </c>
      <c r="CZ118" s="122"/>
      <c r="DA118" s="247">
        <v>0.9</v>
      </c>
      <c r="DB118" s="249">
        <v>0.43588989435406728</v>
      </c>
      <c r="DC118" s="949">
        <v>350</v>
      </c>
      <c r="DD118" s="124">
        <v>280</v>
      </c>
      <c r="DE118" s="124">
        <v>250</v>
      </c>
      <c r="DF118" s="125">
        <v>1.0453617228572036</v>
      </c>
      <c r="DG118" s="126">
        <v>4</v>
      </c>
      <c r="DH118" s="121">
        <v>55</v>
      </c>
      <c r="DI118" s="127"/>
      <c r="DJ118" s="120"/>
      <c r="DK118" s="122"/>
      <c r="DL118" s="250">
        <v>295.5859169732002</v>
      </c>
      <c r="DM118" s="250">
        <v>300</v>
      </c>
      <c r="DN118" s="933">
        <v>500</v>
      </c>
      <c r="DO118" s="251">
        <v>0.43</v>
      </c>
      <c r="DP118" s="129">
        <v>0.17100000000000001</v>
      </c>
      <c r="DQ118" s="121">
        <v>14.73</v>
      </c>
      <c r="DR118" s="121">
        <v>170.41051566000002</v>
      </c>
      <c r="DS118" s="121">
        <v>1.3940178484952943</v>
      </c>
      <c r="DT118" s="121">
        <v>21.2</v>
      </c>
      <c r="DU118" s="121">
        <v>702.84206264000011</v>
      </c>
      <c r="DV118" s="127"/>
      <c r="DW118" s="127"/>
      <c r="DX118" s="127"/>
      <c r="DY118" s="132"/>
      <c r="DZ118" s="132"/>
      <c r="EA118" s="132"/>
      <c r="EB118" s="122"/>
      <c r="EC118" s="132"/>
      <c r="ED118" s="253" t="s">
        <v>53</v>
      </c>
      <c r="EE118" s="232"/>
      <c r="EF118" s="233">
        <v>300</v>
      </c>
      <c r="EG118" s="395">
        <v>300</v>
      </c>
      <c r="EH118" s="538"/>
      <c r="EI118" s="544">
        <v>30</v>
      </c>
      <c r="EJ118" s="45"/>
      <c r="EK118" s="45"/>
      <c r="EL118" s="45"/>
      <c r="EM118" s="45"/>
      <c r="EN118" s="543"/>
      <c r="EO118" s="11">
        <v>702.84206264000011</v>
      </c>
      <c r="EP118" s="254" t="s">
        <v>622</v>
      </c>
      <c r="ET118" s="2" t="s">
        <v>702</v>
      </c>
      <c r="EU118" s="2" t="s">
        <v>703</v>
      </c>
      <c r="EV118" s="2">
        <v>8</v>
      </c>
      <c r="EW118" s="3">
        <v>4</v>
      </c>
      <c r="EX118" s="930">
        <v>36586</v>
      </c>
      <c r="EY118" s="3">
        <v>1</v>
      </c>
      <c r="EZ118" s="930">
        <v>4</v>
      </c>
      <c r="FA118" s="3">
        <v>1</v>
      </c>
      <c r="FB118" s="3" t="s">
        <v>647</v>
      </c>
      <c r="FC118" s="3">
        <v>8</v>
      </c>
      <c r="FD118" s="64"/>
      <c r="FE118" s="64"/>
      <c r="FF118" s="889"/>
      <c r="FG118" s="64"/>
      <c r="FH118" s="889"/>
      <c r="FI118" s="64"/>
      <c r="FJ118" s="889"/>
      <c r="FM118" s="3" t="s">
        <v>700</v>
      </c>
    </row>
    <row r="119" spans="1:169" ht="13.8" thickBot="1">
      <c r="F119" s="234"/>
      <c r="G119" s="234"/>
      <c r="H119" s="895" t="s">
        <v>566</v>
      </c>
      <c r="I119" s="896" t="s">
        <v>654</v>
      </c>
      <c r="J119" s="235"/>
      <c r="K119" s="235"/>
      <c r="L119" s="235"/>
      <c r="M119" s="235"/>
      <c r="N119" s="235"/>
      <c r="O119" s="235"/>
      <c r="P119" s="236"/>
      <c r="Q119" s="236"/>
      <c r="R119" s="236"/>
      <c r="S119" s="236"/>
      <c r="T119" s="236"/>
      <c r="U119" s="236"/>
      <c r="V119" s="234"/>
      <c r="W119" s="234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897"/>
      <c r="BA119" s="897"/>
      <c r="BB119" s="310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T119" s="64"/>
      <c r="BU119" s="351"/>
      <c r="BV119" s="64"/>
      <c r="BW119" s="309"/>
      <c r="BX119" s="939"/>
      <c r="BY119" s="898" t="s">
        <v>588</v>
      </c>
      <c r="BZ119" s="235"/>
      <c r="CA119" s="945">
        <v>85.01</v>
      </c>
      <c r="CB119" s="875" t="s">
        <v>661</v>
      </c>
      <c r="CC119" s="337"/>
      <c r="CD119" s="314"/>
      <c r="CE119" s="314"/>
      <c r="CF119" s="314"/>
      <c r="CG119" s="314"/>
      <c r="CH119" s="237"/>
      <c r="CI119" s="240"/>
      <c r="CJ119" s="387"/>
      <c r="CK119" s="388"/>
      <c r="CL119" s="361"/>
      <c r="CM119" s="361"/>
      <c r="CN119" s="361"/>
      <c r="CR119" s="238" t="s">
        <v>510</v>
      </c>
      <c r="CS119" s="238"/>
      <c r="CT119" s="235"/>
      <c r="CU119" s="236"/>
      <c r="CV119" s="899"/>
      <c r="CW119" s="343"/>
      <c r="CX119" s="348"/>
      <c r="CY119" s="235"/>
      <c r="CZ119" s="236"/>
      <c r="DA119" s="238"/>
      <c r="DB119" s="238"/>
      <c r="DC119" s="239"/>
      <c r="DD119" s="239"/>
      <c r="DE119" s="239"/>
      <c r="DF119" s="235"/>
      <c r="DG119" s="235"/>
      <c r="DH119" s="235"/>
      <c r="DI119" s="236"/>
      <c r="DJ119" s="236"/>
      <c r="DK119" s="236"/>
      <c r="DL119" s="240"/>
      <c r="DM119" s="240"/>
      <c r="DN119" s="235"/>
      <c r="DO119" s="235"/>
      <c r="DP119" s="235"/>
      <c r="DQ119" s="235"/>
      <c r="DR119" s="235"/>
      <c r="DS119" s="235"/>
      <c r="DT119" s="235"/>
      <c r="DU119" s="235"/>
      <c r="DV119" s="236"/>
      <c r="DW119" s="236"/>
      <c r="DX119" s="236"/>
      <c r="DY119" s="236"/>
      <c r="DZ119" s="236"/>
      <c r="EA119" s="236"/>
      <c r="EB119" s="236"/>
      <c r="EC119" s="236"/>
      <c r="ED119" s="75"/>
      <c r="EE119" s="77"/>
      <c r="EF119" s="241"/>
      <c r="EG119" s="396"/>
      <c r="EH119" s="539"/>
      <c r="EI119" s="544">
        <v>30</v>
      </c>
      <c r="EJ119" s="45"/>
      <c r="EK119" s="45"/>
      <c r="EL119" s="45"/>
      <c r="EM119" s="45"/>
      <c r="EN119" s="543"/>
      <c r="EO119" s="11"/>
      <c r="EP119" s="3"/>
      <c r="EW119" s="3"/>
      <c r="EX119" s="3"/>
      <c r="EY119" s="3"/>
      <c r="EZ119" s="3"/>
      <c r="FA119" s="3"/>
      <c r="FB119" s="3"/>
      <c r="FC119" s="3">
        <v>0</v>
      </c>
      <c r="FD119" s="64"/>
      <c r="FE119" s="64"/>
      <c r="FF119" s="889"/>
      <c r="FG119" s="64"/>
      <c r="FH119" s="889"/>
      <c r="FI119" s="64"/>
      <c r="FJ119" s="889"/>
    </row>
    <row r="120" spans="1:169" ht="13.8" thickBot="1">
      <c r="B120" s="961" t="s">
        <v>568</v>
      </c>
      <c r="C120" s="962"/>
      <c r="D120" s="963"/>
      <c r="E120" s="97" t="s">
        <v>55</v>
      </c>
      <c r="F120" s="257">
        <v>3</v>
      </c>
      <c r="G120" s="257">
        <v>3</v>
      </c>
      <c r="H120" s="257" t="s">
        <v>49</v>
      </c>
      <c r="I120" s="257" t="s">
        <v>646</v>
      </c>
      <c r="J120" s="293">
        <v>3</v>
      </c>
      <c r="K120" s="294">
        <v>230</v>
      </c>
      <c r="L120" s="294">
        <v>1.9438544433295104</v>
      </c>
      <c r="M120" s="295">
        <v>1</v>
      </c>
      <c r="N120" s="295">
        <v>2</v>
      </c>
      <c r="O120" s="295">
        <v>2</v>
      </c>
      <c r="P120" s="296">
        <v>6</v>
      </c>
      <c r="Q120" s="297"/>
      <c r="R120" s="297">
        <v>2</v>
      </c>
      <c r="S120" s="298">
        <v>1</v>
      </c>
      <c r="T120" s="298">
        <v>1</v>
      </c>
      <c r="U120" s="298">
        <v>1</v>
      </c>
      <c r="V120" s="299">
        <v>1</v>
      </c>
      <c r="W120" s="300" t="s">
        <v>311</v>
      </c>
      <c r="X120" s="243"/>
      <c r="Y120" s="243"/>
      <c r="Z120" s="243"/>
      <c r="AA120" s="243"/>
      <c r="AB120" s="243"/>
      <c r="AC120" s="243"/>
      <c r="AD120" s="243"/>
      <c r="AE120" s="243"/>
      <c r="AF120" s="243"/>
      <c r="AG120" s="243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894">
        <v>101.25</v>
      </c>
      <c r="BA120" s="894">
        <v>135.47687861271677</v>
      </c>
      <c r="BB120" s="310">
        <v>93.44301999999999</v>
      </c>
      <c r="BC120" s="273">
        <v>4.5999999999999996</v>
      </c>
      <c r="BD120" s="273">
        <v>0</v>
      </c>
      <c r="BE120" s="273">
        <v>30</v>
      </c>
      <c r="BF120" s="273">
        <v>38.70702</v>
      </c>
      <c r="BG120" s="273">
        <v>0</v>
      </c>
      <c r="BH120" s="273">
        <v>0</v>
      </c>
      <c r="BI120" s="273">
        <v>0</v>
      </c>
      <c r="BJ120" s="273">
        <v>0</v>
      </c>
      <c r="BK120" s="273">
        <v>20.135999999999999</v>
      </c>
      <c r="BL120" s="273">
        <v>0</v>
      </c>
      <c r="BM120" s="273">
        <v>0</v>
      </c>
      <c r="BN120" s="273">
        <v>0</v>
      </c>
      <c r="BO120" s="273">
        <v>0</v>
      </c>
      <c r="BP120" s="273">
        <v>0</v>
      </c>
      <c r="BQ120" s="117">
        <v>38.70702</v>
      </c>
      <c r="BR120" s="252">
        <v>15.825348000000002</v>
      </c>
      <c r="BS120" s="252">
        <v>70</v>
      </c>
      <c r="BT120" s="278">
        <v>74.754415999999992</v>
      </c>
      <c r="BU120" s="278">
        <v>100.02464140441019</v>
      </c>
      <c r="BV120" s="317">
        <v>480</v>
      </c>
      <c r="BW120" s="355">
        <v>150</v>
      </c>
      <c r="BX120" s="938" t="s">
        <v>660</v>
      </c>
      <c r="BY120" s="245">
        <v>310</v>
      </c>
      <c r="BZ120" s="245">
        <v>1.9134468081017226</v>
      </c>
      <c r="CA120" s="944">
        <v>4</v>
      </c>
      <c r="CB120" s="242" t="s">
        <v>647</v>
      </c>
      <c r="CC120" s="338"/>
      <c r="CD120" s="315"/>
      <c r="CE120" s="315"/>
      <c r="CF120" s="296"/>
      <c r="CG120" s="296"/>
      <c r="CH120" s="246">
        <v>1.9134468081017226</v>
      </c>
      <c r="CI120" s="389">
        <v>32695.673333333336</v>
      </c>
      <c r="CJ120" s="390">
        <v>33109.67333333334</v>
      </c>
      <c r="CK120" s="391">
        <v>27637.673333333336</v>
      </c>
      <c r="CL120" s="362"/>
      <c r="CM120" s="362"/>
      <c r="CN120" s="362"/>
      <c r="CO120" s="70"/>
      <c r="CP120" s="97"/>
      <c r="CQ120" s="97"/>
      <c r="CR120" s="247" t="s">
        <v>510</v>
      </c>
      <c r="CS120" s="248">
        <v>1</v>
      </c>
      <c r="CT120" s="242">
        <v>1</v>
      </c>
      <c r="CU120" s="120"/>
      <c r="CV120" s="882"/>
      <c r="CW120" s="340">
        <v>100.02464140441019</v>
      </c>
      <c r="CX120" s="345">
        <v>150</v>
      </c>
      <c r="CY120" s="121">
        <v>100.02464140441019</v>
      </c>
      <c r="CZ120" s="122"/>
      <c r="DA120" s="247">
        <v>0.9</v>
      </c>
      <c r="DB120" s="249">
        <v>0.43588989435406728</v>
      </c>
      <c r="DC120" s="949" t="s">
        <v>621</v>
      </c>
      <c r="DD120" s="124">
        <v>135</v>
      </c>
      <c r="DE120" s="124">
        <v>240</v>
      </c>
      <c r="DF120" s="125">
        <v>0.34617512173381193</v>
      </c>
      <c r="DG120" s="126">
        <v>36586</v>
      </c>
      <c r="DH120" s="121">
        <v>310</v>
      </c>
      <c r="DI120" s="127"/>
      <c r="DJ120" s="120"/>
      <c r="DK120" s="122"/>
      <c r="DL120" s="250">
        <v>135.47687861271677</v>
      </c>
      <c r="DM120" s="250">
        <v>150</v>
      </c>
      <c r="DN120" s="933">
        <v>500</v>
      </c>
      <c r="DO120" s="251">
        <v>0.43</v>
      </c>
      <c r="DP120" s="129">
        <v>0.17100000000000001</v>
      </c>
      <c r="DQ120" s="121">
        <v>14.73</v>
      </c>
      <c r="DR120" s="121">
        <v>170.41051566000002</v>
      </c>
      <c r="DS120" s="121">
        <v>9.184544678888269</v>
      </c>
      <c r="DT120" s="121">
        <v>21.2</v>
      </c>
      <c r="DU120" s="121">
        <v>532.43154698000012</v>
      </c>
      <c r="DV120" s="127"/>
      <c r="DW120" s="127"/>
      <c r="DX120" s="127"/>
      <c r="DY120" s="132"/>
      <c r="DZ120" s="132"/>
      <c r="EA120" s="132"/>
      <c r="EB120" s="122"/>
      <c r="EC120" s="132"/>
      <c r="ED120" s="253" t="s">
        <v>53</v>
      </c>
      <c r="EE120" s="232"/>
      <c r="EF120" s="233">
        <v>310</v>
      </c>
      <c r="EG120" s="395">
        <v>150</v>
      </c>
      <c r="EH120" s="538"/>
      <c r="EI120" s="544">
        <v>30</v>
      </c>
      <c r="EJ120" s="45"/>
      <c r="EK120" s="45"/>
      <c r="EL120" s="45"/>
      <c r="EM120" s="45"/>
      <c r="EN120" s="543"/>
      <c r="EO120" s="11">
        <v>532.43154698000012</v>
      </c>
      <c r="EP120" s="254" t="s">
        <v>622</v>
      </c>
      <c r="ET120" s="2" t="s">
        <v>658</v>
      </c>
      <c r="EU120" s="2" t="s">
        <v>704</v>
      </c>
      <c r="EV120" s="2">
        <v>230</v>
      </c>
      <c r="EW120" s="3">
        <v>6</v>
      </c>
      <c r="EX120" s="930">
        <v>36586</v>
      </c>
      <c r="EY120" s="3">
        <v>2</v>
      </c>
      <c r="EZ120" s="3">
        <v>4</v>
      </c>
      <c r="FA120" s="3">
        <v>2</v>
      </c>
      <c r="FB120" s="3" t="s">
        <v>647</v>
      </c>
      <c r="FC120" s="3">
        <v>230</v>
      </c>
      <c r="FD120" s="64"/>
      <c r="FE120" s="64"/>
      <c r="FF120" s="889"/>
      <c r="FG120" s="64"/>
      <c r="FH120" s="889"/>
      <c r="FI120" s="64"/>
      <c r="FJ120" s="889"/>
      <c r="FM120" s="3" t="s">
        <v>684</v>
      </c>
    </row>
    <row r="121" spans="1:169" ht="13.8" thickBot="1">
      <c r="F121" s="234"/>
      <c r="G121" s="234"/>
      <c r="H121" s="895" t="s">
        <v>566</v>
      </c>
      <c r="I121" s="896" t="s">
        <v>654</v>
      </c>
      <c r="J121" s="235"/>
      <c r="K121" s="235"/>
      <c r="L121" s="235"/>
      <c r="M121" s="235"/>
      <c r="N121" s="235"/>
      <c r="O121" s="235"/>
      <c r="P121" s="236"/>
      <c r="Q121" s="236"/>
      <c r="R121" s="236"/>
      <c r="S121" s="236"/>
      <c r="T121" s="236"/>
      <c r="U121" s="236"/>
      <c r="V121" s="234"/>
      <c r="W121" s="234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897"/>
      <c r="BA121" s="897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T121" s="64"/>
      <c r="BU121" s="351"/>
      <c r="BV121" s="64"/>
      <c r="BW121" s="309"/>
      <c r="BX121" s="939"/>
      <c r="BY121" s="235"/>
      <c r="BZ121" s="235"/>
      <c r="CA121" s="946"/>
      <c r="CB121" s="235"/>
      <c r="CC121" s="337"/>
      <c r="CD121" s="314"/>
      <c r="CE121" s="314"/>
      <c r="CF121" s="314"/>
      <c r="CG121" s="314"/>
      <c r="CH121" s="237"/>
      <c r="CI121" s="240"/>
      <c r="CJ121" s="387"/>
      <c r="CK121" s="388"/>
      <c r="CL121" s="361"/>
      <c r="CM121" s="361"/>
      <c r="CN121" s="361"/>
      <c r="CR121" s="238" t="s">
        <v>510</v>
      </c>
      <c r="CS121" s="238"/>
      <c r="CT121" s="235"/>
      <c r="CU121" s="236"/>
      <c r="CV121" s="899"/>
      <c r="CW121" s="343"/>
      <c r="CX121" s="348"/>
      <c r="CY121" s="235"/>
      <c r="CZ121" s="236"/>
      <c r="DA121" s="238"/>
      <c r="DB121" s="238"/>
      <c r="DC121" s="239"/>
      <c r="DD121" s="239"/>
      <c r="DE121" s="239"/>
      <c r="DF121" s="235"/>
      <c r="DG121" s="235"/>
      <c r="DH121" s="235"/>
      <c r="DI121" s="236"/>
      <c r="DJ121" s="236"/>
      <c r="DK121" s="236"/>
      <c r="DL121" s="240"/>
      <c r="DM121" s="240"/>
      <c r="DN121" s="235"/>
      <c r="DO121" s="235"/>
      <c r="DP121" s="235"/>
      <c r="DQ121" s="235"/>
      <c r="DR121" s="235"/>
      <c r="DS121" s="235"/>
      <c r="DT121" s="235"/>
      <c r="DU121" s="235"/>
      <c r="DV121" s="236"/>
      <c r="DW121" s="236"/>
      <c r="DX121" s="236"/>
      <c r="DY121" s="236"/>
      <c r="DZ121" s="236"/>
      <c r="EA121" s="236"/>
      <c r="EB121" s="236"/>
      <c r="EC121" s="236"/>
      <c r="ED121" s="75"/>
      <c r="EE121" s="77"/>
      <c r="EF121" s="241"/>
      <c r="EG121" s="396"/>
      <c r="EH121" s="539"/>
      <c r="EI121" s="544">
        <v>30</v>
      </c>
      <c r="EJ121" s="45"/>
      <c r="EK121" s="45"/>
      <c r="EL121" s="45"/>
      <c r="EM121" s="45"/>
      <c r="EN121" s="543"/>
      <c r="EO121" s="11"/>
      <c r="EP121" s="3"/>
      <c r="EW121" s="3"/>
      <c r="EX121" s="3"/>
      <c r="EY121" s="3"/>
      <c r="EZ121" s="3"/>
      <c r="FA121" s="3"/>
      <c r="FB121" s="3"/>
      <c r="FC121" s="3">
        <v>0</v>
      </c>
      <c r="FD121" s="64"/>
      <c r="FE121" s="64"/>
      <c r="FF121" s="889"/>
      <c r="FG121" s="64"/>
      <c r="FH121" s="889"/>
      <c r="FI121" s="64"/>
      <c r="FJ121" s="889"/>
    </row>
    <row r="122" spans="1:169" ht="13.8" thickBot="1">
      <c r="B122" s="961" t="s">
        <v>107</v>
      </c>
      <c r="C122" s="962"/>
      <c r="D122" s="963"/>
      <c r="E122" s="97" t="s">
        <v>107</v>
      </c>
      <c r="F122" s="257">
        <v>3</v>
      </c>
      <c r="G122" s="257">
        <v>4</v>
      </c>
      <c r="H122" s="257" t="s">
        <v>108</v>
      </c>
      <c r="I122" s="892" t="s">
        <v>646</v>
      </c>
      <c r="J122" s="293">
        <v>8</v>
      </c>
      <c r="K122" s="294">
        <v>30</v>
      </c>
      <c r="L122" s="294">
        <v>1.9438544433295104</v>
      </c>
      <c r="M122" s="893">
        <v>1</v>
      </c>
      <c r="N122" s="893">
        <v>2</v>
      </c>
      <c r="O122" s="893">
        <v>1</v>
      </c>
      <c r="P122" s="296">
        <v>6</v>
      </c>
      <c r="Q122" s="297"/>
      <c r="R122" s="297">
        <v>2</v>
      </c>
      <c r="S122" s="298">
        <v>1</v>
      </c>
      <c r="T122" s="298">
        <v>1</v>
      </c>
      <c r="U122" s="298">
        <v>1</v>
      </c>
      <c r="V122" s="299">
        <v>1</v>
      </c>
      <c r="W122" s="300" t="s">
        <v>311</v>
      </c>
      <c r="X122" s="243"/>
      <c r="Y122" s="243"/>
      <c r="Z122" s="243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894">
        <v>80</v>
      </c>
      <c r="BA122" s="894">
        <v>233.54936649734336</v>
      </c>
      <c r="BB122" s="310">
        <v>93.44301999999999</v>
      </c>
      <c r="BC122" s="273">
        <v>4.5999999999999996</v>
      </c>
      <c r="BD122" s="273">
        <v>0</v>
      </c>
      <c r="BE122" s="273">
        <v>30</v>
      </c>
      <c r="BF122" s="273">
        <v>38.70702</v>
      </c>
      <c r="BG122" s="273">
        <v>0</v>
      </c>
      <c r="BH122" s="273">
        <v>0</v>
      </c>
      <c r="BI122" s="273">
        <v>0</v>
      </c>
      <c r="BJ122" s="273">
        <v>0</v>
      </c>
      <c r="BK122" s="273">
        <v>20.135999999999999</v>
      </c>
      <c r="BL122" s="273">
        <v>0</v>
      </c>
      <c r="BM122" s="273">
        <v>0</v>
      </c>
      <c r="BN122" s="273">
        <v>0</v>
      </c>
      <c r="BO122" s="273">
        <v>0</v>
      </c>
      <c r="BP122" s="273">
        <v>0</v>
      </c>
      <c r="BQ122" s="117">
        <v>38.70702</v>
      </c>
      <c r="BR122" s="252">
        <v>15.825348000000002</v>
      </c>
      <c r="BS122" s="252">
        <v>70</v>
      </c>
      <c r="BT122" s="278">
        <v>74.754415999999992</v>
      </c>
      <c r="BU122" s="278">
        <v>218.23558124598586</v>
      </c>
      <c r="BV122" s="316">
        <v>220</v>
      </c>
      <c r="BW122" s="355">
        <v>250</v>
      </c>
      <c r="BX122" s="938">
        <v>500</v>
      </c>
      <c r="BY122" s="245">
        <v>620</v>
      </c>
      <c r="BZ122" s="245">
        <v>0.51904563521212732</v>
      </c>
      <c r="CA122" s="944" t="s">
        <v>621</v>
      </c>
      <c r="CB122" s="242" t="s">
        <v>647</v>
      </c>
      <c r="CC122" s="338"/>
      <c r="CD122" s="315"/>
      <c r="CE122" s="315"/>
      <c r="CF122" s="296"/>
      <c r="CG122" s="296"/>
      <c r="CH122" s="246">
        <v>0.51904563521212732</v>
      </c>
      <c r="CI122" s="389">
        <v>32695.673333333336</v>
      </c>
      <c r="CJ122" s="390">
        <v>33109.67333333334</v>
      </c>
      <c r="CK122" s="391">
        <v>27637.673333333336</v>
      </c>
      <c r="CL122" s="362"/>
      <c r="CM122" s="362"/>
      <c r="CN122" s="362"/>
      <c r="CO122" s="70"/>
      <c r="CP122" s="97"/>
      <c r="CQ122" s="97"/>
      <c r="CR122" s="247" t="s">
        <v>510</v>
      </c>
      <c r="CS122" s="248">
        <v>1</v>
      </c>
      <c r="CT122" s="242">
        <v>0.7</v>
      </c>
      <c r="CU122" s="120"/>
      <c r="CV122" s="882"/>
      <c r="CW122" s="340">
        <v>218.23558124598586</v>
      </c>
      <c r="CX122" s="345">
        <v>250</v>
      </c>
      <c r="CY122" s="121">
        <v>311.76511606569409</v>
      </c>
      <c r="CZ122" s="122"/>
      <c r="DA122" s="247">
        <v>0.9</v>
      </c>
      <c r="DB122" s="249">
        <v>0.43588989435406728</v>
      </c>
      <c r="DC122" s="949">
        <v>500</v>
      </c>
      <c r="DD122" s="124">
        <v>350</v>
      </c>
      <c r="DE122" s="124">
        <v>620</v>
      </c>
      <c r="DF122" s="125">
        <v>0.70561916292861238</v>
      </c>
      <c r="DG122" s="126">
        <v>2</v>
      </c>
      <c r="DH122" s="121">
        <v>150</v>
      </c>
      <c r="DI122" s="127"/>
      <c r="DJ122" s="120"/>
      <c r="DK122" s="122"/>
      <c r="DL122" s="250">
        <v>233.54936649734336</v>
      </c>
      <c r="DM122" s="250">
        <v>250</v>
      </c>
      <c r="DN122" s="933">
        <v>500</v>
      </c>
      <c r="DO122" s="251">
        <v>0.14799999999999999</v>
      </c>
      <c r="DP122" s="129">
        <v>0.157</v>
      </c>
      <c r="DQ122" s="121">
        <v>23.95</v>
      </c>
      <c r="DR122" s="121">
        <v>450.50740350000001</v>
      </c>
      <c r="DS122" s="121">
        <v>1.1419003974666802</v>
      </c>
      <c r="DT122" s="121">
        <v>53.5</v>
      </c>
      <c r="DU122" s="121">
        <v>3657.5592280000001</v>
      </c>
      <c r="DV122" s="127"/>
      <c r="DW122" s="127"/>
      <c r="DX122" s="127"/>
      <c r="DY122" s="132"/>
      <c r="DZ122" s="132"/>
      <c r="EA122" s="132"/>
      <c r="EB122" s="122"/>
      <c r="EC122" s="132"/>
      <c r="ED122" s="253" t="s">
        <v>699</v>
      </c>
      <c r="EE122" s="232"/>
      <c r="EF122" s="233">
        <v>310</v>
      </c>
      <c r="EG122" s="395">
        <v>310</v>
      </c>
      <c r="EH122" s="538"/>
      <c r="EI122" s="544">
        <v>30</v>
      </c>
      <c r="EJ122" s="45"/>
      <c r="EK122" s="45"/>
      <c r="EL122" s="45"/>
      <c r="EM122" s="45"/>
      <c r="EN122" s="543"/>
      <c r="EO122" s="11">
        <v>3657.5592280000001</v>
      </c>
      <c r="EP122" s="254"/>
      <c r="EW122" s="3"/>
      <c r="EX122" s="3"/>
      <c r="EY122" s="3"/>
      <c r="EZ122" s="3"/>
      <c r="FA122" s="3"/>
      <c r="FB122" s="3"/>
      <c r="FC122" s="3">
        <v>0</v>
      </c>
      <c r="FD122" s="64"/>
      <c r="FE122" s="64"/>
      <c r="FF122" s="889"/>
      <c r="FG122" s="64"/>
      <c r="FH122" s="889"/>
      <c r="FI122" s="64"/>
      <c r="FJ122" s="889"/>
      <c r="FM122" s="3" t="s">
        <v>618</v>
      </c>
    </row>
    <row r="123" spans="1:169" ht="13.8" thickBot="1">
      <c r="F123" s="234"/>
      <c r="G123" s="234"/>
      <c r="H123" s="895" t="s">
        <v>566</v>
      </c>
      <c r="I123" s="896" t="s">
        <v>654</v>
      </c>
      <c r="J123" s="235"/>
      <c r="K123" s="235"/>
      <c r="L123" s="235"/>
      <c r="M123" s="235"/>
      <c r="N123" s="235"/>
      <c r="O123" s="235"/>
      <c r="P123" s="236"/>
      <c r="Q123" s="236"/>
      <c r="R123" s="236"/>
      <c r="S123" s="236"/>
      <c r="T123" s="236"/>
      <c r="U123" s="236"/>
      <c r="V123" s="234"/>
      <c r="W123" s="234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897"/>
      <c r="BA123" s="897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T123" s="64"/>
      <c r="BU123" s="351"/>
      <c r="BV123"/>
      <c r="BW123" s="309"/>
      <c r="BX123" s="939"/>
      <c r="BY123" s="235"/>
      <c r="BZ123" s="235"/>
      <c r="CA123" s="946"/>
      <c r="CB123" s="235"/>
      <c r="CC123" s="337"/>
      <c r="CD123" s="314"/>
      <c r="CE123" s="314"/>
      <c r="CF123" s="314"/>
      <c r="CG123" s="314"/>
      <c r="CH123" s="237"/>
      <c r="CI123" s="240"/>
      <c r="CJ123" s="387"/>
      <c r="CK123" s="388"/>
      <c r="CL123" s="361"/>
      <c r="CM123" s="361"/>
      <c r="CN123" s="361"/>
      <c r="CR123" s="238" t="s">
        <v>510</v>
      </c>
      <c r="CS123" s="238"/>
      <c r="CT123" s="235"/>
      <c r="CU123" s="236"/>
      <c r="CV123" s="899"/>
      <c r="CW123" s="343"/>
      <c r="CX123" s="348"/>
      <c r="CY123" s="235"/>
      <c r="CZ123" s="236"/>
      <c r="DA123" s="238"/>
      <c r="DB123" s="238"/>
      <c r="DC123" s="239"/>
      <c r="DD123" s="239"/>
      <c r="DE123" s="239"/>
      <c r="DF123" s="235"/>
      <c r="DG123" s="235"/>
      <c r="DH123" s="235"/>
      <c r="DI123" s="236"/>
      <c r="DJ123" s="236"/>
      <c r="DK123" s="236"/>
      <c r="DL123" s="240"/>
      <c r="DM123" s="240"/>
      <c r="DN123" s="235"/>
      <c r="DO123" s="235"/>
      <c r="DP123" s="235"/>
      <c r="DQ123" s="235"/>
      <c r="DR123" s="235"/>
      <c r="DS123" s="235"/>
      <c r="DT123" s="235"/>
      <c r="DU123" s="235"/>
      <c r="DV123" s="236"/>
      <c r="DW123" s="236"/>
      <c r="DX123" s="236"/>
      <c r="DY123" s="236"/>
      <c r="DZ123" s="236"/>
      <c r="EA123" s="236"/>
      <c r="EB123" s="236"/>
      <c r="EC123" s="236"/>
      <c r="ED123" s="75"/>
      <c r="EE123" s="77"/>
      <c r="EF123" s="241"/>
      <c r="EG123" s="396"/>
      <c r="EH123" s="539"/>
      <c r="EI123" s="544">
        <v>30</v>
      </c>
      <c r="EJ123" s="45"/>
      <c r="EK123" s="45"/>
      <c r="EL123" s="45"/>
      <c r="EM123" s="45"/>
      <c r="EN123" s="543"/>
      <c r="EO123" s="11"/>
      <c r="EP123" s="3"/>
      <c r="EW123" s="3"/>
      <c r="EX123" s="3"/>
      <c r="EY123" s="3"/>
      <c r="EZ123" s="3"/>
      <c r="FA123" s="3"/>
      <c r="FB123" s="3"/>
      <c r="FC123" s="3">
        <v>0</v>
      </c>
      <c r="FD123" s="64"/>
      <c r="FE123" s="64"/>
      <c r="FF123" s="889"/>
      <c r="FG123" s="64"/>
      <c r="FH123" s="889"/>
      <c r="FI123" s="64"/>
      <c r="FJ123" s="889"/>
    </row>
    <row r="124" spans="1:169" ht="13.8" thickBot="1">
      <c r="B124" s="961" t="s">
        <v>569</v>
      </c>
      <c r="C124" s="962"/>
      <c r="D124" s="963"/>
      <c r="E124" s="97" t="s">
        <v>569</v>
      </c>
      <c r="F124" s="257">
        <v>3</v>
      </c>
      <c r="G124" s="257">
        <v>4</v>
      </c>
      <c r="H124" s="257" t="s">
        <v>108</v>
      </c>
      <c r="I124" s="257" t="s">
        <v>646</v>
      </c>
      <c r="J124" s="293">
        <v>8</v>
      </c>
      <c r="K124" s="294">
        <v>12</v>
      </c>
      <c r="L124" s="294">
        <v>1.9438544433295104</v>
      </c>
      <c r="M124" s="295">
        <v>1</v>
      </c>
      <c r="N124" s="295">
        <v>2</v>
      </c>
      <c r="O124" s="295">
        <v>1</v>
      </c>
      <c r="P124" s="296">
        <v>6</v>
      </c>
      <c r="Q124" s="297"/>
      <c r="R124" s="297">
        <v>2</v>
      </c>
      <c r="S124" s="298">
        <v>1</v>
      </c>
      <c r="T124" s="298">
        <v>1</v>
      </c>
      <c r="U124" s="298">
        <v>1</v>
      </c>
      <c r="V124" s="299">
        <v>1</v>
      </c>
      <c r="W124" s="300" t="s">
        <v>311</v>
      </c>
      <c r="X124" s="243"/>
      <c r="Y124" s="243"/>
      <c r="Z124" s="243"/>
      <c r="AA124" s="243"/>
      <c r="AB124" s="243"/>
      <c r="AC124" s="243"/>
      <c r="AD124" s="243"/>
      <c r="AE124" s="243"/>
      <c r="AF124" s="243"/>
      <c r="AG124" s="243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894">
        <v>80</v>
      </c>
      <c r="BA124" s="894">
        <v>233.54936649734336</v>
      </c>
      <c r="BB124" s="310">
        <v>93.44301999999999</v>
      </c>
      <c r="BC124" s="273">
        <v>4.5999999999999996</v>
      </c>
      <c r="BD124" s="273">
        <v>0</v>
      </c>
      <c r="BE124" s="273">
        <v>30</v>
      </c>
      <c r="BF124" s="273">
        <v>38.70702</v>
      </c>
      <c r="BG124" s="273">
        <v>0</v>
      </c>
      <c r="BH124" s="273">
        <v>0</v>
      </c>
      <c r="BI124" s="273">
        <v>0</v>
      </c>
      <c r="BJ124" s="273">
        <v>0</v>
      </c>
      <c r="BK124" s="273">
        <v>20.135999999999999</v>
      </c>
      <c r="BL124" s="273">
        <v>0</v>
      </c>
      <c r="BM124" s="273">
        <v>0</v>
      </c>
      <c r="BN124" s="273">
        <v>0</v>
      </c>
      <c r="BO124" s="273">
        <v>0</v>
      </c>
      <c r="BP124" s="273">
        <v>0</v>
      </c>
      <c r="BQ124" s="117">
        <v>38.70702</v>
      </c>
      <c r="BR124" s="252">
        <v>15.825348000000002</v>
      </c>
      <c r="BS124" s="252">
        <v>70</v>
      </c>
      <c r="BT124" s="278">
        <v>74.754415999999992</v>
      </c>
      <c r="BU124" s="278">
        <v>218.23558124598586</v>
      </c>
      <c r="BV124" s="316">
        <v>220</v>
      </c>
      <c r="BW124" s="355">
        <v>250</v>
      </c>
      <c r="BX124" s="938">
        <v>500</v>
      </c>
      <c r="BY124" s="245">
        <v>620</v>
      </c>
      <c r="BZ124" s="245">
        <v>0.20761825408485091</v>
      </c>
      <c r="CA124" s="944" t="s">
        <v>621</v>
      </c>
      <c r="CB124" s="242" t="s">
        <v>647</v>
      </c>
      <c r="CC124" s="338"/>
      <c r="CD124" s="315"/>
      <c r="CE124" s="315"/>
      <c r="CF124" s="296"/>
      <c r="CG124" s="296"/>
      <c r="CH124" s="246">
        <v>0.20761825408485091</v>
      </c>
      <c r="CI124" s="389">
        <v>32695.673333333336</v>
      </c>
      <c r="CJ124" s="390">
        <v>33109.67333333334</v>
      </c>
      <c r="CK124" s="391">
        <v>27637.673333333336</v>
      </c>
      <c r="CL124" s="362"/>
      <c r="CM124" s="362"/>
      <c r="CN124" s="362"/>
      <c r="CO124" s="70"/>
      <c r="CP124" s="97"/>
      <c r="CQ124" s="97"/>
      <c r="CR124" s="247" t="s">
        <v>510</v>
      </c>
      <c r="CS124" s="248">
        <v>1</v>
      </c>
      <c r="CT124" s="242">
        <v>0.7</v>
      </c>
      <c r="CU124" s="120"/>
      <c r="CV124" s="882"/>
      <c r="CW124" s="340">
        <v>218.23558124598586</v>
      </c>
      <c r="CX124" s="345">
        <v>250</v>
      </c>
      <c r="CY124" s="121">
        <v>311.76511606569409</v>
      </c>
      <c r="CZ124" s="122"/>
      <c r="DA124" s="247">
        <v>0.9</v>
      </c>
      <c r="DB124" s="249">
        <v>0.43588989435406728</v>
      </c>
      <c r="DC124" s="949">
        <v>500</v>
      </c>
      <c r="DD124" s="124">
        <v>350</v>
      </c>
      <c r="DE124" s="124">
        <v>620</v>
      </c>
      <c r="DF124" s="125">
        <v>1.7640479073215309</v>
      </c>
      <c r="DG124" s="126">
        <v>6</v>
      </c>
      <c r="DH124" s="121">
        <v>80</v>
      </c>
      <c r="DI124" s="127"/>
      <c r="DJ124" s="120"/>
      <c r="DK124" s="122"/>
      <c r="DL124" s="250">
        <v>233.54936649734336</v>
      </c>
      <c r="DM124" s="250">
        <v>250</v>
      </c>
      <c r="DN124" s="933">
        <v>500</v>
      </c>
      <c r="DO124" s="251">
        <v>0.14799999999999999</v>
      </c>
      <c r="DP124" s="129">
        <v>0.157</v>
      </c>
      <c r="DQ124" s="121">
        <v>23.95</v>
      </c>
      <c r="DR124" s="121">
        <v>450.50740350000001</v>
      </c>
      <c r="DS124" s="121">
        <v>0.45676015898667199</v>
      </c>
      <c r="DT124" s="121">
        <v>53.5</v>
      </c>
      <c r="DU124" s="121">
        <v>3657.5592280000001</v>
      </c>
      <c r="DV124" s="127"/>
      <c r="DW124" s="127"/>
      <c r="DX124" s="127"/>
      <c r="DY124" s="132"/>
      <c r="DZ124" s="132"/>
      <c r="EA124" s="132"/>
      <c r="EB124" s="122"/>
      <c r="EC124" s="132"/>
      <c r="ED124" s="253" t="s">
        <v>699</v>
      </c>
      <c r="EE124" s="232"/>
      <c r="EF124" s="233">
        <v>310</v>
      </c>
      <c r="EG124" s="395">
        <v>310</v>
      </c>
      <c r="EH124" s="538"/>
      <c r="EI124" s="547">
        <v>30</v>
      </c>
      <c r="EJ124" s="548"/>
      <c r="EK124" s="548"/>
      <c r="EL124" s="548"/>
      <c r="EM124" s="548"/>
      <c r="EN124" s="549"/>
      <c r="EO124" s="11">
        <v>3657.5592280000001</v>
      </c>
      <c r="EP124" s="254" t="s">
        <v>570</v>
      </c>
      <c r="EW124" s="3"/>
      <c r="EX124" s="3"/>
      <c r="EY124" s="3"/>
      <c r="EZ124" s="3"/>
      <c r="FA124" s="3"/>
      <c r="FB124" s="3"/>
      <c r="FC124" s="3">
        <v>0</v>
      </c>
      <c r="FD124" s="64"/>
      <c r="FE124" s="64"/>
      <c r="FF124" s="889"/>
      <c r="FG124" s="64"/>
      <c r="FH124" s="889"/>
      <c r="FI124" s="64"/>
      <c r="FJ124" s="889"/>
      <c r="FM124" s="3" t="s">
        <v>618</v>
      </c>
    </row>
    <row r="125" spans="1:169" ht="13.8" thickBot="1">
      <c r="B125" s="3"/>
      <c r="C125" s="3"/>
      <c r="D125" s="3"/>
      <c r="E125" s="3"/>
      <c r="F125" s="900"/>
      <c r="G125" s="900"/>
      <c r="H125" s="901" t="s">
        <v>566</v>
      </c>
      <c r="I125" s="900" t="s">
        <v>654</v>
      </c>
      <c r="J125" s="884"/>
      <c r="K125" s="902"/>
      <c r="L125" s="902"/>
      <c r="M125" s="903"/>
      <c r="N125" s="903"/>
      <c r="O125" s="903"/>
      <c r="P125" s="904"/>
      <c r="Q125" s="905"/>
      <c r="R125" s="905"/>
      <c r="S125" s="906"/>
      <c r="T125" s="906"/>
      <c r="U125" s="906"/>
      <c r="V125" s="907"/>
      <c r="W125" s="900"/>
      <c r="X125" s="243"/>
      <c r="Y125" s="243"/>
      <c r="Z125" s="243"/>
      <c r="AA125" s="243"/>
      <c r="AB125" s="243"/>
      <c r="AC125" s="243"/>
      <c r="AD125" s="243"/>
      <c r="AE125" s="243"/>
      <c r="AF125" s="243"/>
      <c r="AG125" s="243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891"/>
      <c r="BA125" s="891"/>
      <c r="BB125" s="908"/>
      <c r="BC125" s="908"/>
      <c r="BD125" s="908"/>
      <c r="BE125" s="908"/>
      <c r="BF125" s="908"/>
      <c r="BG125" s="908"/>
      <c r="BH125" s="908"/>
      <c r="BI125" s="908"/>
      <c r="BJ125" s="908"/>
      <c r="BK125" s="908"/>
      <c r="BL125" s="908"/>
      <c r="BM125" s="908"/>
      <c r="BN125" s="908"/>
      <c r="BO125" s="908"/>
      <c r="BP125" s="908"/>
      <c r="BQ125" s="11"/>
      <c r="BR125" s="11"/>
      <c r="BS125" s="11"/>
      <c r="BT125" s="908"/>
      <c r="BU125" s="908"/>
      <c r="BV125" s="1"/>
      <c r="BW125" s="909"/>
      <c r="BX125" s="940"/>
      <c r="BY125" s="910"/>
      <c r="BZ125" s="910"/>
      <c r="CA125" s="947"/>
      <c r="CB125" s="875"/>
      <c r="CC125" s="911"/>
      <c r="CD125" s="912"/>
      <c r="CE125" s="912"/>
      <c r="CF125" s="904"/>
      <c r="CG125" s="904"/>
      <c r="CH125" s="508"/>
      <c r="CI125" s="913"/>
      <c r="CJ125" s="914"/>
      <c r="CK125" s="915"/>
      <c r="CL125" s="366"/>
      <c r="CM125" s="366"/>
      <c r="CN125" s="366"/>
      <c r="CO125" s="3"/>
      <c r="CP125" s="3"/>
      <c r="CQ125" s="3"/>
      <c r="CR125" s="916" t="s">
        <v>510</v>
      </c>
      <c r="CS125" s="916"/>
      <c r="CT125" s="875"/>
      <c r="CU125" s="917"/>
      <c r="CV125" s="918"/>
      <c r="CW125" s="919"/>
      <c r="CX125" s="920"/>
      <c r="CY125" s="921"/>
      <c r="CZ125" s="922"/>
      <c r="DA125" s="916"/>
      <c r="DB125" s="923"/>
      <c r="DC125" s="924"/>
      <c r="DD125" s="925"/>
      <c r="DE125" s="925"/>
      <c r="DF125" s="926"/>
      <c r="DG125" s="927"/>
      <c r="DH125" s="921"/>
      <c r="DI125" s="928"/>
      <c r="DJ125" s="917"/>
      <c r="DK125" s="922"/>
      <c r="DL125" s="913"/>
      <c r="DM125" s="913"/>
      <c r="DN125" s="875"/>
      <c r="DO125" s="929"/>
      <c r="DP125" s="929"/>
      <c r="DQ125" s="921"/>
      <c r="DR125" s="921"/>
      <c r="DS125" s="921"/>
      <c r="DT125" s="921"/>
      <c r="DU125" s="921"/>
      <c r="DV125" s="928"/>
      <c r="DW125" s="928"/>
      <c r="DX125" s="928"/>
      <c r="DY125" s="922"/>
      <c r="DZ125" s="922"/>
      <c r="EA125" s="922"/>
      <c r="EB125" s="922"/>
      <c r="EC125" s="922"/>
      <c r="ED125" s="3"/>
      <c r="EE125" s="3"/>
      <c r="EF125" s="11"/>
      <c r="EG125" s="11"/>
      <c r="EI125" s="11"/>
      <c r="EO125" s="11"/>
      <c r="EP125" s="3"/>
      <c r="EW125" s="3"/>
      <c r="EX125" s="3"/>
      <c r="EY125" s="3"/>
      <c r="EZ125" s="3"/>
      <c r="FA125" s="3"/>
      <c r="FB125" s="3"/>
      <c r="FC125" s="3">
        <v>0</v>
      </c>
      <c r="FD125" s="64"/>
      <c r="FE125" s="64"/>
      <c r="FF125" s="889"/>
      <c r="FG125" s="64"/>
      <c r="FH125" s="889"/>
      <c r="FI125" s="64"/>
      <c r="FJ125" s="889"/>
    </row>
    <row r="126" spans="1:169" ht="13.8" thickBot="1">
      <c r="B126" s="961" t="s">
        <v>571</v>
      </c>
      <c r="C126" s="962"/>
      <c r="D126" s="963"/>
      <c r="E126" s="97" t="s">
        <v>49</v>
      </c>
      <c r="F126" s="257">
        <v>3</v>
      </c>
      <c r="G126" s="257">
        <v>4</v>
      </c>
      <c r="H126" s="257" t="s">
        <v>49</v>
      </c>
      <c r="I126" s="892" t="s">
        <v>646</v>
      </c>
      <c r="J126" s="293">
        <v>8</v>
      </c>
      <c r="K126" s="294">
        <v>6</v>
      </c>
      <c r="L126" s="294">
        <v>1.9438544433295104</v>
      </c>
      <c r="M126" s="893">
        <v>1</v>
      </c>
      <c r="N126" s="893">
        <v>2</v>
      </c>
      <c r="O126" s="893">
        <v>1</v>
      </c>
      <c r="P126" s="296">
        <v>6</v>
      </c>
      <c r="Q126" s="297"/>
      <c r="R126" s="297">
        <v>2</v>
      </c>
      <c r="S126" s="298">
        <v>1</v>
      </c>
      <c r="T126" s="298">
        <v>1</v>
      </c>
      <c r="U126" s="298">
        <v>1</v>
      </c>
      <c r="V126" s="299">
        <v>1</v>
      </c>
      <c r="W126" s="300" t="s">
        <v>311</v>
      </c>
      <c r="X126" s="243"/>
      <c r="Y126" s="243"/>
      <c r="Z126" s="243"/>
      <c r="AA126" s="243"/>
      <c r="AB126" s="243"/>
      <c r="AC126" s="243"/>
      <c r="AD126" s="243"/>
      <c r="AE126" s="243"/>
      <c r="AF126" s="243"/>
      <c r="AG126" s="243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>
        <v>100</v>
      </c>
      <c r="AZ126" s="894">
        <v>90</v>
      </c>
      <c r="BA126" s="894">
        <v>262.74303730951129</v>
      </c>
      <c r="BB126" s="310">
        <v>93.44301999999999</v>
      </c>
      <c r="BC126" s="273">
        <v>4.5999999999999996</v>
      </c>
      <c r="BD126" s="273">
        <v>0</v>
      </c>
      <c r="BE126" s="273">
        <v>30</v>
      </c>
      <c r="BF126" s="273">
        <v>38.70702</v>
      </c>
      <c r="BG126" s="273">
        <v>0</v>
      </c>
      <c r="BH126" s="273">
        <v>0</v>
      </c>
      <c r="BI126" s="273">
        <v>0</v>
      </c>
      <c r="BJ126" s="273">
        <v>0</v>
      </c>
      <c r="BK126" s="273">
        <v>20.135999999999999</v>
      </c>
      <c r="BL126" s="273">
        <v>0</v>
      </c>
      <c r="BM126" s="273">
        <v>0</v>
      </c>
      <c r="BN126" s="273">
        <v>0</v>
      </c>
      <c r="BO126" s="273">
        <v>0</v>
      </c>
      <c r="BP126" s="273">
        <v>0</v>
      </c>
      <c r="BQ126" s="117">
        <v>38.70702</v>
      </c>
      <c r="BR126" s="252">
        <v>15.825348000000002</v>
      </c>
      <c r="BS126" s="252">
        <v>70</v>
      </c>
      <c r="BT126" s="278">
        <v>74.754415999999992</v>
      </c>
      <c r="BU126" s="278">
        <v>218.23558124598586</v>
      </c>
      <c r="BV126" s="244">
        <v>220</v>
      </c>
      <c r="BW126" s="355">
        <v>300</v>
      </c>
      <c r="BX126" s="938">
        <v>500</v>
      </c>
      <c r="BY126" s="245">
        <v>620</v>
      </c>
      <c r="BZ126" s="245">
        <v>0.10380912704242545</v>
      </c>
      <c r="CA126" s="944" t="s">
        <v>621</v>
      </c>
      <c r="CB126" s="242" t="s">
        <v>647</v>
      </c>
      <c r="CC126" s="338"/>
      <c r="CD126" s="315"/>
      <c r="CE126" s="315"/>
      <c r="CF126" s="296"/>
      <c r="CG126" s="296"/>
      <c r="CH126" s="246">
        <v>0.10380912704242545</v>
      </c>
      <c r="CI126" s="389">
        <v>32695.673333333336</v>
      </c>
      <c r="CJ126" s="390">
        <v>33109.67333333334</v>
      </c>
      <c r="CK126" s="391">
        <v>27637.673333333336</v>
      </c>
      <c r="CL126" s="362"/>
      <c r="CM126" s="362"/>
      <c r="CN126" s="362"/>
      <c r="CO126" s="70"/>
      <c r="CP126" s="97"/>
      <c r="CQ126" s="97"/>
      <c r="CR126" s="247" t="s">
        <v>510</v>
      </c>
      <c r="CS126" s="248">
        <v>1</v>
      </c>
      <c r="CT126" s="242">
        <v>0.7</v>
      </c>
      <c r="CU126" s="120"/>
      <c r="CV126" s="882"/>
      <c r="CW126" s="340">
        <v>218.23558124598586</v>
      </c>
      <c r="CX126" s="345">
        <v>300</v>
      </c>
      <c r="CY126" s="121">
        <v>311.76511606569409</v>
      </c>
      <c r="CZ126" s="122"/>
      <c r="DA126" s="247">
        <v>0.9</v>
      </c>
      <c r="DB126" s="249">
        <v>0.43588989435406728</v>
      </c>
      <c r="DC126" s="949">
        <v>500</v>
      </c>
      <c r="DD126" s="124">
        <v>350</v>
      </c>
      <c r="DE126" s="124">
        <v>620</v>
      </c>
      <c r="DF126" s="125">
        <v>3.13608516857161</v>
      </c>
      <c r="DG126" s="126">
        <v>6</v>
      </c>
      <c r="DH126" s="121">
        <v>80</v>
      </c>
      <c r="DI126" s="127"/>
      <c r="DJ126" s="120"/>
      <c r="DK126" s="122"/>
      <c r="DL126" s="250">
        <v>262.74303730951129</v>
      </c>
      <c r="DM126" s="250">
        <v>300</v>
      </c>
      <c r="DN126" s="933">
        <v>500</v>
      </c>
      <c r="DO126" s="251">
        <v>0.14799999999999999</v>
      </c>
      <c r="DP126" s="129">
        <v>0.157</v>
      </c>
      <c r="DQ126" s="121">
        <v>23.95</v>
      </c>
      <c r="DR126" s="121">
        <v>450.50740350000001</v>
      </c>
      <c r="DS126" s="121">
        <v>0.228380079493336</v>
      </c>
      <c r="DT126" s="121">
        <v>53.5</v>
      </c>
      <c r="DU126" s="121">
        <v>3657.5592280000001</v>
      </c>
      <c r="DV126" s="127"/>
      <c r="DW126" s="127"/>
      <c r="DX126" s="127"/>
      <c r="DY126" s="132"/>
      <c r="DZ126" s="132"/>
      <c r="EA126" s="132"/>
      <c r="EB126" s="122"/>
      <c r="EC126" s="132"/>
      <c r="ED126" s="253" t="s">
        <v>699</v>
      </c>
      <c r="EE126" s="232"/>
      <c r="EF126" s="233">
        <v>310</v>
      </c>
      <c r="EG126" s="395">
        <v>310</v>
      </c>
      <c r="EH126" s="538"/>
      <c r="EI126" s="544">
        <v>30</v>
      </c>
      <c r="EJ126" s="45"/>
      <c r="EK126" s="45"/>
      <c r="EL126" s="45"/>
      <c r="EM126" s="45"/>
      <c r="EN126" s="543"/>
      <c r="EO126" s="11">
        <v>3657.5592280000001</v>
      </c>
      <c r="EP126" s="254" t="s">
        <v>615</v>
      </c>
      <c r="ET126" s="2" t="s">
        <v>702</v>
      </c>
      <c r="EU126" s="2" t="s">
        <v>705</v>
      </c>
      <c r="EV126" s="2">
        <v>6</v>
      </c>
      <c r="EW126" s="3">
        <v>8</v>
      </c>
      <c r="EX126" s="930">
        <v>500</v>
      </c>
      <c r="EY126" s="3">
        <v>1</v>
      </c>
      <c r="EZ126" s="930">
        <v>36526</v>
      </c>
      <c r="FA126" s="3">
        <v>1</v>
      </c>
      <c r="FB126" s="3" t="s">
        <v>647</v>
      </c>
      <c r="FC126" s="3">
        <v>6</v>
      </c>
      <c r="FD126" s="64"/>
      <c r="FE126" s="64"/>
      <c r="FF126" s="889"/>
      <c r="FG126" s="64"/>
      <c r="FH126" s="889"/>
      <c r="FI126" s="64"/>
      <c r="FJ126" s="889"/>
      <c r="FM126" s="3" t="s">
        <v>700</v>
      </c>
    </row>
    <row r="127" spans="1:169" ht="13.8" thickBot="1">
      <c r="B127" s="3"/>
      <c r="C127" s="3"/>
      <c r="D127" s="3"/>
      <c r="E127" s="3"/>
      <c r="F127" s="900"/>
      <c r="G127" s="900"/>
      <c r="H127" s="901" t="s">
        <v>566</v>
      </c>
      <c r="I127" s="900" t="s">
        <v>654</v>
      </c>
      <c r="J127" s="884"/>
      <c r="K127" s="902"/>
      <c r="L127" s="902"/>
      <c r="M127" s="903"/>
      <c r="N127" s="903"/>
      <c r="O127" s="903"/>
      <c r="P127" s="904"/>
      <c r="Q127" s="905"/>
      <c r="R127" s="905"/>
      <c r="S127" s="906"/>
      <c r="T127" s="906"/>
      <c r="U127" s="906"/>
      <c r="V127" s="907"/>
      <c r="W127" s="900"/>
      <c r="X127" s="243"/>
      <c r="Y127" s="243"/>
      <c r="Z127" s="243"/>
      <c r="AA127" s="243"/>
      <c r="AB127" s="243"/>
      <c r="AC127" s="243"/>
      <c r="AD127" s="243"/>
      <c r="AE127" s="243"/>
      <c r="AF127" s="243"/>
      <c r="AG127" s="243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891"/>
      <c r="BA127" s="891"/>
      <c r="BB127" s="908"/>
      <c r="BC127" s="908"/>
      <c r="BD127" s="908"/>
      <c r="BE127" s="908"/>
      <c r="BF127" s="908"/>
      <c r="BG127" s="908"/>
      <c r="BH127" s="908"/>
      <c r="BI127" s="908"/>
      <c r="BJ127" s="908"/>
      <c r="BK127" s="908"/>
      <c r="BL127" s="908"/>
      <c r="BM127" s="908"/>
      <c r="BN127" s="908"/>
      <c r="BO127" s="908"/>
      <c r="BP127" s="908"/>
      <c r="BQ127" s="11"/>
      <c r="BR127" s="11"/>
      <c r="BS127" s="11"/>
      <c r="BT127" s="908"/>
      <c r="BU127" s="908"/>
      <c r="BV127" s="3"/>
      <c r="BW127" s="909"/>
      <c r="BX127" s="940"/>
      <c r="BY127" s="910"/>
      <c r="BZ127" s="910"/>
      <c r="CA127" s="947"/>
      <c r="CB127" s="875"/>
      <c r="CC127" s="911"/>
      <c r="CD127" s="912"/>
      <c r="CE127" s="912"/>
      <c r="CF127" s="904"/>
      <c r="CG127" s="904"/>
      <c r="CH127" s="508"/>
      <c r="CI127" s="913"/>
      <c r="CJ127" s="914"/>
      <c r="CK127" s="915"/>
      <c r="CL127" s="366"/>
      <c r="CM127" s="366"/>
      <c r="CN127" s="366"/>
      <c r="CO127" s="3"/>
      <c r="CP127" s="3"/>
      <c r="CQ127" s="3"/>
      <c r="CR127" s="916"/>
      <c r="CS127" s="916"/>
      <c r="CT127" s="875"/>
      <c r="CU127" s="917"/>
      <c r="CV127" s="918"/>
      <c r="CW127" s="919"/>
      <c r="CX127" s="920"/>
      <c r="CY127" s="921"/>
      <c r="CZ127" s="922"/>
      <c r="DA127" s="916"/>
      <c r="DB127" s="923"/>
      <c r="DC127" s="924"/>
      <c r="DD127" s="925"/>
      <c r="DE127" s="925"/>
      <c r="DF127" s="926"/>
      <c r="DG127" s="927"/>
      <c r="DH127" s="921"/>
      <c r="DI127" s="928"/>
      <c r="DJ127" s="917"/>
      <c r="DK127" s="922"/>
      <c r="DL127" s="913"/>
      <c r="DM127" s="913"/>
      <c r="DN127" s="875"/>
      <c r="DO127" s="929"/>
      <c r="DP127" s="929"/>
      <c r="DQ127" s="921"/>
      <c r="DR127" s="921"/>
      <c r="DS127" s="921"/>
      <c r="DT127" s="921"/>
      <c r="DU127" s="921"/>
      <c r="DV127" s="928"/>
      <c r="DW127" s="928"/>
      <c r="DX127" s="928"/>
      <c r="DY127" s="922"/>
      <c r="DZ127" s="922"/>
      <c r="EA127" s="922"/>
      <c r="EB127" s="922"/>
      <c r="EC127" s="922"/>
      <c r="ED127" s="3"/>
      <c r="EE127" s="3"/>
      <c r="EF127" s="11"/>
      <c r="EG127" s="11"/>
      <c r="EI127" s="11"/>
      <c r="EO127" s="11"/>
      <c r="EP127" s="3"/>
      <c r="EW127" s="3"/>
      <c r="EX127" s="3"/>
      <c r="EY127" s="3"/>
      <c r="EZ127" s="3"/>
      <c r="FA127" s="3"/>
      <c r="FB127" s="3"/>
      <c r="FC127" s="3">
        <v>0</v>
      </c>
      <c r="FD127" s="64"/>
      <c r="FE127" s="64"/>
      <c r="FF127" s="889"/>
      <c r="FG127" s="64"/>
      <c r="FH127" s="889"/>
      <c r="FI127" s="64"/>
      <c r="FJ127" s="889"/>
    </row>
    <row r="128" spans="1:169" ht="13.8" thickBot="1">
      <c r="B128" s="961" t="s">
        <v>572</v>
      </c>
      <c r="C128" s="962"/>
      <c r="D128" s="963"/>
      <c r="E128" s="97" t="s">
        <v>49</v>
      </c>
      <c r="F128" s="257">
        <v>3</v>
      </c>
      <c r="G128" s="257">
        <v>4</v>
      </c>
      <c r="H128" s="257" t="s">
        <v>49</v>
      </c>
      <c r="I128" s="257" t="s">
        <v>646</v>
      </c>
      <c r="J128" s="293">
        <v>8</v>
      </c>
      <c r="K128" s="294">
        <v>6</v>
      </c>
      <c r="L128" s="294">
        <v>1.9438544433295104</v>
      </c>
      <c r="M128" s="295">
        <v>1</v>
      </c>
      <c r="N128" s="295">
        <v>2</v>
      </c>
      <c r="O128" s="295">
        <v>1</v>
      </c>
      <c r="P128" s="296">
        <v>6</v>
      </c>
      <c r="Q128" s="297"/>
      <c r="R128" s="297">
        <v>2</v>
      </c>
      <c r="S128" s="298">
        <v>1</v>
      </c>
      <c r="T128" s="298">
        <v>1</v>
      </c>
      <c r="U128" s="298">
        <v>1</v>
      </c>
      <c r="V128" s="299">
        <v>1</v>
      </c>
      <c r="W128" s="300" t="s">
        <v>311</v>
      </c>
      <c r="X128" s="243"/>
      <c r="Y128" s="243"/>
      <c r="Z128" s="243"/>
      <c r="AA128" s="243"/>
      <c r="AB128" s="243"/>
      <c r="AC128" s="243"/>
      <c r="AD128" s="243"/>
      <c r="AE128" s="243"/>
      <c r="AF128" s="243"/>
      <c r="AG128" s="243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894">
        <v>90</v>
      </c>
      <c r="BA128" s="894">
        <v>262.74303730951129</v>
      </c>
      <c r="BB128" s="310">
        <v>93.44301999999999</v>
      </c>
      <c r="BC128" s="273">
        <v>4.5999999999999996</v>
      </c>
      <c r="BD128" s="273">
        <v>0</v>
      </c>
      <c r="BE128" s="273">
        <v>30</v>
      </c>
      <c r="BF128" s="273">
        <v>38.70702</v>
      </c>
      <c r="BG128" s="273">
        <v>0</v>
      </c>
      <c r="BH128" s="273">
        <v>0</v>
      </c>
      <c r="BI128" s="273">
        <v>0</v>
      </c>
      <c r="BJ128" s="273">
        <v>0</v>
      </c>
      <c r="BK128" s="273">
        <v>20.135999999999999</v>
      </c>
      <c r="BL128" s="273">
        <v>0</v>
      </c>
      <c r="BM128" s="273">
        <v>0</v>
      </c>
      <c r="BN128" s="273">
        <v>0</v>
      </c>
      <c r="BO128" s="273">
        <v>0</v>
      </c>
      <c r="BP128" s="273">
        <v>0</v>
      </c>
      <c r="BQ128" s="117">
        <v>38.70702</v>
      </c>
      <c r="BR128" s="252">
        <v>15.825348000000002</v>
      </c>
      <c r="BS128" s="252">
        <v>70</v>
      </c>
      <c r="BT128" s="278">
        <v>74.754415999999992</v>
      </c>
      <c r="BU128" s="278">
        <v>218.23558124598586</v>
      </c>
      <c r="BV128" s="244">
        <v>220</v>
      </c>
      <c r="BW128" s="355">
        <v>300</v>
      </c>
      <c r="BX128" s="938">
        <v>500</v>
      </c>
      <c r="BY128" s="245">
        <v>620</v>
      </c>
      <c r="BZ128" s="245">
        <v>0.10380912704242545</v>
      </c>
      <c r="CA128" s="944" t="s">
        <v>621</v>
      </c>
      <c r="CB128" s="242" t="s">
        <v>647</v>
      </c>
      <c r="CC128" s="338"/>
      <c r="CD128" s="315"/>
      <c r="CE128" s="315"/>
      <c r="CF128" s="296"/>
      <c r="CG128" s="296"/>
      <c r="CH128" s="246">
        <v>0.10380912704242545</v>
      </c>
      <c r="CI128" s="389">
        <v>32695.673333333336</v>
      </c>
      <c r="CJ128" s="390">
        <v>33109.67333333334</v>
      </c>
      <c r="CK128" s="391">
        <v>27637.673333333336</v>
      </c>
      <c r="CL128" s="362"/>
      <c r="CM128" s="362"/>
      <c r="CN128" s="362"/>
      <c r="CO128" s="70"/>
      <c r="CP128" s="97"/>
      <c r="CQ128" s="97"/>
      <c r="CR128" s="247" t="s">
        <v>510</v>
      </c>
      <c r="CS128" s="248">
        <v>1</v>
      </c>
      <c r="CT128" s="242">
        <v>0.7</v>
      </c>
      <c r="CU128" s="120"/>
      <c r="CV128" s="882"/>
      <c r="CW128" s="340">
        <v>218.23558124598586</v>
      </c>
      <c r="CX128" s="345">
        <v>300</v>
      </c>
      <c r="CY128" s="121">
        <v>311.76511606569409</v>
      </c>
      <c r="CZ128" s="122"/>
      <c r="DA128" s="247">
        <v>0.9</v>
      </c>
      <c r="DB128" s="249">
        <v>0.43588989435406728</v>
      </c>
      <c r="DC128" s="949">
        <v>500</v>
      </c>
      <c r="DD128" s="124">
        <v>350</v>
      </c>
      <c r="DE128" s="124">
        <v>620</v>
      </c>
      <c r="DF128" s="125">
        <v>3.13608516857161</v>
      </c>
      <c r="DG128" s="126">
        <v>6</v>
      </c>
      <c r="DH128" s="121">
        <v>80</v>
      </c>
      <c r="DI128" s="127"/>
      <c r="DJ128" s="120"/>
      <c r="DK128" s="122"/>
      <c r="DL128" s="250">
        <v>262.74303730951129</v>
      </c>
      <c r="DM128" s="250">
        <v>300</v>
      </c>
      <c r="DN128" s="933">
        <v>500</v>
      </c>
      <c r="DO128" s="251">
        <v>0.14799999999999999</v>
      </c>
      <c r="DP128" s="129">
        <v>0.157</v>
      </c>
      <c r="DQ128" s="121">
        <v>23.95</v>
      </c>
      <c r="DR128" s="121">
        <v>450.50740350000001</v>
      </c>
      <c r="DS128" s="121">
        <v>0.228380079493336</v>
      </c>
      <c r="DT128" s="121">
        <v>53.5</v>
      </c>
      <c r="DU128" s="121">
        <v>3657.5592280000001</v>
      </c>
      <c r="DV128" s="127"/>
      <c r="DW128" s="127"/>
      <c r="DX128" s="127"/>
      <c r="DY128" s="132"/>
      <c r="DZ128" s="132"/>
      <c r="EA128" s="132"/>
      <c r="EB128" s="122"/>
      <c r="EC128" s="132"/>
      <c r="ED128" s="253" t="s">
        <v>699</v>
      </c>
      <c r="EE128" s="232"/>
      <c r="EF128" s="233">
        <v>310</v>
      </c>
      <c r="EG128" s="395">
        <v>310</v>
      </c>
      <c r="EH128" s="538"/>
      <c r="EI128" s="544">
        <v>30</v>
      </c>
      <c r="EJ128" s="45"/>
      <c r="EK128" s="45"/>
      <c r="EL128" s="45"/>
      <c r="EM128" s="45"/>
      <c r="EN128" s="543"/>
      <c r="EO128" s="11">
        <v>3657.5592280000001</v>
      </c>
      <c r="EP128" s="254"/>
      <c r="ET128" s="2" t="s">
        <v>702</v>
      </c>
      <c r="EU128" s="2" t="s">
        <v>705</v>
      </c>
      <c r="EV128" s="2">
        <v>6</v>
      </c>
      <c r="EW128" s="3">
        <v>8</v>
      </c>
      <c r="EX128" s="930">
        <v>500</v>
      </c>
      <c r="EY128" s="3">
        <v>1</v>
      </c>
      <c r="EZ128" s="930">
        <v>36526</v>
      </c>
      <c r="FA128" s="3">
        <v>1</v>
      </c>
      <c r="FB128" s="3" t="s">
        <v>647</v>
      </c>
      <c r="FC128" s="3">
        <v>6</v>
      </c>
      <c r="FD128" s="64"/>
      <c r="FE128" s="64"/>
      <c r="FF128" s="889"/>
      <c r="FG128" s="64"/>
      <c r="FH128" s="889"/>
      <c r="FI128" s="64"/>
      <c r="FJ128" s="889"/>
      <c r="FM128" s="3" t="s">
        <v>700</v>
      </c>
    </row>
    <row r="129" spans="75:117">
      <c r="CB129" s="2" t="s">
        <v>573</v>
      </c>
      <c r="CT129" s="2" t="s">
        <v>574</v>
      </c>
      <c r="CY129" s="2" t="s">
        <v>575</v>
      </c>
      <c r="DJ129" s="2" t="s">
        <v>576</v>
      </c>
    </row>
    <row r="130" spans="75:117">
      <c r="CB130" s="2" t="s">
        <v>577</v>
      </c>
      <c r="CS130" s="2" t="s">
        <v>163</v>
      </c>
      <c r="CT130" s="4"/>
      <c r="CU130" s="4"/>
      <c r="CV130" s="322"/>
      <c r="CW130" s="4">
        <v>113</v>
      </c>
      <c r="CX130" s="2" t="s">
        <v>117</v>
      </c>
      <c r="CY130" s="4">
        <v>113</v>
      </c>
      <c r="CZ130" s="2" t="s">
        <v>163</v>
      </c>
      <c r="DH130" s="2" t="s">
        <v>578</v>
      </c>
      <c r="DI130" s="4"/>
      <c r="DJ130" s="4"/>
      <c r="DK130" s="322"/>
      <c r="DL130" s="4">
        <v>66.8</v>
      </c>
      <c r="DM130" s="2" t="s">
        <v>117</v>
      </c>
    </row>
    <row r="131" spans="75:117">
      <c r="CB131" s="2" t="s">
        <v>579</v>
      </c>
      <c r="CT131" s="4"/>
      <c r="CU131" s="4"/>
      <c r="CV131" s="322"/>
      <c r="CX131" s="2"/>
      <c r="CY131" s="4">
        <v>11.55</v>
      </c>
      <c r="CZ131" s="2" t="s">
        <v>164</v>
      </c>
      <c r="DH131" s="2" t="s">
        <v>580</v>
      </c>
      <c r="DI131" s="4"/>
      <c r="DJ131" s="4"/>
      <c r="DK131" s="322"/>
      <c r="DL131" s="4">
        <v>70</v>
      </c>
      <c r="DM131" s="2" t="s">
        <v>117</v>
      </c>
    </row>
    <row r="132" spans="75:117">
      <c r="CS132" s="2" t="s">
        <v>581</v>
      </c>
      <c r="CT132" s="4"/>
      <c r="CU132" s="4"/>
      <c r="CV132" s="322"/>
      <c r="CW132" s="4">
        <v>101.01010101010101</v>
      </c>
      <c r="CX132" s="2" t="s">
        <v>117</v>
      </c>
      <c r="CY132" s="4">
        <v>126.26262626262627</v>
      </c>
      <c r="CZ132" s="2" t="s">
        <v>165</v>
      </c>
      <c r="DH132" s="2" t="s">
        <v>165</v>
      </c>
      <c r="DI132" s="4"/>
      <c r="DJ132" s="4"/>
      <c r="DK132" s="322"/>
      <c r="DL132" s="4">
        <v>126.26262626262627</v>
      </c>
      <c r="DM132" s="2" t="s">
        <v>117</v>
      </c>
    </row>
    <row r="133" spans="75:117">
      <c r="BX133" s="2" t="s">
        <v>605</v>
      </c>
      <c r="CS133" s="2" t="s">
        <v>166</v>
      </c>
      <c r="CT133" s="4"/>
      <c r="CU133" s="4"/>
      <c r="CV133" s="322"/>
      <c r="CW133" s="4">
        <v>58.784375547381316</v>
      </c>
      <c r="CX133" s="2" t="s">
        <v>117</v>
      </c>
      <c r="CY133" s="4">
        <v>58.784375547381316</v>
      </c>
      <c r="CZ133" s="2" t="s">
        <v>166</v>
      </c>
      <c r="DH133" s="2" t="s">
        <v>166</v>
      </c>
      <c r="DI133" s="4"/>
      <c r="DJ133" s="4"/>
      <c r="DK133" s="322"/>
      <c r="DL133" s="4">
        <v>58.784375547381316</v>
      </c>
      <c r="DM133" s="2" t="s">
        <v>117</v>
      </c>
    </row>
    <row r="134" spans="75:117">
      <c r="CS134" s="2" t="s">
        <v>167</v>
      </c>
      <c r="CT134" s="4"/>
      <c r="CU134" s="4"/>
      <c r="CV134" s="322"/>
      <c r="CW134" s="4">
        <v>0</v>
      </c>
      <c r="CX134" s="2" t="s">
        <v>117</v>
      </c>
      <c r="CY134" s="4">
        <v>0</v>
      </c>
      <c r="CZ134" s="2" t="s">
        <v>167</v>
      </c>
      <c r="DH134" s="2" t="s">
        <v>167</v>
      </c>
      <c r="DI134" s="4"/>
      <c r="DJ134" s="4"/>
      <c r="DK134" s="322"/>
      <c r="DL134" s="4">
        <v>0</v>
      </c>
      <c r="DM134" s="2" t="s">
        <v>117</v>
      </c>
    </row>
    <row r="135" spans="75:117">
      <c r="BX135" s="2" t="s">
        <v>606</v>
      </c>
      <c r="BY135" s="2" t="s">
        <v>14</v>
      </c>
      <c r="BZ135" s="2" t="s">
        <v>607</v>
      </c>
      <c r="CA135" s="2" t="s">
        <v>608</v>
      </c>
      <c r="CT135" s="4"/>
      <c r="CU135" s="4"/>
      <c r="CV135" s="322"/>
      <c r="CX135" s="2"/>
      <c r="DI135" s="4"/>
      <c r="DJ135" s="4"/>
      <c r="DK135" s="322"/>
      <c r="DM135" s="2"/>
    </row>
    <row r="136" spans="75:117">
      <c r="BW136" s="2" t="s">
        <v>435</v>
      </c>
      <c r="BX136" s="2">
        <v>0</v>
      </c>
      <c r="BY136" s="2">
        <v>286.05138524351128</v>
      </c>
      <c r="BZ136" s="2">
        <v>286.05138524351128</v>
      </c>
      <c r="CA136" s="2">
        <v>0</v>
      </c>
      <c r="CT136" s="4"/>
      <c r="CU136" s="4"/>
      <c r="CV136" s="322"/>
      <c r="CW136" s="4" t="s">
        <v>168</v>
      </c>
      <c r="CX136" s="2"/>
      <c r="CY136" s="4" t="s">
        <v>168</v>
      </c>
      <c r="DI136" s="4"/>
      <c r="DJ136" s="4"/>
      <c r="DK136" s="322"/>
      <c r="DL136" s="4" t="s">
        <v>168</v>
      </c>
      <c r="DM136" s="2"/>
    </row>
    <row r="137" spans="75:117">
      <c r="BW137" s="2" t="s">
        <v>436</v>
      </c>
      <c r="BX137" s="2">
        <v>120</v>
      </c>
      <c r="BY137" s="2">
        <v>289.67343248760579</v>
      </c>
      <c r="BZ137" s="2">
        <v>-144.83671624380284</v>
      </c>
      <c r="CA137" s="2">
        <v>250.86455133570314</v>
      </c>
      <c r="CT137" s="4"/>
      <c r="CU137" s="4"/>
      <c r="CV137" s="322" t="s">
        <v>161</v>
      </c>
      <c r="CW137" s="4">
        <v>272.79447655748231</v>
      </c>
      <c r="CX137" s="2" t="s">
        <v>117</v>
      </c>
      <c r="CY137" s="4">
        <v>309.59700181000761</v>
      </c>
      <c r="CZ137" s="2" t="s">
        <v>117</v>
      </c>
      <c r="DI137" s="4"/>
      <c r="DJ137" s="4"/>
      <c r="DK137" s="322" t="s">
        <v>161</v>
      </c>
      <c r="DL137" s="4">
        <v>321.84700181000761</v>
      </c>
      <c r="DM137" s="2" t="s">
        <v>117</v>
      </c>
    </row>
    <row r="138" spans="75:117">
      <c r="BW138" s="2" t="s">
        <v>437</v>
      </c>
      <c r="BX138" s="2">
        <v>240</v>
      </c>
      <c r="BY138" s="2">
        <v>241.79941673957424</v>
      </c>
      <c r="BZ138" s="2">
        <v>-120.89970836978723</v>
      </c>
      <c r="CA138" s="2">
        <v>-209.40443751673146</v>
      </c>
      <c r="CT138" s="4"/>
      <c r="CU138" s="4"/>
      <c r="CV138" s="322"/>
      <c r="CX138" s="2"/>
      <c r="DI138" s="4"/>
      <c r="DJ138" s="4"/>
      <c r="DK138" s="322"/>
      <c r="DM138" s="2"/>
    </row>
    <row r="139" spans="75:117">
      <c r="BW139" s="2" t="s">
        <v>609</v>
      </c>
      <c r="BY139" s="2">
        <v>46.169672548950729</v>
      </c>
      <c r="BZ139" s="2">
        <v>20.314960629921202</v>
      </c>
      <c r="CA139" s="2">
        <v>41.460113818971678</v>
      </c>
      <c r="CT139" s="4"/>
      <c r="CU139" s="4"/>
      <c r="CV139" s="322" t="s">
        <v>169</v>
      </c>
      <c r="CW139" s="4">
        <v>0.8</v>
      </c>
      <c r="CX139" s="2"/>
      <c r="CY139" s="4">
        <v>0.8</v>
      </c>
      <c r="DI139" s="4"/>
      <c r="DJ139" s="4"/>
      <c r="DK139" s="322" t="s">
        <v>169</v>
      </c>
      <c r="DL139" s="4">
        <v>0.8</v>
      </c>
      <c r="DM139" s="2"/>
    </row>
    <row r="140" spans="75:117">
      <c r="CT140" s="4"/>
      <c r="CU140" s="4"/>
      <c r="CV140" s="322"/>
      <c r="CX140" s="2"/>
      <c r="DI140" s="4"/>
      <c r="DJ140" s="4"/>
      <c r="DK140" s="322" t="s">
        <v>502</v>
      </c>
      <c r="DL140" s="4">
        <v>100</v>
      </c>
      <c r="DM140" s="2"/>
    </row>
    <row r="141" spans="75:117">
      <c r="CT141" s="4"/>
      <c r="CU141" s="4"/>
      <c r="CV141" s="322" t="s">
        <v>161</v>
      </c>
      <c r="CW141" s="4">
        <v>218.23558124598586</v>
      </c>
      <c r="CX141" s="2" t="s">
        <v>117</v>
      </c>
      <c r="CY141" s="4">
        <v>247.6776014480061</v>
      </c>
      <c r="CZ141" s="2" t="s">
        <v>117</v>
      </c>
      <c r="DI141" s="4"/>
      <c r="DJ141" s="4"/>
      <c r="DK141" s="322" t="s">
        <v>161</v>
      </c>
      <c r="DL141" s="4">
        <v>257.47760144800611</v>
      </c>
      <c r="DM141" s="2" t="s">
        <v>117</v>
      </c>
    </row>
    <row r="142" spans="75:117">
      <c r="BZ142" s="2">
        <v>1</v>
      </c>
    </row>
    <row r="147" spans="2:169">
      <c r="B147" s="2">
        <v>1</v>
      </c>
      <c r="C147" s="2">
        <v>2</v>
      </c>
      <c r="D147" s="2">
        <v>3</v>
      </c>
      <c r="E147" s="2">
        <v>4</v>
      </c>
      <c r="F147" s="2">
        <v>5</v>
      </c>
      <c r="G147" s="2">
        <v>6</v>
      </c>
      <c r="H147" s="2">
        <v>7</v>
      </c>
      <c r="I147" s="2">
        <v>8</v>
      </c>
      <c r="J147" s="2">
        <v>9</v>
      </c>
      <c r="K147" s="2">
        <v>10</v>
      </c>
      <c r="L147" s="2">
        <v>11</v>
      </c>
      <c r="M147" s="2">
        <v>12</v>
      </c>
      <c r="N147" s="2">
        <v>13</v>
      </c>
      <c r="O147" s="2">
        <v>14</v>
      </c>
      <c r="P147" s="2">
        <v>15</v>
      </c>
      <c r="Q147" s="2">
        <v>16</v>
      </c>
      <c r="R147" s="2">
        <v>17</v>
      </c>
      <c r="S147" s="2">
        <v>18</v>
      </c>
      <c r="T147" s="2">
        <v>19</v>
      </c>
      <c r="U147" s="2">
        <v>20</v>
      </c>
      <c r="V147" s="2">
        <v>21</v>
      </c>
      <c r="W147" s="2">
        <v>22</v>
      </c>
      <c r="X147" s="2">
        <v>23</v>
      </c>
      <c r="Y147" s="2">
        <v>24</v>
      </c>
      <c r="Z147" s="2">
        <v>25</v>
      </c>
      <c r="AA147" s="2">
        <v>26</v>
      </c>
      <c r="AB147" s="2">
        <v>27</v>
      </c>
      <c r="AC147" s="2">
        <v>28</v>
      </c>
      <c r="AD147" s="2">
        <v>29</v>
      </c>
      <c r="AE147" s="2">
        <v>30</v>
      </c>
      <c r="AF147" s="2">
        <v>31</v>
      </c>
      <c r="AG147" s="2">
        <v>32</v>
      </c>
      <c r="AH147" s="2">
        <v>33</v>
      </c>
      <c r="AI147" s="2">
        <v>34</v>
      </c>
      <c r="AJ147" s="2">
        <v>35</v>
      </c>
      <c r="AK147" s="2">
        <v>36</v>
      </c>
      <c r="AL147" s="2">
        <v>37</v>
      </c>
      <c r="AM147" s="2">
        <v>38</v>
      </c>
      <c r="AN147" s="2">
        <v>39</v>
      </c>
      <c r="AO147" s="2">
        <v>40</v>
      </c>
      <c r="AP147" s="2">
        <v>41</v>
      </c>
      <c r="AQ147" s="2">
        <v>42</v>
      </c>
      <c r="AR147" s="2">
        <v>43</v>
      </c>
      <c r="AS147" s="2">
        <v>44</v>
      </c>
      <c r="AT147" s="2">
        <v>45</v>
      </c>
      <c r="AU147" s="2">
        <v>46</v>
      </c>
      <c r="AV147" s="2">
        <v>47</v>
      </c>
      <c r="AW147" s="2">
        <v>48</v>
      </c>
      <c r="AX147" s="2">
        <v>49</v>
      </c>
      <c r="AY147" s="2">
        <v>50</v>
      </c>
      <c r="AZ147" s="2">
        <v>51</v>
      </c>
      <c r="BA147" s="2">
        <v>52</v>
      </c>
      <c r="BB147" s="2">
        <v>53</v>
      </c>
      <c r="BC147" s="2">
        <v>54</v>
      </c>
      <c r="BD147" s="2">
        <v>55</v>
      </c>
      <c r="BE147" s="2">
        <v>56</v>
      </c>
      <c r="BF147" s="2">
        <v>57</v>
      </c>
      <c r="BG147" s="2">
        <v>58</v>
      </c>
      <c r="BH147" s="2">
        <v>59</v>
      </c>
      <c r="BI147" s="2">
        <v>60</v>
      </c>
      <c r="BJ147" s="2">
        <v>61</v>
      </c>
      <c r="BK147" s="2">
        <v>62</v>
      </c>
      <c r="BL147" s="2">
        <v>63</v>
      </c>
      <c r="BM147" s="2">
        <v>64</v>
      </c>
      <c r="BN147" s="2">
        <v>65</v>
      </c>
      <c r="BO147" s="2">
        <v>66</v>
      </c>
      <c r="BP147" s="2">
        <v>67</v>
      </c>
      <c r="BQ147" s="2">
        <v>68</v>
      </c>
      <c r="BR147" s="2">
        <v>69</v>
      </c>
      <c r="BS147" s="2">
        <v>70</v>
      </c>
      <c r="BT147" s="2">
        <v>71</v>
      </c>
      <c r="BU147" s="4">
        <v>72</v>
      </c>
      <c r="BV147" s="2">
        <v>73</v>
      </c>
      <c r="BW147" s="2">
        <v>74</v>
      </c>
      <c r="BX147" s="2">
        <v>75</v>
      </c>
      <c r="BY147" s="2">
        <v>76</v>
      </c>
      <c r="BZ147" s="2">
        <v>77</v>
      </c>
      <c r="CA147" s="2">
        <v>78</v>
      </c>
      <c r="CB147" s="2">
        <v>79</v>
      </c>
      <c r="CC147" s="2">
        <v>80</v>
      </c>
      <c r="CD147" s="2">
        <v>81</v>
      </c>
      <c r="CE147" s="2">
        <v>82</v>
      </c>
      <c r="CF147" s="2">
        <v>83</v>
      </c>
      <c r="CG147" s="2">
        <v>84</v>
      </c>
      <c r="CH147" s="2">
        <v>85</v>
      </c>
      <c r="CI147" s="4">
        <v>86</v>
      </c>
      <c r="CJ147" s="4">
        <v>87</v>
      </c>
      <c r="CK147" s="4">
        <v>88</v>
      </c>
      <c r="CL147" s="2">
        <v>89</v>
      </c>
      <c r="CM147" s="2">
        <v>90</v>
      </c>
      <c r="CN147" s="2">
        <v>91</v>
      </c>
      <c r="CO147" s="2">
        <v>92</v>
      </c>
      <c r="CP147" s="2">
        <v>93</v>
      </c>
      <c r="CQ147" s="2">
        <v>94</v>
      </c>
      <c r="CR147" s="2">
        <v>95</v>
      </c>
      <c r="CS147" s="2">
        <v>96</v>
      </c>
      <c r="CT147" s="2">
        <v>97</v>
      </c>
      <c r="CU147" s="2">
        <v>98</v>
      </c>
      <c r="CV147" s="4">
        <v>99</v>
      </c>
      <c r="CW147" s="4">
        <v>100</v>
      </c>
      <c r="CX147" s="322">
        <v>101</v>
      </c>
      <c r="CY147" s="2">
        <v>102</v>
      </c>
      <c r="CZ147" s="2">
        <v>103</v>
      </c>
      <c r="DA147" s="2">
        <v>104</v>
      </c>
      <c r="DB147" s="2">
        <v>105</v>
      </c>
      <c r="DC147" s="2">
        <v>106</v>
      </c>
      <c r="DD147" s="2">
        <v>107</v>
      </c>
      <c r="DE147" s="2">
        <v>108</v>
      </c>
      <c r="DF147" s="2">
        <v>109</v>
      </c>
      <c r="DG147" s="2">
        <v>110</v>
      </c>
      <c r="DH147" s="2">
        <v>111</v>
      </c>
      <c r="DI147" s="2">
        <v>112</v>
      </c>
      <c r="DJ147" s="2">
        <v>113</v>
      </c>
      <c r="DK147" s="2">
        <v>114</v>
      </c>
      <c r="DL147" s="4">
        <v>115</v>
      </c>
      <c r="DM147" s="4">
        <v>116</v>
      </c>
      <c r="DN147" s="2">
        <v>117</v>
      </c>
      <c r="DO147" s="2">
        <v>118</v>
      </c>
      <c r="DP147" s="2">
        <v>119</v>
      </c>
      <c r="DQ147" s="2">
        <v>120</v>
      </c>
      <c r="DR147" s="2">
        <v>121</v>
      </c>
      <c r="DS147" s="2">
        <v>122</v>
      </c>
      <c r="DT147" s="2">
        <v>123</v>
      </c>
      <c r="DU147" s="2">
        <v>124</v>
      </c>
      <c r="DV147" s="2">
        <v>125</v>
      </c>
      <c r="DW147" s="2">
        <v>126</v>
      </c>
      <c r="DX147" s="2">
        <v>127</v>
      </c>
      <c r="DY147" s="2">
        <v>128</v>
      </c>
      <c r="DZ147" s="2">
        <v>129</v>
      </c>
      <c r="EA147" s="2">
        <v>130</v>
      </c>
      <c r="EB147" s="2">
        <v>131</v>
      </c>
      <c r="EC147" s="2">
        <v>132</v>
      </c>
      <c r="ED147" s="2">
        <v>133</v>
      </c>
      <c r="EE147" s="2">
        <v>134</v>
      </c>
      <c r="EF147" s="2">
        <v>135</v>
      </c>
      <c r="EG147" s="2">
        <v>136</v>
      </c>
      <c r="EH147" s="4">
        <v>137</v>
      </c>
      <c r="EI147" s="4">
        <v>138</v>
      </c>
      <c r="EJ147" s="4">
        <v>139</v>
      </c>
      <c r="EK147" s="4">
        <v>140</v>
      </c>
      <c r="EL147" s="4">
        <v>141</v>
      </c>
      <c r="EM147" s="4">
        <v>142</v>
      </c>
      <c r="EN147" s="2">
        <v>143</v>
      </c>
      <c r="EO147" s="4">
        <v>144</v>
      </c>
      <c r="EP147" s="2">
        <v>145</v>
      </c>
      <c r="EQ147" s="2">
        <v>146</v>
      </c>
      <c r="ER147" s="2">
        <v>147</v>
      </c>
      <c r="ES147" s="2">
        <v>148</v>
      </c>
      <c r="ET147" s="2">
        <v>149</v>
      </c>
      <c r="EU147" s="2">
        <v>150</v>
      </c>
      <c r="EV147" s="2">
        <v>151</v>
      </c>
      <c r="EW147" s="2">
        <v>152</v>
      </c>
      <c r="EX147" s="2">
        <v>153</v>
      </c>
      <c r="EY147" s="2">
        <v>154</v>
      </c>
      <c r="EZ147" s="2">
        <v>155</v>
      </c>
      <c r="FA147" s="2">
        <v>156</v>
      </c>
      <c r="FB147" s="2">
        <v>157</v>
      </c>
      <c r="FC147" s="2">
        <v>158</v>
      </c>
      <c r="FD147">
        <v>159</v>
      </c>
      <c r="FE147">
        <v>160</v>
      </c>
      <c r="FF147" s="2">
        <v>161</v>
      </c>
      <c r="FG147" s="2">
        <v>162</v>
      </c>
      <c r="FH147" s="2">
        <v>163</v>
      </c>
      <c r="FI147" s="2">
        <v>164</v>
      </c>
      <c r="FJ147" s="2">
        <v>165</v>
      </c>
      <c r="FK147" s="2">
        <v>166</v>
      </c>
      <c r="FL147" s="2">
        <v>167</v>
      </c>
      <c r="FM147" s="2">
        <v>168</v>
      </c>
    </row>
  </sheetData>
  <sheetProtection formatCells="0" formatColumns="0" formatRows="0"/>
  <mergeCells count="40">
    <mergeCell ref="DN22:DU25"/>
    <mergeCell ref="DV22:EC25"/>
    <mergeCell ref="J22:O22"/>
    <mergeCell ref="P22:U26"/>
    <mergeCell ref="BX22:BZ22"/>
    <mergeCell ref="CA22:CB22"/>
    <mergeCell ref="CC22:CG26"/>
    <mergeCell ref="EJ22:EM29"/>
    <mergeCell ref="EP22:EQ23"/>
    <mergeCell ref="ER22:ES23"/>
    <mergeCell ref="J23:O23"/>
    <mergeCell ref="BC23:BI23"/>
    <mergeCell ref="CI23:CJ24"/>
    <mergeCell ref="CK23:CK24"/>
    <mergeCell ref="J24:O25"/>
    <mergeCell ref="DC24:DD26"/>
    <mergeCell ref="EP24:EP29"/>
    <mergeCell ref="EQ24:EQ29"/>
    <mergeCell ref="ER24:ER29"/>
    <mergeCell ref="ES24:ES29"/>
    <mergeCell ref="CI22:CK22"/>
    <mergeCell ref="J26:O26"/>
    <mergeCell ref="BX26:BZ26"/>
    <mergeCell ref="A27:A28"/>
    <mergeCell ref="B27:D27"/>
    <mergeCell ref="B28:D28"/>
    <mergeCell ref="W28:W29"/>
    <mergeCell ref="CL28:CN28"/>
    <mergeCell ref="B29:D29"/>
    <mergeCell ref="E25:E27"/>
    <mergeCell ref="CA25:CA26"/>
    <mergeCell ref="CB25:CB26"/>
    <mergeCell ref="CI25:CJ26"/>
    <mergeCell ref="CK25:CK26"/>
    <mergeCell ref="B128:D128"/>
    <mergeCell ref="B118:D118"/>
    <mergeCell ref="B120:D120"/>
    <mergeCell ref="B122:D122"/>
    <mergeCell ref="B124:D124"/>
    <mergeCell ref="B126:D126"/>
  </mergeCells>
  <phoneticPr fontId="6" type="noConversion"/>
  <conditionalFormatting sqref="CE118 CE120 CE115:CE116 CE122 CE124:CE128">
    <cfRule type="cellIs" dxfId="14" priority="23" stopIfTrue="1" operator="greaterThan">
      <formula>$R115</formula>
    </cfRule>
  </conditionalFormatting>
  <conditionalFormatting sqref="BZ118 BZ120 BZ115:BZ116 BZ122 BZ124:BZ128">
    <cfRule type="cellIs" dxfId="13" priority="24" stopIfTrue="1" operator="greaterThan">
      <formula>$L115</formula>
    </cfRule>
  </conditionalFormatting>
  <conditionalFormatting sqref="BZ31:BZ72">
    <cfRule type="cellIs" dxfId="12" priority="25" stopIfTrue="1" operator="greaterThan">
      <formula>$L31</formula>
    </cfRule>
  </conditionalFormatting>
  <conditionalFormatting sqref="CE31:CE72">
    <cfRule type="cellIs" dxfId="11" priority="26" stopIfTrue="1" operator="greaterThan">
      <formula>$R31</formula>
    </cfRule>
  </conditionalFormatting>
  <conditionalFormatting sqref="W31:W72">
    <cfRule type="cellIs" dxfId="10" priority="35" stopIfTrue="1" operator="equal">
      <formula>"NO"</formula>
    </cfRule>
  </conditionalFormatting>
  <conditionalFormatting sqref="B31:B114">
    <cfRule type="cellIs" dxfId="9" priority="36" stopIfTrue="1" operator="greaterThan">
      <formula>$M$19</formula>
    </cfRule>
  </conditionalFormatting>
  <conditionalFormatting sqref="BZ73:BZ108">
    <cfRule type="cellIs" dxfId="8" priority="12" stopIfTrue="1" operator="greaterThan">
      <formula>$L73</formula>
    </cfRule>
  </conditionalFormatting>
  <conditionalFormatting sqref="CE73:CE108">
    <cfRule type="cellIs" dxfId="7" priority="13" stopIfTrue="1" operator="greaterThan">
      <formula>$R73</formula>
    </cfRule>
  </conditionalFormatting>
  <conditionalFormatting sqref="W73:W108">
    <cfRule type="cellIs" dxfId="6" priority="22" stopIfTrue="1" operator="equal">
      <formula>"NO"</formula>
    </cfRule>
  </conditionalFormatting>
  <conditionalFormatting sqref="BZ109:BZ114">
    <cfRule type="cellIs" dxfId="5" priority="1" stopIfTrue="1" operator="greaterThan">
      <formula>$L109</formula>
    </cfRule>
  </conditionalFormatting>
  <conditionalFormatting sqref="CE109:CE114">
    <cfRule type="cellIs" dxfId="4" priority="2" stopIfTrue="1" operator="greaterThan">
      <formula>$R109</formula>
    </cfRule>
  </conditionalFormatting>
  <conditionalFormatting sqref="W109:W114">
    <cfRule type="cellIs" dxfId="3" priority="11" stopIfTrue="1" operator="equal">
      <formula>"NO"</formula>
    </cfRule>
  </conditionalFormatting>
  <pageMargins left="0.75" right="0.75" top="1" bottom="1" header="0" footer="0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>
                <anchor moveWithCells="1" sizeWithCells="1">
                  <from>
                    <xdr:col>23</xdr:col>
                    <xdr:colOff>68580</xdr:colOff>
                    <xdr:row>0</xdr:row>
                    <xdr:rowOff>0</xdr:rowOff>
                  </from>
                  <to>
                    <xdr:col>23</xdr:col>
                    <xdr:colOff>1379220</xdr:colOff>
                    <xdr:row>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" name="Button 68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0</xdr:row>
                    <xdr:rowOff>0</xdr:rowOff>
                  </from>
                  <to>
                    <xdr:col>24</xdr:col>
                    <xdr:colOff>1386840</xdr:colOff>
                    <xdr:row>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>
    <tabColor indexed="47"/>
  </sheetPr>
  <dimension ref="A7:BJ134"/>
  <sheetViews>
    <sheetView showGridLines="0" topLeftCell="A7" workbookViewId="0">
      <pane xSplit="2" ySplit="8" topLeftCell="S15" activePane="bottomRight" state="frozen"/>
      <selection activeCell="G74" sqref="G74"/>
      <selection pane="topRight" activeCell="G74" sqref="G74"/>
      <selection pane="bottomLeft" activeCell="G74" sqref="G74"/>
      <selection pane="bottomRight" activeCell="AH24" sqref="AH24:AR24"/>
    </sheetView>
  </sheetViews>
  <sheetFormatPr baseColWidth="10" defaultColWidth="11.44140625" defaultRowHeight="13.2"/>
  <cols>
    <col min="1" max="1" width="11.44140625" style="46"/>
    <col min="2" max="2" width="11.109375" style="50" customWidth="1"/>
    <col min="3" max="3" width="34.5546875" style="50" customWidth="1"/>
    <col min="4" max="20" width="10.6640625" style="46" customWidth="1"/>
    <col min="21" max="22" width="10.6640625" style="46" hidden="1" customWidth="1"/>
    <col min="23" max="33" width="10.6640625" style="50" hidden="1" customWidth="1"/>
    <col min="34" max="34" width="10.6640625" style="50" customWidth="1"/>
    <col min="35" max="35" width="11.44140625" style="566"/>
    <col min="36" max="36" width="11.88671875" style="566" customWidth="1"/>
    <col min="37" max="37" width="6" style="50" customWidth="1"/>
    <col min="38" max="38" width="5.44140625" style="50" customWidth="1"/>
    <col min="39" max="39" width="6.88671875" style="50" customWidth="1"/>
    <col min="40" max="40" width="10.88671875" style="50" customWidth="1"/>
    <col min="41" max="41" width="6.6640625" style="50" customWidth="1"/>
    <col min="42" max="42" width="8.33203125" style="50" customWidth="1"/>
    <col min="43" max="43" width="10.44140625" style="50" customWidth="1"/>
    <col min="44" max="44" width="9.44140625" style="566" customWidth="1"/>
    <col min="45" max="45" width="5.44140625" style="50" customWidth="1"/>
    <col min="46" max="46" width="11.6640625" style="50" customWidth="1"/>
    <col min="47" max="47" width="7.88671875" style="50" customWidth="1"/>
    <col min="48" max="48" width="9" style="566" customWidth="1"/>
    <col min="49" max="49" width="7" style="46" customWidth="1"/>
    <col min="50" max="50" width="14" style="46" customWidth="1"/>
    <col min="51" max="51" width="10.33203125" style="567" customWidth="1"/>
    <col min="52" max="52" width="14.44140625" style="46" customWidth="1"/>
    <col min="53" max="55" width="13.6640625" style="566" customWidth="1"/>
    <col min="56" max="16384" width="11.44140625" style="50"/>
  </cols>
  <sheetData>
    <row r="7" spans="1:55">
      <c r="AQ7" s="1134" t="s">
        <v>616</v>
      </c>
      <c r="AR7" s="1098"/>
      <c r="AS7" s="1098"/>
      <c r="AU7" s="46"/>
    </row>
    <row r="8" spans="1:55">
      <c r="A8" s="1094" t="str">
        <f>IF(SUM(BJ31:BJ72)&gt;0,"PRECAUCION HAY VALORES EN LAS CELDAS OCULTAS!","")</f>
        <v/>
      </c>
      <c r="B8" s="1094"/>
      <c r="C8" s="1094"/>
      <c r="AQ8" s="1133" t="s">
        <v>197</v>
      </c>
      <c r="AR8" s="1133"/>
      <c r="AS8" s="575" t="str">
        <f>AU16</f>
        <v>4,600.00 W</v>
      </c>
      <c r="AT8" s="6"/>
      <c r="AU8" s="6"/>
      <c r="AV8" s="566">
        <f>IF(TABLERO!$F$17&lt;&gt;"KVA",(TABLERO!BC25+TABLERO!BJ25)*1000,(TABLERO!BC25+TABLERO!BJ25)*1000/TABLERO!$F$14)</f>
        <v>4600</v>
      </c>
    </row>
    <row r="9" spans="1:55">
      <c r="A9" s="1094"/>
      <c r="B9" s="1094"/>
      <c r="C9" s="1094"/>
      <c r="AQ9" s="1133" t="s">
        <v>198</v>
      </c>
      <c r="AR9" s="1133"/>
      <c r="AS9" s="575" t="str">
        <f>AU18</f>
        <v>20,136.00 W</v>
      </c>
      <c r="AT9" s="6"/>
      <c r="AU9" s="6"/>
      <c r="AV9" s="566" t="str">
        <f>FIXED(IF(TABLERO!$F$17&lt;&gt;"KVA",(TABLERO!BD25+TABLERO!BK25)*1000,(TABLERO!BD25+TABLERO!BK25)*1000/TABLERO!$F$14),2)</f>
        <v>20,136.00</v>
      </c>
    </row>
    <row r="10" spans="1:55">
      <c r="AQ10" s="1133" t="s">
        <v>199</v>
      </c>
      <c r="AR10" s="1133"/>
      <c r="AS10" s="575" t="str">
        <f>FIXED(SUM(AV10:AY10),2)&amp;IF(TABLERO!$F$17="KVA"," VA"," W")</f>
        <v>68,707.02 W</v>
      </c>
      <c r="AT10" s="6"/>
      <c r="AU10" s="6"/>
      <c r="AV10" s="566">
        <f>IF(TABLERO!$F$17&lt;&gt;"KVA",(TABLERO!BE25+TABLERO!BL25)*1000,(TABLERO!BE25+TABLERO!BL25)*1000/TABLERO!$F$14)</f>
        <v>30000</v>
      </c>
      <c r="AW10" s="46">
        <f>IF(TABLERO!$F$17&lt;&gt;"KVA",(TABLERO!BF25+TABLERO!BM25)*1000,(TABLERO!BF25+TABLERO!BM25)*1000/TABLERO!$F$14)</f>
        <v>38707.019999999997</v>
      </c>
      <c r="AX10" s="46">
        <f>IF(TABLERO!$F$17&lt;&gt;"KVA",(TABLERO!BG25+TABLERO!BN25)*1000,(TABLERO!BG25+TABLERO!BN25)*1000/TABLERO!$F$14)</f>
        <v>0</v>
      </c>
      <c r="AY10" s="567">
        <f>IF(TABLERO!$F$17&lt;&gt;"KVA",(TABLERO!BH25+TABLERO!BO25)*1000,(TABLERO!BH25+TABLERO!BO25)*1000/TABLERO!$F$14)</f>
        <v>0</v>
      </c>
    </row>
    <row r="11" spans="1:55">
      <c r="AQ11" s="1132" t="s">
        <v>99</v>
      </c>
      <c r="AR11" s="1132"/>
      <c r="AS11" s="575" t="str">
        <f>AU20</f>
        <v>0.00 W</v>
      </c>
      <c r="AT11" s="6"/>
      <c r="AU11" s="6"/>
    </row>
    <row r="12" spans="1:55">
      <c r="AQ12" s="1133" t="s">
        <v>200</v>
      </c>
      <c r="AR12" s="1133"/>
      <c r="AS12" s="575" t="str">
        <f>AU23</f>
        <v>93,443.02 W</v>
      </c>
      <c r="AT12" s="6"/>
      <c r="AU12" s="6"/>
    </row>
    <row r="13" spans="1:55" ht="13.8" thickBot="1">
      <c r="D13" s="46">
        <v>1</v>
      </c>
      <c r="E13" s="46">
        <v>2</v>
      </c>
      <c r="F13" s="46">
        <v>3</v>
      </c>
      <c r="G13" s="46">
        <v>4</v>
      </c>
      <c r="H13" s="46">
        <v>5</v>
      </c>
      <c r="I13" s="46">
        <v>6</v>
      </c>
      <c r="J13" s="46">
        <v>7</v>
      </c>
      <c r="K13" s="46">
        <v>8</v>
      </c>
      <c r="L13" s="46">
        <v>9</v>
      </c>
      <c r="M13" s="46">
        <v>10</v>
      </c>
      <c r="N13" s="46">
        <v>11</v>
      </c>
      <c r="O13" s="46">
        <v>12</v>
      </c>
      <c r="P13" s="46">
        <v>13</v>
      </c>
      <c r="Q13" s="46">
        <v>14</v>
      </c>
      <c r="R13" s="46">
        <v>15</v>
      </c>
      <c r="S13" s="46">
        <v>16</v>
      </c>
      <c r="T13" s="46">
        <v>17</v>
      </c>
      <c r="U13" s="46">
        <v>18</v>
      </c>
      <c r="V13" s="46">
        <v>19</v>
      </c>
      <c r="W13" s="46">
        <v>20</v>
      </c>
      <c r="X13" s="46">
        <v>21</v>
      </c>
      <c r="Y13" s="46">
        <v>22</v>
      </c>
      <c r="Z13" s="46">
        <v>23</v>
      </c>
      <c r="AA13" s="46">
        <v>24</v>
      </c>
      <c r="AB13" s="46">
        <v>25</v>
      </c>
      <c r="AC13" s="46">
        <v>26</v>
      </c>
      <c r="AD13" s="46">
        <v>27</v>
      </c>
      <c r="AE13" s="46">
        <v>28</v>
      </c>
      <c r="AF13" s="46">
        <v>29</v>
      </c>
      <c r="AG13" s="46">
        <v>30</v>
      </c>
      <c r="AQ13" s="1133" t="s">
        <v>201</v>
      </c>
      <c r="AR13" s="1133"/>
      <c r="AS13" s="567">
        <f>TABLERO!M17</f>
        <v>0.8</v>
      </c>
    </row>
    <row r="14" spans="1:55" ht="14.4" thickTop="1" thickBot="1">
      <c r="C14" s="568">
        <f>SUM(D14:AG14)</f>
        <v>3</v>
      </c>
      <c r="D14" s="569" t="str">
        <f t="shared" ref="D14:AG14" si="0">IF(OR(D116&lt;&gt;"",D117&lt;&gt;""),1,"")</f>
        <v/>
      </c>
      <c r="E14" s="570">
        <f t="shared" si="0"/>
        <v>1</v>
      </c>
      <c r="F14" s="570">
        <f t="shared" si="0"/>
        <v>1</v>
      </c>
      <c r="G14" s="570">
        <f t="shared" si="0"/>
        <v>1</v>
      </c>
      <c r="H14" s="570" t="str">
        <f t="shared" si="0"/>
        <v/>
      </c>
      <c r="I14" s="570" t="str">
        <f t="shared" si="0"/>
        <v/>
      </c>
      <c r="J14" s="570" t="str">
        <f t="shared" si="0"/>
        <v/>
      </c>
      <c r="K14" s="570" t="str">
        <f t="shared" si="0"/>
        <v/>
      </c>
      <c r="L14" s="570" t="str">
        <f t="shared" si="0"/>
        <v/>
      </c>
      <c r="M14" s="570" t="str">
        <f t="shared" si="0"/>
        <v/>
      </c>
      <c r="N14" s="570" t="str">
        <f t="shared" si="0"/>
        <v/>
      </c>
      <c r="O14" s="570" t="str">
        <f t="shared" si="0"/>
        <v/>
      </c>
      <c r="P14" s="570" t="str">
        <f t="shared" si="0"/>
        <v/>
      </c>
      <c r="Q14" s="570" t="str">
        <f t="shared" si="0"/>
        <v/>
      </c>
      <c r="R14" s="570" t="str">
        <f t="shared" si="0"/>
        <v/>
      </c>
      <c r="S14" s="570" t="str">
        <f t="shared" si="0"/>
        <v/>
      </c>
      <c r="T14" s="570" t="str">
        <f t="shared" si="0"/>
        <v/>
      </c>
      <c r="U14" s="570" t="str">
        <f t="shared" si="0"/>
        <v/>
      </c>
      <c r="V14" s="570" t="str">
        <f t="shared" si="0"/>
        <v/>
      </c>
      <c r="W14" s="570" t="str">
        <f t="shared" si="0"/>
        <v/>
      </c>
      <c r="X14" s="570" t="str">
        <f t="shared" si="0"/>
        <v/>
      </c>
      <c r="Y14" s="570" t="str">
        <f t="shared" si="0"/>
        <v/>
      </c>
      <c r="Z14" s="570" t="str">
        <f t="shared" si="0"/>
        <v/>
      </c>
      <c r="AA14" s="570" t="str">
        <f t="shared" si="0"/>
        <v/>
      </c>
      <c r="AB14" s="570" t="str">
        <f t="shared" si="0"/>
        <v/>
      </c>
      <c r="AC14" s="570" t="str">
        <f t="shared" si="0"/>
        <v/>
      </c>
      <c r="AD14" s="570" t="str">
        <f t="shared" si="0"/>
        <v/>
      </c>
      <c r="AE14" s="570" t="str">
        <f t="shared" si="0"/>
        <v/>
      </c>
      <c r="AF14" s="570" t="str">
        <f t="shared" si="0"/>
        <v/>
      </c>
      <c r="AG14" s="570" t="str">
        <f t="shared" si="0"/>
        <v/>
      </c>
      <c r="AH14" s="50" t="s">
        <v>101</v>
      </c>
      <c r="AQ14" s="1133" t="s">
        <v>202</v>
      </c>
      <c r="AR14" s="1133"/>
      <c r="AS14" s="575" t="str">
        <f>AY23</f>
        <v>74,754.42 W</v>
      </c>
      <c r="AT14" s="6"/>
      <c r="AU14" s="6"/>
    </row>
    <row r="15" spans="1:55" ht="12.75" customHeight="1">
      <c r="B15" s="1095"/>
      <c r="C15" s="1096"/>
      <c r="D15" s="1096"/>
      <c r="E15" s="1096"/>
      <c r="F15" s="1096"/>
      <c r="G15" s="1096"/>
      <c r="H15" s="1096"/>
      <c r="I15" s="1096"/>
      <c r="J15" s="1096"/>
      <c r="K15" s="1096"/>
      <c r="L15" s="1096"/>
      <c r="M15" s="1096"/>
      <c r="N15" s="1096"/>
      <c r="O15" s="1096"/>
      <c r="P15" s="1096"/>
      <c r="Q15" s="1096"/>
      <c r="R15" s="1096"/>
      <c r="S15" s="1096"/>
      <c r="T15" s="1096"/>
      <c r="U15" s="1096"/>
      <c r="V15" s="1096"/>
      <c r="W15" s="1096"/>
      <c r="X15" s="1096"/>
      <c r="Y15" s="1096"/>
      <c r="Z15" s="1096"/>
      <c r="AA15" s="1096"/>
      <c r="AB15" s="1096"/>
      <c r="AC15" s="1096"/>
      <c r="AD15" s="1096"/>
      <c r="AE15" s="1096"/>
      <c r="AF15" s="1096"/>
      <c r="AG15" s="1096"/>
      <c r="AH15" s="1150" t="str">
        <f>CONCATENATE("TABLERO: ",TABLERO!F6)</f>
        <v>TABLERO: G</v>
      </c>
      <c r="AI15" s="1151"/>
      <c r="AJ15" s="1152"/>
      <c r="AK15" s="1096"/>
      <c r="AL15" s="1096"/>
      <c r="AM15" s="1096"/>
      <c r="AN15" s="1096"/>
      <c r="AO15" s="1096"/>
      <c r="AP15" s="1096"/>
      <c r="AQ15" s="1096"/>
      <c r="AR15" s="1096"/>
      <c r="AS15" s="1168" t="s">
        <v>284</v>
      </c>
      <c r="AT15" s="1169"/>
      <c r="AU15" s="1169"/>
      <c r="AV15" s="1169"/>
      <c r="AW15" s="1169"/>
      <c r="AX15" s="587" t="s">
        <v>91</v>
      </c>
      <c r="AY15" s="580" t="s">
        <v>92</v>
      </c>
      <c r="AZ15" s="591"/>
      <c r="BA15" s="1165"/>
      <c r="BB15" s="1111"/>
      <c r="BC15" s="1112"/>
    </row>
    <row r="16" spans="1:55" ht="12.75" customHeight="1">
      <c r="B16" s="1097"/>
      <c r="C16" s="1098"/>
      <c r="D16" s="1098"/>
      <c r="E16" s="1098"/>
      <c r="F16" s="1098"/>
      <c r="G16" s="1098"/>
      <c r="H16" s="1098"/>
      <c r="I16" s="1098"/>
      <c r="J16" s="1098"/>
      <c r="K16" s="1098"/>
      <c r="L16" s="1098"/>
      <c r="M16" s="1098"/>
      <c r="N16" s="1098"/>
      <c r="O16" s="1098"/>
      <c r="P16" s="1098"/>
      <c r="Q16" s="1098"/>
      <c r="R16" s="1098"/>
      <c r="S16" s="1098"/>
      <c r="T16" s="1098"/>
      <c r="U16" s="1098"/>
      <c r="V16" s="1098"/>
      <c r="W16" s="1098"/>
      <c r="X16" s="1098"/>
      <c r="Y16" s="1098"/>
      <c r="Z16" s="1098"/>
      <c r="AA16" s="1098"/>
      <c r="AB16" s="1098"/>
      <c r="AC16" s="1098"/>
      <c r="AD16" s="1098"/>
      <c r="AE16" s="1098"/>
      <c r="AF16" s="1098"/>
      <c r="AG16" s="1098"/>
      <c r="AH16" s="1153"/>
      <c r="AI16" s="1154"/>
      <c r="AJ16" s="1155"/>
      <c r="AK16" s="1171" t="str">
        <f>"VOLTS:   "&amp;IF(TABLERO!$F$10=1,TABLERO!H9,TABLERO!F9&amp;" / "&amp;TABLERO!H9)</f>
        <v>VOLTS:   220 / 127</v>
      </c>
      <c r="AL16" s="1171"/>
      <c r="AM16" s="1171"/>
      <c r="AN16" s="1171"/>
      <c r="AO16" s="1171" t="str">
        <f>"FRECUENCIA:  "&amp;TABLERO!M8</f>
        <v>FRECUENCIA:  60</v>
      </c>
      <c r="AP16" s="1171"/>
      <c r="AQ16" s="1171"/>
      <c r="AR16" s="1171"/>
      <c r="AS16" s="1144" t="s">
        <v>285</v>
      </c>
      <c r="AT16" s="1132"/>
      <c r="AU16" s="1121" t="str">
        <f>FIXED(IF(TABLERO!$F$17&lt;&gt;"KVA",(TABLERO!BC25+TABLERO!BJ25)*1000,(TABLERO!BC25+TABLERO!BJ25)*1000/TABLERO!$F$14),2)&amp;IF(TABLERO!$F$17="KVA"," VA"," W")</f>
        <v>4,600.00 W</v>
      </c>
      <c r="AV16" s="1121"/>
      <c r="AW16" s="1121"/>
      <c r="AX16" s="6" t="str">
        <f>"x "&amp;CONCATENATE(FIXED(TABLERO!M10,2)," =")</f>
        <v>x 1.00 =</v>
      </c>
      <c r="AY16" s="1121" t="str">
        <f>FIXED(IF(TABLERO!$F$17&lt;&gt;"KVA",(TABLERO!BC27+TABLERO!BJ27)*1000,(TABLERO!BC27+TABLERO!BJ27)*1000/TABLERO!$F$14),2)&amp;IF(TABLERO!$F$17="KVA"," VA"," W")</f>
        <v>4,600.00 W</v>
      </c>
      <c r="AZ16" s="1170"/>
      <c r="BA16" s="1166"/>
      <c r="BB16" s="1113"/>
      <c r="BC16" s="1114"/>
    </row>
    <row r="17" spans="1:62">
      <c r="A17" s="46" t="s">
        <v>104</v>
      </c>
      <c r="B17" s="1097"/>
      <c r="C17" s="1098"/>
      <c r="D17" s="1098"/>
      <c r="E17" s="1098"/>
      <c r="F17" s="1098"/>
      <c r="G17" s="1098"/>
      <c r="H17" s="1098"/>
      <c r="I17" s="1098"/>
      <c r="J17" s="1098"/>
      <c r="K17" s="1098"/>
      <c r="L17" s="1098"/>
      <c r="M17" s="1098"/>
      <c r="N17" s="1098"/>
      <c r="O17" s="1098"/>
      <c r="P17" s="1098"/>
      <c r="Q17" s="1098"/>
      <c r="R17" s="1098"/>
      <c r="S17" s="1098"/>
      <c r="T17" s="1098"/>
      <c r="U17" s="1098"/>
      <c r="V17" s="1098"/>
      <c r="W17" s="1098"/>
      <c r="X17" s="1098"/>
      <c r="Y17" s="1098"/>
      <c r="Z17" s="1098"/>
      <c r="AA17" s="1098"/>
      <c r="AB17" s="1098"/>
      <c r="AC17" s="1098"/>
      <c r="AD17" s="1098"/>
      <c r="AE17" s="1098"/>
      <c r="AF17" s="1098"/>
      <c r="AG17" s="1098"/>
      <c r="AH17" s="1156"/>
      <c r="AI17" s="1157"/>
      <c r="AJ17" s="1158"/>
      <c r="AK17" s="1171" t="str">
        <f>"FASES:   "&amp;TABLERO!F10</f>
        <v>FASES:   3</v>
      </c>
      <c r="AL17" s="1171"/>
      <c r="AM17" s="1171"/>
      <c r="AN17" s="1171"/>
      <c r="AO17" s="1171" t="str">
        <f>"HILOS: "&amp;TABLERO!H10</f>
        <v>HILOS: 4</v>
      </c>
      <c r="AP17" s="1171"/>
      <c r="AQ17" s="1171"/>
      <c r="AR17" s="1171"/>
      <c r="AS17" s="1144" t="s">
        <v>286</v>
      </c>
      <c r="AT17" s="1132"/>
      <c r="AU17" s="1121" t="str">
        <f>FIXED(IF(TABLERO!$F$17&lt;&gt;"KVA",(TABLERO!BE25+TABLERO!BL25)*1000,(TABLERO!BE25+TABLERO!BL25)*1000/TABLERO!$F$14),2)&amp;IF(TABLERO!$F$17="KVA"," VA"," W")</f>
        <v>30,000.00 W</v>
      </c>
      <c r="AV17" s="1121"/>
      <c r="AW17" s="1121"/>
      <c r="AX17" s="6" t="str">
        <f>"x "&amp;CONCATENATE(FIXED(TABLERO!M12,2)," =")</f>
        <v>x 1.00 =</v>
      </c>
      <c r="AY17" s="1121" t="str">
        <f>FIXED(IF(TABLERO!$F$17&lt;&gt;"KVA",(TABLERO!BE27+TABLERO!BL27)*1000,(TABLERO!BE27+TABLERO!BL27)*1000/TABLERO!$F$14),2)&amp;IF(TABLERO!$F$17="KVA"," VA"," W")</f>
        <v>30,000.00 W</v>
      </c>
      <c r="AZ17" s="1170"/>
      <c r="BA17" s="1166"/>
      <c r="BB17" s="1113"/>
      <c r="BC17" s="1114"/>
    </row>
    <row r="18" spans="1:62">
      <c r="A18" s="46" t="s">
        <v>32</v>
      </c>
      <c r="B18" s="1097"/>
      <c r="C18" s="1098"/>
      <c r="D18" s="1098"/>
      <c r="E18" s="1098"/>
      <c r="F18" s="1098"/>
      <c r="G18" s="1098"/>
      <c r="H18" s="1098"/>
      <c r="I18" s="1098"/>
      <c r="J18" s="1098"/>
      <c r="K18" s="1098"/>
      <c r="L18" s="1098"/>
      <c r="M18" s="1098"/>
      <c r="N18" s="1098"/>
      <c r="O18" s="1098"/>
      <c r="P18" s="1098"/>
      <c r="Q18" s="1098"/>
      <c r="R18" s="1098"/>
      <c r="S18" s="1098"/>
      <c r="T18" s="1098"/>
      <c r="U18" s="1098"/>
      <c r="V18" s="1098"/>
      <c r="W18" s="1098"/>
      <c r="X18" s="1098"/>
      <c r="Y18" s="1098"/>
      <c r="Z18" s="1098"/>
      <c r="AA18" s="1098"/>
      <c r="AB18" s="1098"/>
      <c r="AC18" s="1098"/>
      <c r="AD18" s="1098"/>
      <c r="AE18" s="1098"/>
      <c r="AF18" s="1098"/>
      <c r="AG18" s="1098"/>
      <c r="AH18" s="1118" t="str">
        <f>"CAT:  "</f>
        <v xml:space="preserve">CAT:  </v>
      </c>
      <c r="AI18" s="1119"/>
      <c r="AJ18" s="1120"/>
      <c r="AK18" s="1149" t="str">
        <f>"UBICACIÓN: "&amp;IF(TABLERO!F7=0,"",TABLERO!F7)</f>
        <v>UBICACIÓN: ZONA DE CARGA</v>
      </c>
      <c r="AL18" s="1149"/>
      <c r="AM18" s="1149"/>
      <c r="AN18" s="1149"/>
      <c r="AO18" s="1149"/>
      <c r="AP18" s="1149"/>
      <c r="AQ18" s="1149"/>
      <c r="AR18" s="1149"/>
      <c r="AS18" s="1144" t="str">
        <f>IF(TABLERO!M11="NORMA", "ART.220-13 RECEPTACULOS=", "RECEPTACULOS =")</f>
        <v>RECEPTACULOS =</v>
      </c>
      <c r="AT18" s="1132"/>
      <c r="AU18" s="1121" t="str">
        <f>FIXED(IF(TABLERO!$F$17&lt;&gt;"KVA",(TABLERO!BD25+TABLERO!BK25)*1000,(TABLERO!BD25+TABLERO!BK25)*1000/TABLERO!$F$14),2)&amp;IF(TABLERO!$F$17="KVA"," VA"," W")</f>
        <v>20,136.00 W</v>
      </c>
      <c r="AV18" s="1121"/>
      <c r="AW18" s="1121"/>
      <c r="AX18" s="6" t="str">
        <f>IF(TABLERO!M11="NORMA","x "&amp;CONCATENATE(FIXED(TABLERO!BK27/TABLERO!BK25,2)," ="),"x "&amp;CONCATENATE(FIXED(TABLERO!M11,2)," ="))</f>
        <v>x 1.00 =</v>
      </c>
      <c r="AY18" s="1121" t="str">
        <f>FIXED(IF(TABLERO!$F$17&lt;&gt;"KVA",(TABLERO!BD27+TABLERO!BK27)*1000,(TABLERO!BD27+TABLERO!BK27)*1000/TABLERO!$F$14),2)&amp;IF(TABLERO!$F$17="KVA"," VA"," W")</f>
        <v>20,136.00 W</v>
      </c>
      <c r="AZ18" s="1170"/>
      <c r="BA18" s="1166"/>
      <c r="BB18" s="1113"/>
      <c r="BC18" s="1114"/>
    </row>
    <row r="19" spans="1:62">
      <c r="A19" s="46" t="s">
        <v>105</v>
      </c>
      <c r="B19" s="1097"/>
      <c r="C19" s="1098"/>
      <c r="D19" s="1098"/>
      <c r="E19" s="1098"/>
      <c r="F19" s="1098"/>
      <c r="G19" s="1098"/>
      <c r="H19" s="1098"/>
      <c r="I19" s="1098"/>
      <c r="J19" s="1098"/>
      <c r="K19" s="1098"/>
      <c r="L19" s="1098"/>
      <c r="M19" s="1098"/>
      <c r="N19" s="1098"/>
      <c r="O19" s="1098"/>
      <c r="P19" s="1098"/>
      <c r="Q19" s="1098"/>
      <c r="R19" s="1098"/>
      <c r="S19" s="1098"/>
      <c r="T19" s="1098"/>
      <c r="U19" s="1098"/>
      <c r="V19" s="1098"/>
      <c r="W19" s="1098"/>
      <c r="X19" s="1098"/>
      <c r="Y19" s="1098"/>
      <c r="Z19" s="1098"/>
      <c r="AA19" s="1098"/>
      <c r="AB19" s="1098"/>
      <c r="AC19" s="1098"/>
      <c r="AD19" s="1098"/>
      <c r="AE19" s="1098"/>
      <c r="AF19" s="1098"/>
      <c r="AG19" s="1098"/>
      <c r="AH19" s="1115" t="str">
        <f>IF(TABLERO!M6=0,"",TABLERO!M6)</f>
        <v xml:space="preserve"> LA400M141B</v>
      </c>
      <c r="AI19" s="1116"/>
      <c r="AJ19" s="1117"/>
      <c r="AK19" s="1149"/>
      <c r="AL19" s="1149"/>
      <c r="AM19" s="1149"/>
      <c r="AN19" s="1149"/>
      <c r="AO19" s="1149"/>
      <c r="AP19" s="1149"/>
      <c r="AQ19" s="1149"/>
      <c r="AR19" s="1149"/>
      <c r="AS19" s="1144" t="s">
        <v>287</v>
      </c>
      <c r="AT19" s="1132"/>
      <c r="AU19" s="1121" t="str">
        <f>FIXED(IF(TABLERO!$F$17&lt;&gt;"KVA",(TABLERO!BF25+TABLERO!BM25)*1000,(TABLERO!BF25+TABLERO!BM25)*1000/TABLERO!$F$14),2)&amp;IF(TABLERO!$F$17="KVA"," VA"," W")</f>
        <v>38,707.02 W</v>
      </c>
      <c r="AV19" s="1121"/>
      <c r="AW19" s="1121"/>
      <c r="AX19" s="6" t="str">
        <f>"x "&amp;CONCATENATE(FIXED(TABLERO!M13,2)," =")</f>
        <v>x 1.00 =</v>
      </c>
      <c r="AY19" s="1121" t="str">
        <f>FIXED(IF(TABLERO!$F$17&lt;&gt;"KVA",(TABLERO!BF27+TABLERO!BM27)*1000,(TABLERO!BF27+TABLERO!BM27)*1000/TABLERO!$F$14),2)&amp;IF(TABLERO!$F$17="KVA"," VA"," W")</f>
        <v>38,707.02 W</v>
      </c>
      <c r="AZ19" s="1170"/>
      <c r="BA19" s="1166"/>
      <c r="BB19" s="1113"/>
      <c r="BC19" s="1114"/>
    </row>
    <row r="20" spans="1:62">
      <c r="B20" s="1097"/>
      <c r="C20" s="1098"/>
      <c r="D20" s="1098"/>
      <c r="E20" s="1098"/>
      <c r="F20" s="1098"/>
      <c r="G20" s="1098"/>
      <c r="H20" s="1098"/>
      <c r="I20" s="1098"/>
      <c r="J20" s="1098"/>
      <c r="K20" s="1098"/>
      <c r="L20" s="1098"/>
      <c r="M20" s="1098"/>
      <c r="N20" s="1098"/>
      <c r="O20" s="1098"/>
      <c r="P20" s="1098"/>
      <c r="Q20" s="1098"/>
      <c r="R20" s="1098"/>
      <c r="S20" s="1098"/>
      <c r="T20" s="1098"/>
      <c r="U20" s="1098"/>
      <c r="V20" s="1098"/>
      <c r="W20" s="1098"/>
      <c r="X20" s="1098"/>
      <c r="Y20" s="1098"/>
      <c r="Z20" s="1098"/>
      <c r="AA20" s="1098"/>
      <c r="AB20" s="1098"/>
      <c r="AC20" s="1098"/>
      <c r="AD20" s="1098"/>
      <c r="AE20" s="1098"/>
      <c r="AF20" s="1098"/>
      <c r="AG20" s="1098"/>
      <c r="AH20" s="1118" t="str">
        <f>"MARCA:  "</f>
        <v xml:space="preserve">MARCA:  </v>
      </c>
      <c r="AI20" s="1119"/>
      <c r="AJ20" s="1120"/>
      <c r="AK20" s="1149" t="str">
        <f>"ALIMENTADO DE: "&amp;IF(TABLERO!M18&lt;&gt;"TB",TABLERO!E1,TABLERO!F8)</f>
        <v>ALIMENTADO DE: TRAFO 112.5 KVA-TAB-G</v>
      </c>
      <c r="AL20" s="1149"/>
      <c r="AM20" s="1149"/>
      <c r="AN20" s="1149"/>
      <c r="AO20" s="1149"/>
      <c r="AP20" s="1149"/>
      <c r="AQ20" s="1149"/>
      <c r="AR20" s="1149"/>
      <c r="AS20" s="1144" t="s">
        <v>288</v>
      </c>
      <c r="AT20" s="1132"/>
      <c r="AU20" s="1121" t="str">
        <f>FIXED(IF(TABLERO!$F$17&lt;&gt;"KVA",(TABLERO!BI25+TABLERO!BP25)*1000,(TABLERO!BI25+TABLERO!BP25)*1000/TABLERO!$F$14),2)&amp;IF(TABLERO!$F$17="KVA"," VA"," W")</f>
        <v>0.00 W</v>
      </c>
      <c r="AV20" s="1121"/>
      <c r="AW20" s="1121"/>
      <c r="AX20" s="6" t="str">
        <f>"x "&amp;CONCATENATE(FIXED(TABLERO!M16,2)," =")</f>
        <v>x 1.00 =</v>
      </c>
      <c r="AY20" s="1121" t="str">
        <f>FIXED(IF(TABLERO!$F$17&lt;&gt;"KVA",(TABLERO!BI27+TABLERO!BP27)*1000,(TABLERO!BI27+TABLERO!BP27)*1000/TABLERO!$F$14),2)&amp;IF(TABLERO!$F$17="KVA"," VA"," W")</f>
        <v>0.00 W</v>
      </c>
      <c r="AZ20" s="1170"/>
      <c r="BA20" s="1166"/>
      <c r="BB20" s="1113"/>
      <c r="BC20" s="1114"/>
    </row>
    <row r="21" spans="1:62" ht="12.75" customHeight="1">
      <c r="A21" s="567">
        <f>TABLERO!M19</f>
        <v>29</v>
      </c>
      <c r="B21" s="1097"/>
      <c r="C21" s="1098"/>
      <c r="D21" s="1098"/>
      <c r="E21" s="1098"/>
      <c r="F21" s="1098"/>
      <c r="G21" s="1098"/>
      <c r="H21" s="1098"/>
      <c r="I21" s="1098"/>
      <c r="J21" s="1098"/>
      <c r="K21" s="1098"/>
      <c r="L21" s="1098"/>
      <c r="M21" s="1098"/>
      <c r="N21" s="1098"/>
      <c r="O21" s="1098"/>
      <c r="P21" s="1098"/>
      <c r="Q21" s="1098"/>
      <c r="R21" s="1098"/>
      <c r="S21" s="1098"/>
      <c r="T21" s="1098"/>
      <c r="U21" s="1098"/>
      <c r="V21" s="1098"/>
      <c r="W21" s="1098"/>
      <c r="X21" s="1098"/>
      <c r="Y21" s="1098"/>
      <c r="Z21" s="1098"/>
      <c r="AA21" s="1098"/>
      <c r="AB21" s="1098"/>
      <c r="AC21" s="1098"/>
      <c r="AD21" s="1098"/>
      <c r="AE21" s="1098"/>
      <c r="AF21" s="1098"/>
      <c r="AG21" s="1098"/>
      <c r="AH21" s="1115" t="str">
        <f>IF(TABLERO!M7=0,"",TABLERO!M7)</f>
        <v>SQUARED</v>
      </c>
      <c r="AI21" s="1116"/>
      <c r="AJ21" s="1117"/>
      <c r="AK21" s="1149"/>
      <c r="AL21" s="1149"/>
      <c r="AM21" s="1149"/>
      <c r="AN21" s="1149"/>
      <c r="AO21" s="1149"/>
      <c r="AP21" s="1149"/>
      <c r="AQ21" s="1149"/>
      <c r="AR21" s="1149"/>
      <c r="AS21" s="1144" t="s">
        <v>289</v>
      </c>
      <c r="AT21" s="1132"/>
      <c r="AU21" s="1121" t="str">
        <f>FIXED(IF(TABLERO!$F$17&lt;&gt;"KVA",(TABLERO!BG25+TABLERO!BN25)*1000,(TABLERO!BG25+TABLERO!BN25)*1000/TABLERO!$F$14),2)&amp;IF(TABLERO!$F$17="KVA"," VA"," W")</f>
        <v>0.00 W</v>
      </c>
      <c r="AV21" s="1121"/>
      <c r="AW21" s="1121"/>
      <c r="AX21" s="6" t="str">
        <f>"x "&amp;CONCATENATE(FIXED(TABLERO!M14,2)," =")</f>
        <v>x 1.00 =</v>
      </c>
      <c r="AY21" s="1121" t="str">
        <f>FIXED(IF(TABLERO!$F$17&lt;&gt;"KVA",(TABLERO!BG27+TABLERO!BN27)*1000,(TABLERO!BG27+TABLERO!BN27)*1000/TABLERO!$F$14),2)&amp;IF(TABLERO!$F$17="KVA"," VA"," W")</f>
        <v>0.00 W</v>
      </c>
      <c r="AZ21" s="1170"/>
      <c r="BA21" s="1166"/>
      <c r="BB21" s="1113"/>
      <c r="BC21" s="1114"/>
    </row>
    <row r="22" spans="1:62" ht="12.75" customHeight="1">
      <c r="B22" s="1099"/>
      <c r="C22" s="1100"/>
      <c r="D22" s="1100"/>
      <c r="E22" s="1100"/>
      <c r="F22" s="1100"/>
      <c r="G22" s="1100"/>
      <c r="H22" s="1100"/>
      <c r="I22" s="1100"/>
      <c r="J22" s="1100"/>
      <c r="K22" s="1100"/>
      <c r="L22" s="1100"/>
      <c r="M22" s="1100"/>
      <c r="N22" s="1100"/>
      <c r="O22" s="1100"/>
      <c r="P22" s="1100"/>
      <c r="Q22" s="1100"/>
      <c r="R22" s="1100"/>
      <c r="S22" s="1100"/>
      <c r="T22" s="1100"/>
      <c r="U22" s="1100"/>
      <c r="V22" s="1100"/>
      <c r="W22" s="1100"/>
      <c r="X22" s="1100"/>
      <c r="Y22" s="1100"/>
      <c r="Z22" s="1100"/>
      <c r="AA22" s="1100"/>
      <c r="AB22" s="1100"/>
      <c r="AC22" s="1100"/>
      <c r="AD22" s="1100"/>
      <c r="AE22" s="1100"/>
      <c r="AF22" s="1100"/>
      <c r="AG22" s="1100"/>
      <c r="AH22" s="1159" t="e">
        <f>IF(TABLERO!F12&lt;&gt;"Z","INT. PPAL DE: ","ZAPATASGENERALES    " )&amp;IF(TABLERO!F12="Z","",IF(TABLERO!M18&lt;&gt;"TR",#REF!,#REF!))</f>
        <v>#REF!</v>
      </c>
      <c r="AI22" s="1160"/>
      <c r="AJ22" s="1161"/>
      <c r="AK22" s="1149" t="str">
        <f>"PROYECTO: "&amp;IF(TABLERO!F5=0,"",TABLERO!F5)</f>
        <v>PROYECTO: BODEGA</v>
      </c>
      <c r="AL22" s="1149"/>
      <c r="AM22" s="1149"/>
      <c r="AN22" s="1149"/>
      <c r="AO22" s="1149"/>
      <c r="AP22" s="1149"/>
      <c r="AQ22" s="1149"/>
      <c r="AR22" s="1149"/>
      <c r="AS22" s="1144" t="s">
        <v>290</v>
      </c>
      <c r="AT22" s="1132"/>
      <c r="AU22" s="1121" t="str">
        <f>FIXED(IF(TABLERO!$F$17&lt;&gt;"KVA",(TABLERO!BH25+TABLERO!BO25)*1000,(TABLERO!BH25+TABLERO!BO25)*1000/TABLERO!$F$14),2)&amp;IF(TABLERO!$F$17="KVA"," VA"," W")</f>
        <v>0.00 W</v>
      </c>
      <c r="AV22" s="1121"/>
      <c r="AW22" s="1121"/>
      <c r="AX22" s="6" t="str">
        <f>"x "&amp;CONCATENATE(FIXED(TABLERO!M15,2)," =")</f>
        <v>x 1.00 =</v>
      </c>
      <c r="AY22" s="1121" t="str">
        <f>FIXED(IF(TABLERO!$F$17&lt;&gt;"KVA",(TABLERO!BH27+TABLERO!BO27)*1000,(TABLERO!BH27+TABLERO!BO27)*1000/TABLERO!$F$14),2)&amp;IF(TABLERO!$F$17="KVA"," VA"," W")</f>
        <v>0.00 W</v>
      </c>
      <c r="AZ22" s="1170"/>
      <c r="BA22" s="1166"/>
      <c r="BB22" s="571" t="s">
        <v>303</v>
      </c>
      <c r="BC22" s="49" t="str">
        <f>IF(TABLERO!R11=0,"",TABLERO!R11)</f>
        <v>D.M.S.</v>
      </c>
    </row>
    <row r="23" spans="1:62" ht="12.75" customHeight="1">
      <c r="B23" s="1102" t="s">
        <v>5</v>
      </c>
      <c r="C23" s="588" t="s">
        <v>86</v>
      </c>
      <c r="D23" s="582" t="str">
        <f>IF(OR(TABLERO!X22="",TABLERO!X22=0),"",TABLERO!X22)</f>
        <v>LUM-02 NAVE</v>
      </c>
      <c r="E23" s="582" t="str">
        <f>IF(OR(TABLERO!Y22="",TABLERO!Y22=0),"",TABLERO!Y22)</f>
        <v>COMP. CARTON</v>
      </c>
      <c r="F23" s="582" t="str">
        <f>IF(OR(TABLERO!Z22="",TABLERO!Z22=0),"",TABLERO!Z22)</f>
        <v>VENT. EXTRACCION</v>
      </c>
      <c r="G23" s="582" t="str">
        <f>IF(OR(TABLERO!AA22="",TABLERO!AA22=0),"",TABLERO!AA22)</f>
        <v>CONT. MANT.</v>
      </c>
      <c r="H23" s="582" t="str">
        <f>IF(OR(TABLERO!AB22="",TABLERO!AB22=0),"",TABLERO!AB22)</f>
        <v/>
      </c>
      <c r="I23" s="582" t="str">
        <f>IF(OR(TABLERO!AC22="",TABLERO!AC22=0),"",TABLERO!AC22)</f>
        <v/>
      </c>
      <c r="J23" s="582" t="str">
        <f>IF(OR(TABLERO!AD22="",TABLERO!AD22=0),"",TABLERO!AD22)</f>
        <v/>
      </c>
      <c r="K23" s="582" t="str">
        <f>IF(OR(TABLERO!AE22="",TABLERO!AE22=0),"",TABLERO!AE22)</f>
        <v/>
      </c>
      <c r="L23" s="582" t="str">
        <f>IF(OR(TABLERO!AF22="",TABLERO!AF22=0),"",TABLERO!AF22)</f>
        <v/>
      </c>
      <c r="M23" s="582" t="str">
        <f>IF(OR(TABLERO!AG22="",TABLERO!AG22=0),"",TABLERO!AG22)</f>
        <v/>
      </c>
      <c r="N23" s="582" t="str">
        <f>IF(OR(TABLERO!AH22="",TABLERO!AH22=0),"",TABLERO!AH22)</f>
        <v/>
      </c>
      <c r="O23" s="582" t="str">
        <f>IF(OR(TABLERO!AI22="",TABLERO!AI22=0),"",TABLERO!AI22)</f>
        <v/>
      </c>
      <c r="P23" s="582" t="str">
        <f>IF(OR(TABLERO!AJ22="",TABLERO!AJ22=0),"",TABLERO!AJ22)</f>
        <v/>
      </c>
      <c r="Q23" s="582" t="str">
        <f>IF(OR(TABLERO!AK22="",TABLERO!AK22=0),"",TABLERO!AK22)</f>
        <v/>
      </c>
      <c r="R23" s="582" t="str">
        <f>IF(OR(TABLERO!AL22="",TABLERO!AL22=0),"",TABLERO!AL22)</f>
        <v/>
      </c>
      <c r="S23" s="582" t="str">
        <f>IF(OR(TABLERO!AM22="",TABLERO!AM22=0),"",TABLERO!AM22)</f>
        <v/>
      </c>
      <c r="T23" s="582" t="str">
        <f>IF(OR(TABLERO!AN22="",TABLERO!AN22=0),"",TABLERO!AN22)</f>
        <v/>
      </c>
      <c r="U23" s="582" t="str">
        <f>IF(OR(TABLERO!AO22="",TABLERO!AO22=0),"",TABLERO!AO22)</f>
        <v/>
      </c>
      <c r="V23" s="582" t="str">
        <f>IF(OR(TABLERO!AP22="",TABLERO!AP22=0),"",TABLERO!AP22)</f>
        <v/>
      </c>
      <c r="W23" s="582" t="str">
        <f>IF(OR(TABLERO!AQ22="",TABLERO!AQ22=0),"",TABLERO!AQ22)</f>
        <v/>
      </c>
      <c r="X23" s="582" t="str">
        <f>IF(OR(TABLERO!AR22="",TABLERO!AR22=0),"",TABLERO!AR22)</f>
        <v/>
      </c>
      <c r="Y23" s="582" t="str">
        <f>IF(OR(TABLERO!AS22="",TABLERO!AS22=0),"",TABLERO!AS22)</f>
        <v/>
      </c>
      <c r="Z23" s="582" t="str">
        <f>IF(OR(TABLERO!AT22="",TABLERO!AT22=0),"",TABLERO!AT22)</f>
        <v/>
      </c>
      <c r="AA23" s="582" t="str">
        <f>IF(OR(TABLERO!AU22="",TABLERO!AU22=0),"",TABLERO!AU22)</f>
        <v/>
      </c>
      <c r="AB23" s="582" t="str">
        <f>IF(OR(TABLERO!AV22="",TABLERO!AV22=0),"",TABLERO!AV22)</f>
        <v/>
      </c>
      <c r="AC23" s="582" t="str">
        <f>IF(OR(TABLERO!AW22="",TABLERO!AW22=0),"",TABLERO!AW22)</f>
        <v/>
      </c>
      <c r="AD23" s="582" t="str">
        <f>IF(OR(TABLERO!AX22="",TABLERO!AX22=0),"",TABLERO!AX22)</f>
        <v/>
      </c>
      <c r="AE23" s="582" t="str">
        <f>IF(OR(TABLERO!AY22="",TABLERO!AY22=0),"",TABLERO!AY22)</f>
        <v/>
      </c>
      <c r="AF23" s="582" t="str">
        <f>IF(OR(TABLERO!AZ22="",TABLERO!AZ22=0),"",TABLERO!AZ22)</f>
        <v/>
      </c>
      <c r="AG23" s="590" t="str">
        <f>IF(OR(TABLERO!BA22="",TABLERO!BA22=0),"",TABLERO!BA22)</f>
        <v/>
      </c>
      <c r="AH23" s="1162"/>
      <c r="AI23" s="1163"/>
      <c r="AJ23" s="1164"/>
      <c r="AK23" s="1149"/>
      <c r="AL23" s="1149"/>
      <c r="AM23" s="1149"/>
      <c r="AN23" s="1149"/>
      <c r="AO23" s="1149"/>
      <c r="AP23" s="1149"/>
      <c r="AQ23" s="1149"/>
      <c r="AR23" s="1149"/>
      <c r="AS23" s="1145" t="s">
        <v>291</v>
      </c>
      <c r="AT23" s="1146"/>
      <c r="AU23" s="1121" t="str">
        <f>FIXED(IF(TABLERO!$F$17&lt;&gt;"KVA",(SUM(TABLERO!BC25:BP25))*1000,(SUM(TABLERO!BC25:BP25))*1000/TABLERO!$F$14),2)&amp;IF(TABLERO!$F$17="KVA"," VA"," W")</f>
        <v>93,443.02 W</v>
      </c>
      <c r="AV23" s="1121"/>
      <c r="AW23" s="1121"/>
      <c r="AX23" s="1172" t="str">
        <f>"x " &amp; FIXED(((TABLERO!BF28+TABLERO!BM28)*1000)/((SUM(TABLERO!BC25:BP25))*1000),5)&amp; " ="</f>
        <v>x 0.80000 =</v>
      </c>
      <c r="AY23" s="1121" t="str">
        <f>FIXED(IF(TABLERO!$F$17&lt;&gt;"KVA",(TABLERO!BF28+TABLERO!BM28)*1000,(TABLERO!BF28+TABLERO!BM28)*1000/TABLERO!$F$14),2)&amp;IF(TABLERO!$F$17="KVA"," VA"," W")</f>
        <v>74,754.42 W</v>
      </c>
      <c r="AZ23" s="1170"/>
      <c r="BA23" s="1166"/>
      <c r="BB23" s="581" t="s">
        <v>304</v>
      </c>
      <c r="BC23" s="49" t="str">
        <f>IF(TABLERO!R12=0,"",TABLERO!R12)</f>
        <v>M.M.S.</v>
      </c>
    </row>
    <row r="24" spans="1:62" ht="13.5" customHeight="1">
      <c r="B24" s="1103"/>
      <c r="C24" s="588" t="s">
        <v>87</v>
      </c>
      <c r="D24" s="44">
        <f>IF(OR(TABLERO!X23="",TABLERO!X23=0),"",TABLERO!X23)</f>
        <v>100</v>
      </c>
      <c r="E24" s="44" t="str">
        <f>IF(OR(TABLERO!Y23="",TABLERO!Y23=0),"",TABLERO!Y23)</f>
        <v/>
      </c>
      <c r="F24" s="44" t="str">
        <f>IF(OR(TABLERO!Z23="",TABLERO!Z23=0),"",TABLERO!Z23)</f>
        <v/>
      </c>
      <c r="G24" s="44">
        <f>IF(OR(TABLERO!AA23="",TABLERO!AA23=0),"",TABLERO!AA23)</f>
        <v>2500</v>
      </c>
      <c r="H24" s="44" t="str">
        <f>IF(OR(TABLERO!AB23="",TABLERO!AB23=0),"",TABLERO!AB23)</f>
        <v/>
      </c>
      <c r="I24" s="44" t="str">
        <f>IF(OR(TABLERO!AC23="",TABLERO!AC23=0),"",TABLERO!AC23)</f>
        <v/>
      </c>
      <c r="J24" s="44" t="str">
        <f>IF(OR(TABLERO!AD23="",TABLERO!AD23=0),"",TABLERO!AD23)</f>
        <v/>
      </c>
      <c r="K24" s="44" t="str">
        <f>IF(OR(TABLERO!AE23="",TABLERO!AE23=0),"",TABLERO!AE23)</f>
        <v/>
      </c>
      <c r="L24" s="44" t="str">
        <f>IF(OR(TABLERO!AF23="",TABLERO!AF23=0),"",TABLERO!AF23)</f>
        <v/>
      </c>
      <c r="M24" s="44" t="str">
        <f>IF(OR(TABLERO!AG23="",TABLERO!AG23=0),"",TABLERO!AG23)</f>
        <v/>
      </c>
      <c r="N24" s="44" t="str">
        <f>IF(OR(TABLERO!AH23="",TABLERO!AH23=0),"",TABLERO!AH23)</f>
        <v/>
      </c>
      <c r="O24" s="44" t="str">
        <f>IF(OR(TABLERO!AI23="",TABLERO!AI23=0),"",TABLERO!AI23)</f>
        <v/>
      </c>
      <c r="P24" s="44" t="str">
        <f>IF(OR(TABLERO!AJ23="",TABLERO!AJ23=0),"",TABLERO!AJ23)</f>
        <v/>
      </c>
      <c r="Q24" s="44" t="str">
        <f>IF(OR(TABLERO!AK23="",TABLERO!AK23=0),"",TABLERO!AK23)</f>
        <v/>
      </c>
      <c r="R24" s="44" t="str">
        <f>IF(OR(TABLERO!AL23="",TABLERO!AL23=0),"",TABLERO!AL23)</f>
        <v/>
      </c>
      <c r="S24" s="44" t="str">
        <f>IF(OR(TABLERO!AM23="",TABLERO!AM23=0),"",TABLERO!AM23)</f>
        <v/>
      </c>
      <c r="T24" s="44" t="str">
        <f>IF(OR(TABLERO!AN23="",TABLERO!AN23=0),"",TABLERO!AN23)</f>
        <v/>
      </c>
      <c r="U24" s="44" t="str">
        <f>IF(OR(TABLERO!AO23="",TABLERO!AO23=0),"",TABLERO!AO23)</f>
        <v/>
      </c>
      <c r="V24" s="44" t="str">
        <f>IF(OR(TABLERO!AP23="",TABLERO!AP23=0),"",TABLERO!AP23)</f>
        <v/>
      </c>
      <c r="W24" s="44" t="str">
        <f>IF(OR(TABLERO!AQ23="",TABLERO!AQ23=0),"",TABLERO!AQ23)</f>
        <v/>
      </c>
      <c r="X24" s="44" t="str">
        <f>IF(OR(TABLERO!AR23="",TABLERO!AR23=0),"",TABLERO!AR23)</f>
        <v/>
      </c>
      <c r="Y24" s="44" t="str">
        <f>IF(OR(TABLERO!AS23="",TABLERO!AS23=0),"",TABLERO!AS23)</f>
        <v/>
      </c>
      <c r="Z24" s="44" t="str">
        <f>IF(OR(TABLERO!AT23="",TABLERO!AT23=0),"",TABLERO!AT23)</f>
        <v/>
      </c>
      <c r="AA24" s="44" t="str">
        <f>IF(OR(TABLERO!AU23="",TABLERO!AU23=0),"",TABLERO!AU23)</f>
        <v/>
      </c>
      <c r="AB24" s="44" t="str">
        <f>IF(OR(TABLERO!AV23="",TABLERO!AV23=0),"",TABLERO!AV23)</f>
        <v/>
      </c>
      <c r="AC24" s="44" t="str">
        <f>IF(OR(TABLERO!AW23="",TABLERO!AW23=0),"",TABLERO!AW23)</f>
        <v/>
      </c>
      <c r="AD24" s="44" t="str">
        <f>IF(OR(TABLERO!AX23="",TABLERO!AX23=0),"",TABLERO!AX23)</f>
        <v/>
      </c>
      <c r="AE24" s="44" t="str">
        <f>IF(OR(TABLERO!AY23="",TABLERO!AY23=0),"",TABLERO!AY23)</f>
        <v/>
      </c>
      <c r="AF24" s="44" t="str">
        <f>IF(OR(TABLERO!AZ23="",TABLERO!AZ23=0),"",TABLERO!AZ23)</f>
        <v/>
      </c>
      <c r="AG24" s="44" t="str">
        <f>IF(OR(TABLERO!BA23="",TABLERO!BA23=0),"",TABLERO!BA23)</f>
        <v/>
      </c>
      <c r="AH24" s="1141" t="e">
        <f>"ALIMENTADOR: "&amp;IF(TABLERO!M18="TR",#REF!,IF(TABLERO!M18="PE",#REF!,#REF!))</f>
        <v>#REF!</v>
      </c>
      <c r="AI24" s="1142"/>
      <c r="AJ24" s="1142"/>
      <c r="AK24" s="1142"/>
      <c r="AL24" s="1142"/>
      <c r="AM24" s="1142"/>
      <c r="AN24" s="1142"/>
      <c r="AO24" s="1142"/>
      <c r="AP24" s="1142"/>
      <c r="AQ24" s="1142"/>
      <c r="AR24" s="1142"/>
      <c r="AS24" s="1147"/>
      <c r="AT24" s="1148"/>
      <c r="AU24" s="1174"/>
      <c r="AV24" s="1174"/>
      <c r="AW24" s="1174"/>
      <c r="AX24" s="1173"/>
      <c r="AY24" s="1174"/>
      <c r="AZ24" s="1175"/>
      <c r="BA24" s="1167"/>
      <c r="BB24" s="581" t="s">
        <v>305</v>
      </c>
      <c r="BC24" s="49" t="str">
        <f>IF(TABLERO!R13=0,"",TABLERO!R13)</f>
        <v>D.M.S.</v>
      </c>
    </row>
    <row r="25" spans="1:62" ht="12.75" customHeight="1">
      <c r="B25" s="1103"/>
      <c r="C25" s="588" t="s">
        <v>88</v>
      </c>
      <c r="D25" s="44" t="str">
        <f>IF(OR(TABLERO!X24="",TABLERO!X24=0),"",TABLERO!X24)</f>
        <v/>
      </c>
      <c r="E25" s="44" t="str">
        <f>IF(OR(TABLERO!Y24="",TABLERO!Y24=0),"",TABLERO!Y24)</f>
        <v/>
      </c>
      <c r="F25" s="44" t="str">
        <f>IF(OR(TABLERO!Z24="",TABLERO!Z24=0),"",TABLERO!Z24)</f>
        <v/>
      </c>
      <c r="G25" s="44" t="str">
        <f>IF(OR(TABLERO!AA24="",TABLERO!AA24=0),"",TABLERO!AA24)</f>
        <v/>
      </c>
      <c r="H25" s="44" t="str">
        <f>IF(OR(TABLERO!AB24="",TABLERO!AB24=0),"",TABLERO!AB24)</f>
        <v/>
      </c>
      <c r="I25" s="44" t="str">
        <f>IF(OR(TABLERO!AC24="",TABLERO!AC24=0),"",TABLERO!AC24)</f>
        <v/>
      </c>
      <c r="J25" s="44" t="str">
        <f>IF(OR(TABLERO!AD24="",TABLERO!AD24=0),"",TABLERO!AD24)</f>
        <v/>
      </c>
      <c r="K25" s="44" t="str">
        <f>IF(OR(TABLERO!AE24="",TABLERO!AE24=0),"",TABLERO!AE24)</f>
        <v/>
      </c>
      <c r="L25" s="44" t="str">
        <f>IF(OR(TABLERO!AF24="",TABLERO!AF24=0),"",TABLERO!AF24)</f>
        <v/>
      </c>
      <c r="M25" s="44" t="str">
        <f>IF(OR(TABLERO!AG24="",TABLERO!AG24=0),"",TABLERO!AG24)</f>
        <v/>
      </c>
      <c r="N25" s="44" t="str">
        <f>IF(OR(TABLERO!AH24="",TABLERO!AH24=0),"",TABLERO!AH24)</f>
        <v/>
      </c>
      <c r="O25" s="44" t="str">
        <f>IF(OR(TABLERO!AI24="",TABLERO!AI24=0),"",TABLERO!AI24)</f>
        <v/>
      </c>
      <c r="P25" s="44" t="str">
        <f>IF(OR(TABLERO!AJ24="",TABLERO!AJ24=0),"",TABLERO!AJ24)</f>
        <v/>
      </c>
      <c r="Q25" s="44" t="str">
        <f>IF(OR(TABLERO!AK24="",TABLERO!AK24=0),"",TABLERO!AK24)</f>
        <v/>
      </c>
      <c r="R25" s="44" t="str">
        <f>IF(OR(TABLERO!AL24="",TABLERO!AL24=0),"",TABLERO!AL24)</f>
        <v/>
      </c>
      <c r="S25" s="44" t="str">
        <f>IF(OR(TABLERO!AM24="",TABLERO!AM24=0),"",TABLERO!AM24)</f>
        <v/>
      </c>
      <c r="T25" s="44" t="str">
        <f>IF(OR(TABLERO!AN24="",TABLERO!AN24=0),"",TABLERO!AN24)</f>
        <v/>
      </c>
      <c r="U25" s="44" t="str">
        <f>IF(OR(TABLERO!AO24="",TABLERO!AO24=0),"",TABLERO!AO24)</f>
        <v/>
      </c>
      <c r="V25" s="44" t="str">
        <f>IF(OR(TABLERO!AP24="",TABLERO!AP24=0),"",TABLERO!AP24)</f>
        <v/>
      </c>
      <c r="W25" s="44" t="str">
        <f>IF(OR(TABLERO!AQ24="",TABLERO!AQ24=0),"",TABLERO!AQ24)</f>
        <v/>
      </c>
      <c r="X25" s="44" t="str">
        <f>IF(OR(TABLERO!AR24="",TABLERO!AR24=0),"",TABLERO!AR24)</f>
        <v/>
      </c>
      <c r="Y25" s="44" t="str">
        <f>IF(OR(TABLERO!AS24="",TABLERO!AS24=0),"",TABLERO!AS24)</f>
        <v/>
      </c>
      <c r="Z25" s="44" t="str">
        <f>IF(OR(TABLERO!AT24="",TABLERO!AT24=0),"",TABLERO!AT24)</f>
        <v/>
      </c>
      <c r="AA25" s="44" t="str">
        <f>IF(OR(TABLERO!AU24="",TABLERO!AU24=0),"",TABLERO!AU24)</f>
        <v/>
      </c>
      <c r="AB25" s="44" t="str">
        <f>IF(OR(TABLERO!AV24="",TABLERO!AV24=0),"",TABLERO!AV24)</f>
        <v/>
      </c>
      <c r="AC25" s="44" t="str">
        <f>IF(OR(TABLERO!AW24="",TABLERO!AW24=0),"",TABLERO!AW24)</f>
        <v/>
      </c>
      <c r="AD25" s="44" t="str">
        <f>IF(OR(TABLERO!AX24="",TABLERO!AX24=0),"",TABLERO!AX24)</f>
        <v/>
      </c>
      <c r="AE25" s="44" t="str">
        <f>IF(OR(TABLERO!AY24="",TABLERO!AY24=0),"",TABLERO!AY24)</f>
        <v/>
      </c>
      <c r="AF25" s="44" t="str">
        <f>IF(OR(TABLERO!AZ24="",TABLERO!AZ24=0),"",TABLERO!AZ24)</f>
        <v/>
      </c>
      <c r="AG25" s="44" t="str">
        <f>IF(OR(TABLERO!BA24="",TABLERO!BA24=0),"",TABLERO!BA24)</f>
        <v/>
      </c>
      <c r="AH25" s="1123" t="s">
        <v>283</v>
      </c>
      <c r="AI25" s="1124"/>
      <c r="AJ25" s="1124"/>
      <c r="AK25" s="1124"/>
      <c r="AL25" s="1124"/>
      <c r="AM25" s="1143"/>
      <c r="AN25" s="1123" t="s">
        <v>25</v>
      </c>
      <c r="AO25" s="1124"/>
      <c r="AP25" s="1124"/>
      <c r="AQ25" s="1124"/>
      <c r="AR25" s="1124"/>
      <c r="AS25" s="1125"/>
      <c r="AT25" s="1125"/>
      <c r="AU25" s="1125"/>
      <c r="AV25" s="1126"/>
      <c r="AW25" s="1087" t="s">
        <v>85</v>
      </c>
      <c r="AX25" s="1089" t="s">
        <v>186</v>
      </c>
      <c r="AY25" s="1089" t="s">
        <v>90</v>
      </c>
      <c r="AZ25" s="1176" t="s">
        <v>34</v>
      </c>
      <c r="BA25" s="1084" t="s">
        <v>41</v>
      </c>
      <c r="BB25" s="1085"/>
      <c r="BC25" s="1086"/>
    </row>
    <row r="26" spans="1:62" ht="12.75" customHeight="1">
      <c r="B26" s="1103"/>
      <c r="C26" s="588" t="s">
        <v>54</v>
      </c>
      <c r="D26" s="44" t="str">
        <f>IF(OR(TABLERO!X26="",TABLERO!X26=0),"",TABLERO!X26)</f>
        <v/>
      </c>
      <c r="E26" s="44">
        <f>IF(OR(TABLERO!Y26="",TABLERO!Y26=0),"",TABLERO!Y26)</f>
        <v>15</v>
      </c>
      <c r="F26" s="44">
        <f>IF(OR(TABLERO!Z26="",TABLERO!Z26=0),"",TABLERO!Z26)</f>
        <v>5</v>
      </c>
      <c r="G26" s="44" t="str">
        <f>IF(OR(TABLERO!AA26="",TABLERO!AA26=0),"",TABLERO!AA26)</f>
        <v/>
      </c>
      <c r="H26" s="44" t="str">
        <f>IF(OR(TABLERO!AB26="",TABLERO!AB26=0),"",TABLERO!AB26)</f>
        <v/>
      </c>
      <c r="I26" s="44" t="str">
        <f>IF(OR(TABLERO!AC26="",TABLERO!AC26=0),"",TABLERO!AC26)</f>
        <v/>
      </c>
      <c r="J26" s="44" t="str">
        <f>IF(OR(TABLERO!AD26="",TABLERO!AD26=0),"",TABLERO!AD26)</f>
        <v/>
      </c>
      <c r="K26" s="44" t="str">
        <f>IF(OR(TABLERO!AE26="",TABLERO!AE26=0),"",TABLERO!AE26)</f>
        <v/>
      </c>
      <c r="L26" s="44" t="str">
        <f>IF(OR(TABLERO!AF26="",TABLERO!AF26=0),"",TABLERO!AF26)</f>
        <v/>
      </c>
      <c r="M26" s="44" t="str">
        <f>IF(OR(TABLERO!AG26="",TABLERO!AG26=0),"",TABLERO!AG26)</f>
        <v/>
      </c>
      <c r="N26" s="44" t="str">
        <f>IF(OR(TABLERO!AH26="",TABLERO!AH26=0),"",TABLERO!AH26)</f>
        <v/>
      </c>
      <c r="O26" s="44" t="str">
        <f>IF(OR(TABLERO!AI26="",TABLERO!AI26=0),"",TABLERO!AI26)</f>
        <v/>
      </c>
      <c r="P26" s="44" t="str">
        <f>IF(OR(TABLERO!AJ26="",TABLERO!AJ26=0),"",TABLERO!AJ26)</f>
        <v/>
      </c>
      <c r="Q26" s="44" t="str">
        <f>IF(OR(TABLERO!AK26="",TABLERO!AK26=0),"",TABLERO!AK26)</f>
        <v/>
      </c>
      <c r="R26" s="44" t="str">
        <f>IF(OR(TABLERO!AL26="",TABLERO!AL26=0),"",TABLERO!AL26)</f>
        <v/>
      </c>
      <c r="S26" s="44" t="str">
        <f>IF(OR(TABLERO!AM26="",TABLERO!AM26=0),"",TABLERO!AM26)</f>
        <v/>
      </c>
      <c r="T26" s="44" t="str">
        <f>IF(OR(TABLERO!AN26="",TABLERO!AN26=0),"",TABLERO!AN26)</f>
        <v/>
      </c>
      <c r="U26" s="44" t="str">
        <f>IF(OR(TABLERO!AO26="",TABLERO!AO26=0),"",TABLERO!AO26)</f>
        <v/>
      </c>
      <c r="V26" s="44" t="str">
        <f>IF(OR(TABLERO!AP26="",TABLERO!AP26=0),"",TABLERO!AP26)</f>
        <v/>
      </c>
      <c r="W26" s="44" t="str">
        <f>IF(OR(TABLERO!AQ26="",TABLERO!AQ26=0),"",TABLERO!AQ26)</f>
        <v/>
      </c>
      <c r="X26" s="44" t="str">
        <f>IF(OR(TABLERO!AR26="",TABLERO!AR26=0),"",TABLERO!AR26)</f>
        <v/>
      </c>
      <c r="Y26" s="44" t="str">
        <f>IF(OR(TABLERO!AS26="",TABLERO!AS26=0),"",TABLERO!AS26)</f>
        <v/>
      </c>
      <c r="Z26" s="44" t="str">
        <f>IF(OR(TABLERO!AT26="",TABLERO!AT26=0),"",TABLERO!AT26)</f>
        <v/>
      </c>
      <c r="AA26" s="44" t="str">
        <f>IF(OR(TABLERO!AU26="",TABLERO!AU26=0),"",TABLERO!AU26)</f>
        <v/>
      </c>
      <c r="AB26" s="44" t="str">
        <f>IF(OR(TABLERO!AV26="",TABLERO!AV26=0),"",TABLERO!AV26)</f>
        <v/>
      </c>
      <c r="AC26" s="44" t="str">
        <f>IF(OR(TABLERO!AW26="",TABLERO!AW26=0),"",TABLERO!AW26)</f>
        <v/>
      </c>
      <c r="AD26" s="44" t="str">
        <f>IF(OR(TABLERO!AX26="",TABLERO!AX26=0),"",TABLERO!AX26)</f>
        <v/>
      </c>
      <c r="AE26" s="44" t="str">
        <f>IF(OR(TABLERO!AY26="",TABLERO!AY26=0),"",TABLERO!AY26)</f>
        <v/>
      </c>
      <c r="AF26" s="44" t="str">
        <f>IF(OR(TABLERO!AZ26="",TABLERO!AZ26=0),"",TABLERO!AZ26)</f>
        <v/>
      </c>
      <c r="AG26" s="44" t="str">
        <f>IF(OR(TABLERO!BA26="",TABLERO!BA26=0),"",TABLERO!BA26)</f>
        <v/>
      </c>
      <c r="AH26" s="1127"/>
      <c r="AI26" s="1128"/>
      <c r="AJ26" s="1128"/>
      <c r="AK26" s="1128"/>
      <c r="AL26" s="1128"/>
      <c r="AM26" s="1129"/>
      <c r="AN26" s="1127"/>
      <c r="AO26" s="1128"/>
      <c r="AP26" s="1128"/>
      <c r="AQ26" s="1128"/>
      <c r="AR26" s="1128"/>
      <c r="AS26" s="1128"/>
      <c r="AT26" s="1128"/>
      <c r="AU26" s="1128"/>
      <c r="AV26" s="1129"/>
      <c r="AW26" s="1088"/>
      <c r="AX26" s="1090"/>
      <c r="AY26" s="1090"/>
      <c r="AZ26" s="1176"/>
      <c r="BA26" s="1084"/>
      <c r="BB26" s="1085"/>
      <c r="BC26" s="1086"/>
    </row>
    <row r="27" spans="1:62" ht="12.75" customHeight="1">
      <c r="B27" s="1103"/>
      <c r="C27" s="1101" t="s">
        <v>89</v>
      </c>
      <c r="D27" s="1077" t="str">
        <f>IF(OR(TABLERO!X27="",TABLERO!X27=0),"",TABLERO!X27)</f>
        <v/>
      </c>
      <c r="E27" s="1077" t="str">
        <f>IF(OR(TABLERO!Y27="",TABLERO!Y27=0),"",TABLERO!Y27)</f>
        <v/>
      </c>
      <c r="F27" s="1077" t="str">
        <f>IF(OR(TABLERO!Z27="",TABLERO!Z27=0),"",TABLERO!Z27)</f>
        <v/>
      </c>
      <c r="G27" s="1077" t="str">
        <f>IF(OR(TABLERO!AA27="",TABLERO!AA27=0),"",TABLERO!AA27)</f>
        <v/>
      </c>
      <c r="H27" s="1077" t="str">
        <f>IF(OR(TABLERO!AB27="",TABLERO!AB27=0),"",TABLERO!AB27)</f>
        <v/>
      </c>
      <c r="I27" s="1077" t="str">
        <f>IF(OR(TABLERO!AC27="",TABLERO!AC27=0),"",TABLERO!AC27)</f>
        <v/>
      </c>
      <c r="J27" s="1077" t="str">
        <f>IF(OR(TABLERO!AD27="",TABLERO!AD27=0),"",TABLERO!AD27)</f>
        <v/>
      </c>
      <c r="K27" s="1077" t="str">
        <f>IF(OR(TABLERO!AE27="",TABLERO!AE27=0),"",TABLERO!AE27)</f>
        <v/>
      </c>
      <c r="L27" s="1077" t="str">
        <f>IF(OR(TABLERO!AF27="",TABLERO!AF27=0),"",TABLERO!AF27)</f>
        <v/>
      </c>
      <c r="M27" s="1077" t="str">
        <f>IF(OR(TABLERO!AG27="",TABLERO!AG27=0),"",TABLERO!AG27)</f>
        <v/>
      </c>
      <c r="N27" s="1077" t="str">
        <f>IF(OR(TABLERO!AH27="",TABLERO!AH27=0),"",TABLERO!AH27)</f>
        <v/>
      </c>
      <c r="O27" s="1077" t="str">
        <f>IF(OR(TABLERO!AI27="",TABLERO!AI27=0),"",TABLERO!AI27)</f>
        <v/>
      </c>
      <c r="P27" s="1077" t="str">
        <f>IF(OR(TABLERO!AJ27="",TABLERO!AJ27=0),"",TABLERO!AJ27)</f>
        <v/>
      </c>
      <c r="Q27" s="1077" t="str">
        <f>IF(OR(TABLERO!AK27="",TABLERO!AK27=0),"",TABLERO!AK27)</f>
        <v/>
      </c>
      <c r="R27" s="1077" t="str">
        <f>IF(OR(TABLERO!AL27="",TABLERO!AL27=0),"",TABLERO!AL27)</f>
        <v/>
      </c>
      <c r="S27" s="1077" t="str">
        <f>IF(OR(TABLERO!AM27="",TABLERO!AM27=0),"",TABLERO!AM27)</f>
        <v/>
      </c>
      <c r="T27" s="1077" t="str">
        <f>IF(OR(TABLERO!AN27="",TABLERO!AN27=0),"",TABLERO!AN27)</f>
        <v/>
      </c>
      <c r="U27" s="1077" t="str">
        <f>IF(OR(TABLERO!AO27="",TABLERO!AO27=0),"",TABLERO!AO27)</f>
        <v/>
      </c>
      <c r="V27" s="1077" t="str">
        <f>IF(OR(TABLERO!AP27="",TABLERO!AP27=0),"",TABLERO!AP27)</f>
        <v/>
      </c>
      <c r="W27" s="1077" t="str">
        <f>IF(OR(TABLERO!AQ27="",TABLERO!AQ27=0),"",TABLERO!AQ27)</f>
        <v/>
      </c>
      <c r="X27" s="1077" t="str">
        <f>IF(OR(TABLERO!AR27="",TABLERO!AR27=0),"",TABLERO!AR27)</f>
        <v/>
      </c>
      <c r="Y27" s="1077" t="str">
        <f>IF(OR(TABLERO!AS27="",TABLERO!AS27=0),"",TABLERO!AS27)</f>
        <v/>
      </c>
      <c r="Z27" s="1077" t="str">
        <f>IF(OR(TABLERO!AT27="",TABLERO!AT27=0),"",TABLERO!AT27)</f>
        <v/>
      </c>
      <c r="AA27" s="1077" t="str">
        <f>IF(OR(TABLERO!AU27="",TABLERO!AU27=0),"",TABLERO!AU27)</f>
        <v/>
      </c>
      <c r="AB27" s="1077" t="str">
        <f>IF(OR(TABLERO!AV27="",TABLERO!AV27=0),"",TABLERO!AV27)</f>
        <v/>
      </c>
      <c r="AC27" s="1077" t="str">
        <f>IF(OR(TABLERO!AW27="",TABLERO!AW27=0),"",TABLERO!AW27)</f>
        <v/>
      </c>
      <c r="AD27" s="1077" t="str">
        <f>IF(OR(TABLERO!AX27="",TABLERO!AX27=0),"",TABLERO!AX27)</f>
        <v/>
      </c>
      <c r="AE27" s="1077" t="str">
        <f>IF(OR(TABLERO!AY27="",TABLERO!AY27=0),"",TABLERO!AY27)</f>
        <v/>
      </c>
      <c r="AF27" s="1077" t="str">
        <f>IF(OR(TABLERO!AZ27="",TABLERO!AZ27=0),"",TABLERO!AZ27)</f>
        <v/>
      </c>
      <c r="AG27" s="1077" t="str">
        <f>IF(OR(TABLERO!BA27="",TABLERO!BA27=0),"",TABLERO!BA27)</f>
        <v/>
      </c>
      <c r="AH27" s="1105" t="s">
        <v>308</v>
      </c>
      <c r="AI27" s="1108" t="s">
        <v>307</v>
      </c>
      <c r="AJ27" s="1108" t="s">
        <v>306</v>
      </c>
      <c r="AK27" s="1122" t="s">
        <v>7</v>
      </c>
      <c r="AL27" s="1122" t="s">
        <v>8</v>
      </c>
      <c r="AM27" s="1122" t="s">
        <v>281</v>
      </c>
      <c r="AN27" s="1083" t="s">
        <v>183</v>
      </c>
      <c r="AO27" s="1108" t="s">
        <v>310</v>
      </c>
      <c r="AP27" s="1083" t="s">
        <v>309</v>
      </c>
      <c r="AQ27" s="1083" t="s">
        <v>83</v>
      </c>
      <c r="AR27" s="1083" t="s">
        <v>282</v>
      </c>
      <c r="AS27" s="1083" t="s">
        <v>84</v>
      </c>
      <c r="AT27" s="1135" t="s">
        <v>184</v>
      </c>
      <c r="AU27" s="1136"/>
      <c r="AV27" s="1108" t="s">
        <v>185</v>
      </c>
      <c r="AW27" s="1088"/>
      <c r="AX27" s="1090"/>
      <c r="AY27" s="1090"/>
      <c r="AZ27" s="1176"/>
      <c r="BA27" s="1084"/>
      <c r="BB27" s="1085"/>
      <c r="BC27" s="1086"/>
    </row>
    <row r="28" spans="1:62" ht="12.75" customHeight="1">
      <c r="B28" s="1103"/>
      <c r="C28" s="1101"/>
      <c r="D28" s="1077"/>
      <c r="E28" s="1077"/>
      <c r="F28" s="1077"/>
      <c r="G28" s="1077"/>
      <c r="H28" s="1077"/>
      <c r="I28" s="1077"/>
      <c r="J28" s="1077"/>
      <c r="K28" s="1077"/>
      <c r="L28" s="1077"/>
      <c r="M28" s="1077"/>
      <c r="N28" s="1077"/>
      <c r="O28" s="1077"/>
      <c r="P28" s="1077"/>
      <c r="Q28" s="1077"/>
      <c r="R28" s="1077"/>
      <c r="S28" s="1077"/>
      <c r="T28" s="1077"/>
      <c r="U28" s="1077"/>
      <c r="V28" s="1077"/>
      <c r="W28" s="1077"/>
      <c r="X28" s="1077"/>
      <c r="Y28" s="1077"/>
      <c r="Z28" s="1077"/>
      <c r="AA28" s="1077"/>
      <c r="AB28" s="1077"/>
      <c r="AC28" s="1077"/>
      <c r="AD28" s="1077"/>
      <c r="AE28" s="1077"/>
      <c r="AF28" s="1077"/>
      <c r="AG28" s="1077"/>
      <c r="AH28" s="1106"/>
      <c r="AI28" s="1109"/>
      <c r="AJ28" s="1109"/>
      <c r="AK28" s="1106"/>
      <c r="AL28" s="1106"/>
      <c r="AM28" s="1106"/>
      <c r="AN28" s="1083"/>
      <c r="AO28" s="1130"/>
      <c r="AP28" s="1083"/>
      <c r="AQ28" s="1083"/>
      <c r="AR28" s="1083"/>
      <c r="AS28" s="1083"/>
      <c r="AT28" s="1137"/>
      <c r="AU28" s="1138"/>
      <c r="AV28" s="1130"/>
      <c r="AW28" s="1088"/>
      <c r="AX28" s="1090"/>
      <c r="AY28" s="1090"/>
      <c r="AZ28" s="1176"/>
      <c r="BA28" s="1091" t="str">
        <f>"DESBALANCEO TOTAL ="&amp;FIXED(TABLERO!CK23,2)&amp; " %"</f>
        <v>DESBALANCEO TOTAL =16.53 %</v>
      </c>
      <c r="BB28" s="1092"/>
      <c r="BC28" s="1093"/>
    </row>
    <row r="29" spans="1:62">
      <c r="B29" s="1104"/>
      <c r="C29" s="589" t="str">
        <f>"DESCRIPCION \ CARGA EN "&amp;IF(TABLERO!F17&lt;&gt;"KVA","WATTS","VA'S")</f>
        <v>DESCRIPCION \ CARGA EN WATTS</v>
      </c>
      <c r="D29" s="44">
        <f>IF(OR(TABLERO!X29="",TABLERO!X29=0),"",IF(TABLERO!$F$17&lt;&gt;"KVA",TABLERO!X29,TABLERO!X29/TABLERO!$F$14))</f>
        <v>100</v>
      </c>
      <c r="E29" s="44">
        <f>IF(OR(TABLERO!Y29="",TABLERO!Y29=0),"",IF(TABLERO!$F$17&lt;&gt;"KVA",TABLERO!Y29,TABLERO!Y29/TABLERO!$F$14))</f>
        <v>15825.348000000002</v>
      </c>
      <c r="F29" s="44">
        <f>IF(OR(TABLERO!Z29="",TABLERO!Z29=0),"",IF(TABLERO!$F$17&lt;&gt;"KVA",TABLERO!Z29,TABLERO!Z29/TABLERO!$F$14))</f>
        <v>5720.4179999999997</v>
      </c>
      <c r="G29" s="44">
        <f>IF(OR(TABLERO!AA29="",TABLERO!AA29=0),"",IF(TABLERO!$F$17&lt;&gt;"KVA",TABLERO!AA29,TABLERO!AA29/TABLERO!$F$14))</f>
        <v>2500</v>
      </c>
      <c r="H29" s="44" t="str">
        <f>IF(OR(TABLERO!AB29="",TABLERO!AB29=0),"",IF(TABLERO!$F$17&lt;&gt;"KVA",TABLERO!AB29,TABLERO!AB29/TABLERO!$F$14))</f>
        <v/>
      </c>
      <c r="I29" s="44" t="str">
        <f>IF(OR(TABLERO!AC29="",TABLERO!AC29=0),"",IF(TABLERO!$F$17&lt;&gt;"KVA",TABLERO!AC29,TABLERO!AC29/TABLERO!$F$14))</f>
        <v/>
      </c>
      <c r="J29" s="44" t="str">
        <f>IF(OR(TABLERO!AD29="",TABLERO!AD29=0),"",IF(TABLERO!$F$17&lt;&gt;"KVA",TABLERO!AD29,TABLERO!AD29/TABLERO!$F$14))</f>
        <v/>
      </c>
      <c r="K29" s="44" t="str">
        <f>IF(OR(TABLERO!AE29="",TABLERO!AE29=0),"",IF(TABLERO!$F$17&lt;&gt;"KVA",TABLERO!AE29,TABLERO!AE29/TABLERO!$F$14))</f>
        <v/>
      </c>
      <c r="L29" s="44" t="str">
        <f>IF(OR(TABLERO!AF29="",TABLERO!AF29=0),"",IF(TABLERO!$F$17&lt;&gt;"KVA",TABLERO!AF29,TABLERO!AF29/TABLERO!$F$14))</f>
        <v/>
      </c>
      <c r="M29" s="44" t="str">
        <f>IF(OR(TABLERO!AG29="",TABLERO!AG29=0),"",IF(TABLERO!$F$17&lt;&gt;"KVA",TABLERO!AG29,TABLERO!AG29/TABLERO!$F$14))</f>
        <v/>
      </c>
      <c r="N29" s="44" t="str">
        <f>IF(OR(TABLERO!AH29="",TABLERO!AH29=0),"",IF(TABLERO!$F$17&lt;&gt;"KVA",TABLERO!AH29,TABLERO!AH29/TABLERO!$F$14))</f>
        <v/>
      </c>
      <c r="O29" s="44" t="str">
        <f>IF(OR(TABLERO!AI29="",TABLERO!AI29=0),"",IF(TABLERO!$F$17&lt;&gt;"KVA",TABLERO!AI29,TABLERO!AI29/TABLERO!$F$14))</f>
        <v/>
      </c>
      <c r="P29" s="44" t="str">
        <f>IF(OR(TABLERO!AJ29="",TABLERO!AJ29=0),"",IF(TABLERO!$F$17&lt;&gt;"KVA",TABLERO!AJ29,TABLERO!AJ29/TABLERO!$F$14))</f>
        <v/>
      </c>
      <c r="Q29" s="44" t="str">
        <f>IF(OR(TABLERO!AK29="",TABLERO!AK29=0),"",IF(TABLERO!$F$17&lt;&gt;"KVA",TABLERO!AK29,TABLERO!AK29/TABLERO!$F$14))</f>
        <v/>
      </c>
      <c r="R29" s="44" t="str">
        <f>IF(OR(TABLERO!AL29="",TABLERO!AL29=0),"",IF(TABLERO!$F$17&lt;&gt;"KVA",TABLERO!AL29,TABLERO!AL29/TABLERO!$F$14))</f>
        <v/>
      </c>
      <c r="S29" s="44" t="str">
        <f>IF(OR(TABLERO!AM29="",TABLERO!AM29=0),"",IF(TABLERO!$F$17&lt;&gt;"KVA",TABLERO!AM29,TABLERO!AM29/TABLERO!$F$14))</f>
        <v/>
      </c>
      <c r="T29" s="44" t="str">
        <f>IF(OR(TABLERO!AN29="",TABLERO!AN29=0),"",IF(TABLERO!$F$17&lt;&gt;"KVA",TABLERO!AN29,TABLERO!AN29/TABLERO!$F$14))</f>
        <v/>
      </c>
      <c r="U29" s="44" t="str">
        <f>IF(OR(TABLERO!AO29="",TABLERO!AO29=0),"",IF(TABLERO!$F$17&lt;&gt;"KVA",TABLERO!AO29,TABLERO!AO29/TABLERO!$F$14))</f>
        <v/>
      </c>
      <c r="V29" s="44" t="str">
        <f>IF(OR(TABLERO!AP29="",TABLERO!AP29=0),"",IF(TABLERO!$F$17&lt;&gt;"KVA",TABLERO!AP29,TABLERO!AP29/TABLERO!$F$14))</f>
        <v/>
      </c>
      <c r="W29" s="44" t="str">
        <f>IF(OR(TABLERO!AQ29="",TABLERO!AQ29=0),"",IF(TABLERO!$F$17&lt;&gt;"KVA",TABLERO!AQ29,TABLERO!AQ29/TABLERO!$F$14))</f>
        <v/>
      </c>
      <c r="X29" s="44" t="str">
        <f>IF(OR(TABLERO!AR29="",TABLERO!AR29=0),"",IF(TABLERO!$F$17&lt;&gt;"KVA",TABLERO!AR29,TABLERO!AR29/TABLERO!$F$14))</f>
        <v/>
      </c>
      <c r="Y29" s="44" t="str">
        <f>IF(OR(TABLERO!AS29="",TABLERO!AS29=0),"",IF(TABLERO!$F$17&lt;&gt;"KVA",TABLERO!AS29,TABLERO!AS29/TABLERO!$F$14))</f>
        <v/>
      </c>
      <c r="Z29" s="44" t="str">
        <f>IF(OR(TABLERO!AT29="",TABLERO!AT29=0),"",IF(TABLERO!$F$17&lt;&gt;"KVA",TABLERO!AT29,TABLERO!AT29/TABLERO!$F$14))</f>
        <v/>
      </c>
      <c r="AA29" s="44" t="str">
        <f>IF(OR(TABLERO!AU29="",TABLERO!AU29=0),"",IF(TABLERO!$F$17&lt;&gt;"KVA",TABLERO!AU29,TABLERO!AU29/TABLERO!$F$14))</f>
        <v/>
      </c>
      <c r="AB29" s="44" t="str">
        <f>IF(OR(TABLERO!AV29="",TABLERO!AV29=0),"",IF(TABLERO!$F$17&lt;&gt;"KVA",TABLERO!AV29,TABLERO!AV29/TABLERO!$F$14))</f>
        <v/>
      </c>
      <c r="AC29" s="44" t="str">
        <f>IF(OR(TABLERO!AW29="",TABLERO!AW29=0),"",IF(TABLERO!$F$17&lt;&gt;"KVA",TABLERO!AW29,TABLERO!AW29/TABLERO!$F$14))</f>
        <v/>
      </c>
      <c r="AD29" s="44" t="str">
        <f>IF(OR(TABLERO!AX29="",TABLERO!AX29=0),"",IF(TABLERO!$F$17&lt;&gt;"KVA",TABLERO!AX29,TABLERO!AX29/TABLERO!$F$14))</f>
        <v/>
      </c>
      <c r="AE29" s="44" t="str">
        <f>IF(OR(TABLERO!AY29="",TABLERO!AY29=0),"",IF(TABLERO!$F$17&lt;&gt;"KVA",TABLERO!AY29,TABLERO!AY29/TABLERO!$F$14))</f>
        <v/>
      </c>
      <c r="AF29" s="44" t="str">
        <f>IF(OR(TABLERO!AZ29="",TABLERO!AZ29=0),"",IF(TABLERO!$F$17&lt;&gt;"KVA",TABLERO!AZ29,TABLERO!AZ29/TABLERO!$F$14))</f>
        <v/>
      </c>
      <c r="AG29" s="44" t="str">
        <f>IF(OR(TABLERO!BA29="",TABLERO!BA29=0),"",IF(TABLERO!$F$17&lt;&gt;"KVA",TABLERO!BA29,TABLERO!BA29/TABLERO!$F$14))</f>
        <v/>
      </c>
      <c r="AH29" s="1107"/>
      <c r="AI29" s="1110"/>
      <c r="AJ29" s="1110"/>
      <c r="AK29" s="1107"/>
      <c r="AL29" s="1107"/>
      <c r="AM29" s="1107"/>
      <c r="AN29" s="1083"/>
      <c r="AO29" s="1131"/>
      <c r="AP29" s="1083"/>
      <c r="AQ29" s="1083"/>
      <c r="AR29" s="1083"/>
      <c r="AS29" s="1083"/>
      <c r="AT29" s="1139"/>
      <c r="AU29" s="1140"/>
      <c r="AV29" s="1131"/>
      <c r="AW29" s="1088"/>
      <c r="AX29" s="1090"/>
      <c r="AY29" s="1090"/>
      <c r="AZ29" s="1177"/>
      <c r="BA29" s="5" t="s">
        <v>32</v>
      </c>
      <c r="BB29" s="5" t="s">
        <v>26</v>
      </c>
      <c r="BC29" s="7" t="s">
        <v>27</v>
      </c>
    </row>
    <row r="30" spans="1:62">
      <c r="B30" s="51"/>
      <c r="C30" s="54"/>
      <c r="D30" s="43" t="str">
        <f>IF(OR(TABLERO!X30="",TABLERO!X30=0),"",TABLERO!X30)</f>
        <v/>
      </c>
      <c r="E30" s="43" t="str">
        <f>IF(OR(TABLERO!Y30="",TABLERO!Y30=0),"",TABLERO!Y30)</f>
        <v/>
      </c>
      <c r="F30" s="43" t="str">
        <f>IF(OR(TABLERO!Z30="",TABLERO!Z30=0),"",TABLERO!Z30)</f>
        <v/>
      </c>
      <c r="G30" s="43" t="str">
        <f>IF(OR(TABLERO!AA30="",TABLERO!AA30=0),"",TABLERO!AA30)</f>
        <v/>
      </c>
      <c r="H30" s="43" t="str">
        <f>IF(OR(TABLERO!AB30="",TABLERO!AB30=0),"",TABLERO!AB30)</f>
        <v/>
      </c>
      <c r="I30" s="43" t="str">
        <f>IF(OR(TABLERO!AC30="",TABLERO!AC30=0),"",TABLERO!AC30)</f>
        <v/>
      </c>
      <c r="J30" s="43" t="str">
        <f>IF(OR(TABLERO!AD30="",TABLERO!AD30=0),"",TABLERO!AD30)</f>
        <v/>
      </c>
      <c r="K30" s="43" t="str">
        <f>IF(OR(TABLERO!AE30="",TABLERO!AE30=0),"",TABLERO!AE30)</f>
        <v/>
      </c>
      <c r="L30" s="43" t="str">
        <f>IF(OR(TABLERO!AF30="",TABLERO!AF30=0),"",TABLERO!AF30)</f>
        <v/>
      </c>
      <c r="M30" s="43" t="str">
        <f>IF(OR(TABLERO!AG30="",TABLERO!AG30=0),"",TABLERO!AG30)</f>
        <v/>
      </c>
      <c r="N30" s="43" t="str">
        <f>IF(OR(TABLERO!AH30="",TABLERO!AH30=0),"",TABLERO!AH30)</f>
        <v/>
      </c>
      <c r="O30" s="43" t="str">
        <f>IF(OR(TABLERO!AI30="",TABLERO!AI30=0),"",TABLERO!AI30)</f>
        <v/>
      </c>
      <c r="P30" s="43" t="str">
        <f>IF(OR(TABLERO!AJ30="",TABLERO!AJ30=0),"",TABLERO!AJ30)</f>
        <v/>
      </c>
      <c r="Q30" s="43" t="str">
        <f>IF(OR(TABLERO!AK30="",TABLERO!AK30=0),"",TABLERO!AK30)</f>
        <v/>
      </c>
      <c r="R30" s="43" t="str">
        <f>IF(OR(TABLERO!AL30="",TABLERO!AL30=0),"",TABLERO!AL30)</f>
        <v/>
      </c>
      <c r="S30" s="43" t="str">
        <f>IF(OR(TABLERO!AM30="",TABLERO!AM30=0),"",TABLERO!AM30)</f>
        <v/>
      </c>
      <c r="T30" s="43" t="str">
        <f>IF(OR(TABLERO!AN30="",TABLERO!AN30=0),"",TABLERO!AN30)</f>
        <v/>
      </c>
      <c r="U30" s="43" t="str">
        <f>IF(OR(TABLERO!AO30="",TABLERO!AO30=0),"",TABLERO!AO30)</f>
        <v/>
      </c>
      <c r="V30" s="43" t="str">
        <f>IF(OR(TABLERO!AP30="",TABLERO!AP30=0),"",TABLERO!AP30)</f>
        <v/>
      </c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71"/>
      <c r="AJ30" s="571"/>
      <c r="AK30" s="54"/>
      <c r="AL30" s="54"/>
      <c r="AM30" s="54"/>
      <c r="AN30" s="54"/>
      <c r="AO30" s="54"/>
      <c r="AP30" s="54"/>
      <c r="AQ30" s="54"/>
      <c r="AR30" s="571"/>
      <c r="AS30" s="565"/>
      <c r="AT30" s="1079"/>
      <c r="AU30" s="1080"/>
      <c r="AV30" s="571"/>
      <c r="AW30" s="562"/>
      <c r="AX30" s="43"/>
      <c r="AY30" s="44"/>
      <c r="AZ30" s="586"/>
      <c r="BA30" s="571"/>
      <c r="BB30" s="571"/>
      <c r="BC30" s="572"/>
    </row>
    <row r="31" spans="1:62">
      <c r="A31" s="46">
        <f>IF(OR(BG31&gt;TABLERO!$M$19,BH31&gt;TABLERO!$M$19,BI31&gt;TABLERO!$M$19,BG31=0,BH31=0,BI31=0),2,1)</f>
        <v>1</v>
      </c>
      <c r="B31" s="47" t="str">
        <f>TABLERO!B31&amp;IF(TABLERO!C31="","",","&amp;TABLERO!C31)&amp;IF(TABLERO!D31="","",","&amp;TABLERO!D31)</f>
        <v>1,3,5</v>
      </c>
      <c r="C31" s="42" t="str">
        <f>IF(TABLERO!E31=0,"",TABLERO!E31)</f>
        <v>TAB-A</v>
      </c>
      <c r="D31" s="562" t="str">
        <f>IF(OR(TABLERO!X31="",TABLERO!X31=0),"",TABLERO!X31)</f>
        <v/>
      </c>
      <c r="E31" s="562" t="str">
        <f>IF(OR(TABLERO!Y31="",TABLERO!Y31=0),"",TABLERO!Y31)</f>
        <v/>
      </c>
      <c r="F31" s="562" t="str">
        <f>IF(OR(TABLERO!Z31="",TABLERO!Z31=0),"",TABLERO!Z31)</f>
        <v/>
      </c>
      <c r="G31" s="562" t="str">
        <f>IF(OR(TABLERO!AA31="",TABLERO!AA31=0),"",TABLERO!AA31)</f>
        <v/>
      </c>
      <c r="H31" s="562" t="str">
        <f>IF(OR(TABLERO!AB31="",TABLERO!AB31=0),"",TABLERO!AB31)</f>
        <v/>
      </c>
      <c r="I31" s="562" t="str">
        <f>IF(OR(TABLERO!AC31="",TABLERO!AC31=0),"",TABLERO!AC31)</f>
        <v/>
      </c>
      <c r="J31" s="562" t="str">
        <f>IF(OR(TABLERO!AD31="",TABLERO!AD31=0),"",TABLERO!AD31)</f>
        <v/>
      </c>
      <c r="K31" s="562" t="str">
        <f>IF(OR(TABLERO!AE31="",TABLERO!AE31=0),"",TABLERO!AE31)</f>
        <v/>
      </c>
      <c r="L31" s="562" t="str">
        <f>IF(OR(TABLERO!AF31="",TABLERO!AF31=0),"",TABLERO!AF31)</f>
        <v/>
      </c>
      <c r="M31" s="562" t="str">
        <f>IF(OR(TABLERO!AG31="",TABLERO!AG31=0),"",TABLERO!AG31)</f>
        <v/>
      </c>
      <c r="N31" s="562" t="str">
        <f>IF(OR(TABLERO!AH31="",TABLERO!AH31=0),"",TABLERO!AH31)</f>
        <v/>
      </c>
      <c r="O31" s="562" t="str">
        <f>IF(OR(TABLERO!AI31="",TABLERO!AI31=0),"",TABLERO!AI31)</f>
        <v/>
      </c>
      <c r="P31" s="562" t="str">
        <f>IF(OR(TABLERO!AJ31="",TABLERO!AJ31=0),"",TABLERO!AJ31)</f>
        <v/>
      </c>
      <c r="Q31" s="562" t="str">
        <f>IF(OR(TABLERO!AK31="",TABLERO!AK31=0),"",TABLERO!AK31)</f>
        <v/>
      </c>
      <c r="R31" s="562" t="str">
        <f>IF(OR(TABLERO!AL31="",TABLERO!AL31=0),"",TABLERO!AL31)</f>
        <v/>
      </c>
      <c r="S31" s="562" t="str">
        <f>IF(OR(TABLERO!AM31="",TABLERO!AM31=0),"",TABLERO!AM31)</f>
        <v/>
      </c>
      <c r="T31" s="562" t="str">
        <f>IF(OR(TABLERO!AN31="",TABLERO!AN31=0),"",TABLERO!AN31)</f>
        <v/>
      </c>
      <c r="U31" s="562" t="str">
        <f>IF(OR(TABLERO!AO31="",TABLERO!AO31=0),"",TABLERO!AO31)</f>
        <v/>
      </c>
      <c r="V31" s="562" t="str">
        <f>IF(OR(TABLERO!AP31="",TABLERO!AP31=0),"",TABLERO!AP31)</f>
        <v/>
      </c>
      <c r="W31" s="562" t="str">
        <f>IF(OR(TABLERO!AQ31="",TABLERO!AQ31=0),"",TABLERO!AQ31)</f>
        <v/>
      </c>
      <c r="X31" s="562" t="str">
        <f>IF(OR(TABLERO!AR31="",TABLERO!AR31=0),"",TABLERO!AR31)</f>
        <v/>
      </c>
      <c r="Y31" s="562" t="str">
        <f>IF(OR(TABLERO!AS31="",TABLERO!AS31=0),"",TABLERO!AS31)</f>
        <v/>
      </c>
      <c r="Z31" s="562" t="str">
        <f>IF(OR(TABLERO!AT31="",TABLERO!AT31=0),"",TABLERO!AT31)</f>
        <v/>
      </c>
      <c r="AA31" s="562" t="str">
        <f>IF(OR(TABLERO!AU31="",TABLERO!AU31=0),"",TABLERO!AU31)</f>
        <v/>
      </c>
      <c r="AB31" s="562" t="str">
        <f>IF(OR(TABLERO!AV31="",TABLERO!AV31=0),"",TABLERO!AV31)</f>
        <v/>
      </c>
      <c r="AC31" s="562" t="str">
        <f>IF(OR(TABLERO!AW31="",TABLERO!AW31=0),"",TABLERO!AW31)</f>
        <v/>
      </c>
      <c r="AD31" s="562" t="str">
        <f>IF(OR(TABLERO!AX31="",TABLERO!AX31=0),"",TABLERO!AX31)</f>
        <v/>
      </c>
      <c r="AE31" s="562" t="str">
        <f>IF(OR(TABLERO!AY31="",TABLERO!AY31=0),"",TABLERO!AY31)</f>
        <v/>
      </c>
      <c r="AF31" s="562" t="str">
        <f>IF(OR(TABLERO!AZ31="",TABLERO!AZ31=0),"",TABLERO!AZ31)</f>
        <v/>
      </c>
      <c r="AG31" s="562" t="str">
        <f>IF(OR(TABLERO!BA31="",TABLERO!BA31=0),"",TABLERO!BA31)</f>
        <v/>
      </c>
      <c r="AH31" s="48">
        <f>IF(TABLERO!BB31=0,"",IF(TABLERO!$F$17&lt;&gt;"KVA",TABLERO!BB31*1000,TABLERO!BB31*1000/TABLERO!DA31))</f>
        <v>12404</v>
      </c>
      <c r="AI31" s="48">
        <f>IF(TABLERO!BB31=0,"",IF(TABLERO!$F$17&lt;&gt;"KVA",TABLERO!BT31*1000,TABLERO!BT31*1000/TABLERO!DA31))</f>
        <v>12404</v>
      </c>
      <c r="AJ31" s="44">
        <f>IF(OR(TABLERO!BU31="",TABLERO!BU31=0),"",TABLERO!BU31)</f>
        <v>36.211829275413088</v>
      </c>
      <c r="AK31" s="562">
        <f>IF(TABLERO!BB31=0,"",TABLERO!F31)</f>
        <v>3</v>
      </c>
      <c r="AL31" s="562">
        <f>IF(TABLERO!BB31=0,"",TABLERO!G31)</f>
        <v>4</v>
      </c>
      <c r="AM31" s="562">
        <f>IF(TABLERO!BB31=0,"",TABLERO!BV31)</f>
        <v>220</v>
      </c>
      <c r="AN31" s="44">
        <f>IF(TABLERO!BB31=0,"",TABLERO!K31)</f>
        <v>120</v>
      </c>
      <c r="AO31" s="562">
        <f>IF(TABLERO!BB31=0,"",TABLERO!J31)</f>
        <v>4</v>
      </c>
      <c r="AP31" s="44">
        <f>IF(TABLERO!BB31=0,"",TABLERO!CT31)</f>
        <v>0.8</v>
      </c>
      <c r="AQ31" s="44">
        <f>IF(TABLERO!BB31=0,"",TABLERO!CS31)</f>
        <v>1</v>
      </c>
      <c r="AR31" s="44">
        <f>IF(TABLERO!BB31=0,"",TABLERO!CY31)</f>
        <v>45.264786594266354</v>
      </c>
      <c r="AS31" s="562">
        <f>IF(TABLERO!BB31=0,"",TABLERO!N31)</f>
        <v>1</v>
      </c>
      <c r="AT31" s="1079" t="str">
        <f>IF(TABLERO!BB31=0,"",TABLERO!BX31&amp;" "&amp;TABLERO!ED31&amp;", "&amp;TABLERO!I31)</f>
        <v>2 AWG, CU</v>
      </c>
      <c r="AU31" s="1080"/>
      <c r="AV31" s="44">
        <f>IF(TABLERO!BB31=0,"",TABLERO!BZ31)</f>
        <v>2.3082764552807684</v>
      </c>
      <c r="AW31" s="562">
        <f>IF(TABLERO!BB31=0,"",TABLERO!CA31)</f>
        <v>6</v>
      </c>
      <c r="AX31" s="43" t="str">
        <f>IF(TABLERO!BB31=0,"",TABLERO!CB31)</f>
        <v>T-35 mm</v>
      </c>
      <c r="AY31" s="44">
        <f>IF(TABLERO!BB31=0,"",TABLERO!DL31)</f>
        <v>36.211829275413088</v>
      </c>
      <c r="AZ31" s="576" t="str">
        <f>IF(OR(TABLERO!BB31=0,TABLERO!H31="RE"),"",TABLERO!F31&amp;"P-"&amp;TABLERO!BW31&amp;"A")</f>
        <v>3P-60A</v>
      </c>
      <c r="BA31" s="44">
        <f>IF(TABLERO!BB31=0,"",TABLERO!CI31)</f>
        <v>3544</v>
      </c>
      <c r="BB31" s="44">
        <f>IF(TABLERO!BB31=0,"",TABLERO!CJ31)</f>
        <v>3930</v>
      </c>
      <c r="BC31" s="49">
        <f>IF(TABLERO!BB31=0,"",TABLERO!CK31)</f>
        <v>4930</v>
      </c>
      <c r="BG31" s="46">
        <f>IF(TABLERO!B31="",0,TABLERO!B31)</f>
        <v>1</v>
      </c>
      <c r="BH31" s="46">
        <f>IF(TABLERO!C31="",BG31,TABLERO!C31)</f>
        <v>3</v>
      </c>
      <c r="BI31" s="46">
        <f>IF(TABLERO!D31="",BG31,TABLERO!D31)</f>
        <v>5</v>
      </c>
      <c r="BJ31" s="50">
        <f>IF(A31=2,SUM(D31:AH31),0)</f>
        <v>0</v>
      </c>
    </row>
    <row r="32" spans="1:62">
      <c r="A32" s="46">
        <f>IF(OR(BG32&gt;TABLERO!$M$19,BH32&gt;TABLERO!$M$19,BI32&gt;TABLERO!$M$19,BG32=0,BH32=0,BI32=0),2,1)</f>
        <v>1</v>
      </c>
      <c r="B32" s="47" t="str">
        <f>TABLERO!B32&amp;IF(TABLERO!C32="","",","&amp;TABLERO!C32)&amp;IF(TABLERO!D32="","",","&amp;TABLERO!D32)</f>
        <v>2,4,6</v>
      </c>
      <c r="C32" s="42" t="str">
        <f>IF(TABLERO!E32=0,"",TABLERO!E32)</f>
        <v>TAB-B</v>
      </c>
      <c r="D32" s="562" t="str">
        <f>IF(OR(TABLERO!X32="",TABLERO!X32=0),"",TABLERO!X32)</f>
        <v/>
      </c>
      <c r="E32" s="562" t="str">
        <f>IF(OR(TABLERO!Y32="",TABLERO!Y32=0),"",TABLERO!Y32)</f>
        <v/>
      </c>
      <c r="F32" s="562" t="str">
        <f>IF(OR(TABLERO!Z32="",TABLERO!Z32=0),"",TABLERO!Z32)</f>
        <v/>
      </c>
      <c r="G32" s="562" t="str">
        <f>IF(OR(TABLERO!AA32="",TABLERO!AA32=0),"",TABLERO!AA32)</f>
        <v/>
      </c>
      <c r="H32" s="562" t="str">
        <f>IF(OR(TABLERO!AB32="",TABLERO!AB32=0),"",TABLERO!AB32)</f>
        <v/>
      </c>
      <c r="I32" s="562" t="str">
        <f>IF(OR(TABLERO!AC32="",TABLERO!AC32=0),"",TABLERO!AC32)</f>
        <v/>
      </c>
      <c r="J32" s="562" t="str">
        <f>IF(OR(TABLERO!AD32="",TABLERO!AD32=0),"",TABLERO!AD32)</f>
        <v/>
      </c>
      <c r="K32" s="562" t="str">
        <f>IF(OR(TABLERO!AE32="",TABLERO!AE32=0),"",TABLERO!AE32)</f>
        <v/>
      </c>
      <c r="L32" s="562" t="str">
        <f>IF(OR(TABLERO!AF32="",TABLERO!AF32=0),"",TABLERO!AF32)</f>
        <v/>
      </c>
      <c r="M32" s="562" t="str">
        <f>IF(OR(TABLERO!AG32="",TABLERO!AG32=0),"",TABLERO!AG32)</f>
        <v/>
      </c>
      <c r="N32" s="562" t="str">
        <f>IF(OR(TABLERO!AH32="",TABLERO!AH32=0),"",TABLERO!AH32)</f>
        <v/>
      </c>
      <c r="O32" s="562" t="str">
        <f>IF(OR(TABLERO!AI32="",TABLERO!AI32=0),"",TABLERO!AI32)</f>
        <v/>
      </c>
      <c r="P32" s="562" t="str">
        <f>IF(OR(TABLERO!AJ32="",TABLERO!AJ32=0),"",TABLERO!AJ32)</f>
        <v/>
      </c>
      <c r="Q32" s="562" t="str">
        <f>IF(OR(TABLERO!AK32="",TABLERO!AK32=0),"",TABLERO!AK32)</f>
        <v/>
      </c>
      <c r="R32" s="562" t="str">
        <f>IF(OR(TABLERO!AL32="",TABLERO!AL32=0),"",TABLERO!AL32)</f>
        <v/>
      </c>
      <c r="S32" s="562" t="str">
        <f>IF(OR(TABLERO!AM32="",TABLERO!AM32=0),"",TABLERO!AM32)</f>
        <v/>
      </c>
      <c r="T32" s="562" t="str">
        <f>IF(OR(TABLERO!AN32="",TABLERO!AN32=0),"",TABLERO!AN32)</f>
        <v/>
      </c>
      <c r="U32" s="562" t="str">
        <f>IF(OR(TABLERO!AO32="",TABLERO!AO32=0),"",TABLERO!AO32)</f>
        <v/>
      </c>
      <c r="V32" s="562" t="str">
        <f>IF(OR(TABLERO!AP32="",TABLERO!AP32=0),"",TABLERO!AP32)</f>
        <v/>
      </c>
      <c r="W32" s="562" t="str">
        <f>IF(OR(TABLERO!AQ32="",TABLERO!AQ32=0),"",TABLERO!AQ32)</f>
        <v/>
      </c>
      <c r="X32" s="562" t="str">
        <f>IF(OR(TABLERO!AR32="",TABLERO!AR32=0),"",TABLERO!AR32)</f>
        <v/>
      </c>
      <c r="Y32" s="562" t="str">
        <f>IF(OR(TABLERO!AS32="",TABLERO!AS32=0),"",TABLERO!AS32)</f>
        <v/>
      </c>
      <c r="Z32" s="562" t="str">
        <f>IF(OR(TABLERO!AT32="",TABLERO!AT32=0),"",TABLERO!AT32)</f>
        <v/>
      </c>
      <c r="AA32" s="562" t="str">
        <f>IF(OR(TABLERO!AU32="",TABLERO!AU32=0),"",TABLERO!AU32)</f>
        <v/>
      </c>
      <c r="AB32" s="562" t="str">
        <f>IF(OR(TABLERO!AV32="",TABLERO!AV32=0),"",TABLERO!AV32)</f>
        <v/>
      </c>
      <c r="AC32" s="562" t="str">
        <f>IF(OR(TABLERO!AW32="",TABLERO!AW32=0),"",TABLERO!AW32)</f>
        <v/>
      </c>
      <c r="AD32" s="562" t="str">
        <f>IF(OR(TABLERO!AX32="",TABLERO!AX32=0),"",TABLERO!AX32)</f>
        <v/>
      </c>
      <c r="AE32" s="562" t="str">
        <f>IF(OR(TABLERO!AY32="",TABLERO!AY32=0),"",TABLERO!AY32)</f>
        <v/>
      </c>
      <c r="AF32" s="562" t="str">
        <f>IF(OR(TABLERO!AZ32="",TABLERO!AZ32=0),"",TABLERO!AZ32)</f>
        <v/>
      </c>
      <c r="AG32" s="562" t="str">
        <f>IF(OR(TABLERO!BA32="",TABLERO!BA32=0),"",TABLERO!BA32)</f>
        <v/>
      </c>
      <c r="AH32" s="48">
        <f>IF(TABLERO!BB32=0,"",IF(TABLERO!$F$17&lt;&gt;"KVA",TABLERO!BB32*1000,TABLERO!BB32*1000/TABLERO!DA32))</f>
        <v>9831.9999999999982</v>
      </c>
      <c r="AI32" s="48">
        <f>IF(TABLERO!BB32=0,"",IF(TABLERO!$F$17&lt;&gt;"KVA",TABLERO!BT32*1000,TABLERO!BT32*1000/TABLERO!DA32))</f>
        <v>9831.9999999999982</v>
      </c>
      <c r="AJ32" s="44">
        <f>IF(OR(TABLERO!BU32="",TABLERO!BU32=0),"",TABLERO!BU32)</f>
        <v>28.703217142523496</v>
      </c>
      <c r="AK32" s="562">
        <f>IF(TABLERO!BB32=0,"",TABLERO!F32)</f>
        <v>3</v>
      </c>
      <c r="AL32" s="562">
        <f>IF(TABLERO!BB32=0,"",TABLERO!G32)</f>
        <v>4</v>
      </c>
      <c r="AM32" s="562">
        <f>IF(TABLERO!BB32=0,"",TABLERO!BV32)</f>
        <v>220</v>
      </c>
      <c r="AN32" s="44">
        <f>IF(TABLERO!BB32=0,"",TABLERO!K32)</f>
        <v>40</v>
      </c>
      <c r="AO32" s="562">
        <f>IF(TABLERO!BB32=0,"",TABLERO!J32)</f>
        <v>4</v>
      </c>
      <c r="AP32" s="44">
        <f>IF(TABLERO!BB32=0,"",TABLERO!CT32)</f>
        <v>0.8</v>
      </c>
      <c r="AQ32" s="44">
        <f>IF(TABLERO!BB32=0,"",TABLERO!CS32)</f>
        <v>1</v>
      </c>
      <c r="AR32" s="44">
        <f>IF(TABLERO!BB32=0,"",TABLERO!CY32)</f>
        <v>35.879021428154367</v>
      </c>
      <c r="AS32" s="562">
        <f>IF(TABLERO!BB32=0,"",TABLERO!N32)</f>
        <v>1</v>
      </c>
      <c r="AT32" s="1079" t="str">
        <f>IF(TABLERO!BB32=0,"",TABLERO!BX32&amp;" "&amp;TABLERO!ED32&amp;", "&amp;TABLERO!I32)</f>
        <v>4 AWG, CU</v>
      </c>
      <c r="AU32" s="1080"/>
      <c r="AV32" s="44">
        <f>IF(TABLERO!BB32=0,"",TABLERO!BZ32)</f>
        <v>0.90634094397924403</v>
      </c>
      <c r="AW32" s="562">
        <f>IF(TABLERO!BB32=0,"",TABLERO!CA32)</f>
        <v>6</v>
      </c>
      <c r="AX32" s="43" t="str">
        <f>IF(TABLERO!BB32=0,"",TABLERO!CB32)</f>
        <v>T-35 mm</v>
      </c>
      <c r="AY32" s="44">
        <f>IF(TABLERO!BB32=0,"",TABLERO!DL32)</f>
        <v>28.703217142523496</v>
      </c>
      <c r="AZ32" s="576" t="str">
        <f>IF(OR(TABLERO!BB32=0,TABLERO!H32="RE"),"",TABLERO!F32&amp;"P-"&amp;TABLERO!BW32&amp;"A")</f>
        <v>3P-60A</v>
      </c>
      <c r="BA32" s="44">
        <f>IF(TABLERO!BB32=0,"",TABLERO!CI32)</f>
        <v>3416</v>
      </c>
      <c r="BB32" s="44">
        <f>IF(TABLERO!BB32=0,"",TABLERO!CJ32)</f>
        <v>3444</v>
      </c>
      <c r="BC32" s="49">
        <f>IF(TABLERO!BB32=0,"",TABLERO!CK32)</f>
        <v>2972</v>
      </c>
      <c r="BG32" s="46">
        <f>IF(TABLERO!B32="",0,TABLERO!B32)</f>
        <v>2</v>
      </c>
      <c r="BH32" s="46">
        <f>IF(TABLERO!C32="",BG32,TABLERO!C32)</f>
        <v>4</v>
      </c>
      <c r="BI32" s="46">
        <f>IF(TABLERO!D32="",BG32,TABLERO!D32)</f>
        <v>6</v>
      </c>
      <c r="BJ32" s="50">
        <f t="shared" ref="BJ32:BJ71" si="1">IF(A32=2,SUM(D32:AH32),0)</f>
        <v>0</v>
      </c>
    </row>
    <row r="33" spans="1:62">
      <c r="A33" s="46">
        <f>IF(OR(BG33&gt;TABLERO!$M$19,BH33&gt;TABLERO!$M$19,BI33&gt;TABLERO!$M$19,BG33=0,BH33=0,BI33=0),2,1)</f>
        <v>1</v>
      </c>
      <c r="B33" s="47" t="str">
        <f>TABLERO!B33&amp;IF(TABLERO!C33="","",","&amp;TABLERO!C33)&amp;IF(TABLERO!D33="","",","&amp;TABLERO!D33)</f>
        <v>7,9,11</v>
      </c>
      <c r="C33" s="42" t="str">
        <f>IF(TABLERO!E33=0,"",TABLERO!E33)</f>
        <v>TAB-C</v>
      </c>
      <c r="D33" s="562" t="str">
        <f>IF(OR(TABLERO!X33="",TABLERO!X33=0),"",TABLERO!X33)</f>
        <v/>
      </c>
      <c r="E33" s="562" t="str">
        <f>IF(OR(TABLERO!Y33="",TABLERO!Y33=0),"",TABLERO!Y33)</f>
        <v/>
      </c>
      <c r="F33" s="562" t="str">
        <f>IF(OR(TABLERO!Z33="",TABLERO!Z33=0),"",TABLERO!Z33)</f>
        <v/>
      </c>
      <c r="G33" s="562" t="str">
        <f>IF(OR(TABLERO!AA33="",TABLERO!AA33=0),"",TABLERO!AA33)</f>
        <v/>
      </c>
      <c r="H33" s="562" t="str">
        <f>IF(OR(TABLERO!AB33="",TABLERO!AB33=0),"",TABLERO!AB33)</f>
        <v/>
      </c>
      <c r="I33" s="562" t="str">
        <f>IF(OR(TABLERO!AC33="",TABLERO!AC33=0),"",TABLERO!AC33)</f>
        <v/>
      </c>
      <c r="J33" s="562" t="str">
        <f>IF(OR(TABLERO!AD33="",TABLERO!AD33=0),"",TABLERO!AD33)</f>
        <v/>
      </c>
      <c r="K33" s="562" t="str">
        <f>IF(OR(TABLERO!AE33="",TABLERO!AE33=0),"",TABLERO!AE33)</f>
        <v/>
      </c>
      <c r="L33" s="562" t="str">
        <f>IF(OR(TABLERO!AF33="",TABLERO!AF33=0),"",TABLERO!AF33)</f>
        <v/>
      </c>
      <c r="M33" s="562" t="str">
        <f>IF(OR(TABLERO!AG33="",TABLERO!AG33=0),"",TABLERO!AG33)</f>
        <v/>
      </c>
      <c r="N33" s="562" t="str">
        <f>IF(OR(TABLERO!AH33="",TABLERO!AH33=0),"",TABLERO!AH33)</f>
        <v/>
      </c>
      <c r="O33" s="562" t="str">
        <f>IF(OR(TABLERO!AI33="",TABLERO!AI33=0),"",TABLERO!AI33)</f>
        <v/>
      </c>
      <c r="P33" s="562" t="str">
        <f>IF(OR(TABLERO!AJ33="",TABLERO!AJ33=0),"",TABLERO!AJ33)</f>
        <v/>
      </c>
      <c r="Q33" s="562" t="str">
        <f>IF(OR(TABLERO!AK33="",TABLERO!AK33=0),"",TABLERO!AK33)</f>
        <v/>
      </c>
      <c r="R33" s="562" t="str">
        <f>IF(OR(TABLERO!AL33="",TABLERO!AL33=0),"",TABLERO!AL33)</f>
        <v/>
      </c>
      <c r="S33" s="562" t="str">
        <f>IF(OR(TABLERO!AM33="",TABLERO!AM33=0),"",TABLERO!AM33)</f>
        <v/>
      </c>
      <c r="T33" s="562" t="str">
        <f>IF(OR(TABLERO!AN33="",TABLERO!AN33=0),"",TABLERO!AN33)</f>
        <v/>
      </c>
      <c r="U33" s="562" t="str">
        <f>IF(OR(TABLERO!AO33="",TABLERO!AO33=0),"",TABLERO!AO33)</f>
        <v/>
      </c>
      <c r="V33" s="562" t="str">
        <f>IF(OR(TABLERO!AP33="",TABLERO!AP33=0),"",TABLERO!AP33)</f>
        <v/>
      </c>
      <c r="W33" s="562" t="str">
        <f>IF(OR(TABLERO!AQ33="",TABLERO!AQ33=0),"",TABLERO!AQ33)</f>
        <v/>
      </c>
      <c r="X33" s="562" t="str">
        <f>IF(OR(TABLERO!AR33="",TABLERO!AR33=0),"",TABLERO!AR33)</f>
        <v/>
      </c>
      <c r="Y33" s="562" t="str">
        <f>IF(OR(TABLERO!AS33="",TABLERO!AS33=0),"",TABLERO!AS33)</f>
        <v/>
      </c>
      <c r="Z33" s="562" t="str">
        <f>IF(OR(TABLERO!AT33="",TABLERO!AT33=0),"",TABLERO!AT33)</f>
        <v/>
      </c>
      <c r="AA33" s="562" t="str">
        <f>IF(OR(TABLERO!AU33="",TABLERO!AU33=0),"",TABLERO!AU33)</f>
        <v/>
      </c>
      <c r="AB33" s="562" t="str">
        <f>IF(OR(TABLERO!AV33="",TABLERO!AV33=0),"",TABLERO!AV33)</f>
        <v/>
      </c>
      <c r="AC33" s="562" t="str">
        <f>IF(OR(TABLERO!AW33="",TABLERO!AW33=0),"",TABLERO!AW33)</f>
        <v/>
      </c>
      <c r="AD33" s="562" t="str">
        <f>IF(OR(TABLERO!AX33="",TABLERO!AX33=0),"",TABLERO!AX33)</f>
        <v/>
      </c>
      <c r="AE33" s="562" t="str">
        <f>IF(OR(TABLERO!AY33="",TABLERO!AY33=0),"",TABLERO!AY33)</f>
        <v/>
      </c>
      <c r="AF33" s="562" t="str">
        <f>IF(OR(TABLERO!AZ33="",TABLERO!AZ33=0),"",TABLERO!AZ33)</f>
        <v/>
      </c>
      <c r="AG33" s="562" t="str">
        <f>IF(OR(TABLERO!BA33="",TABLERO!BA33=0),"",TABLERO!BA33)</f>
        <v/>
      </c>
      <c r="AH33" s="48">
        <f>IF(TABLERO!BB33=0,"",IF(TABLERO!$F$17&lt;&gt;"KVA",TABLERO!BB33*1000,TABLERO!BB33*1000/TABLERO!DA33))</f>
        <v>30000</v>
      </c>
      <c r="AI33" s="48">
        <f>IF(TABLERO!BB33=0,"",IF(TABLERO!$F$17&lt;&gt;"KVA",TABLERO!BT33*1000,TABLERO!BT33*1000/TABLERO!DA33))</f>
        <v>30000</v>
      </c>
      <c r="AJ33" s="44">
        <f>IF(OR(TABLERO!BU33="",TABLERO!BU33=0),"",TABLERO!BU33)</f>
        <v>87.581012436503769</v>
      </c>
      <c r="AK33" s="562">
        <f>IF(TABLERO!BB33=0,"",TABLERO!F33)</f>
        <v>3</v>
      </c>
      <c r="AL33" s="562">
        <f>IF(TABLERO!BB33=0,"",TABLERO!G33)</f>
        <v>4</v>
      </c>
      <c r="AM33" s="562">
        <f>IF(TABLERO!BB33=0,"",TABLERO!BV33)</f>
        <v>220</v>
      </c>
      <c r="AN33" s="44">
        <f>IF(TABLERO!BB33=0,"",TABLERO!K33)</f>
        <v>120</v>
      </c>
      <c r="AO33" s="562">
        <f>IF(TABLERO!BB33=0,"",TABLERO!J33)</f>
        <v>4</v>
      </c>
      <c r="AP33" s="44">
        <f>IF(TABLERO!BB33=0,"",TABLERO!CT33)</f>
        <v>0.8</v>
      </c>
      <c r="AQ33" s="44">
        <f>IF(TABLERO!BB33=0,"",TABLERO!CS33)</f>
        <v>1</v>
      </c>
      <c r="AR33" s="44">
        <f>IF(TABLERO!BB33=0,"",TABLERO!CY33)</f>
        <v>109.4762655456297</v>
      </c>
      <c r="AS33" s="562">
        <f>IF(TABLERO!BB33=0,"",TABLERO!N33)</f>
        <v>1</v>
      </c>
      <c r="AT33" s="1079" t="str">
        <f>IF(TABLERO!BB33=0,"",TABLERO!BX33&amp;" "&amp;TABLERO!ED33&amp;", "&amp;TABLERO!I33)</f>
        <v>4/0 AWG, AL</v>
      </c>
      <c r="AU33" s="1080"/>
      <c r="AV33" s="44">
        <f>IF(TABLERO!BB33=0,"",TABLERO!BZ33)</f>
        <v>3.0561455566704896</v>
      </c>
      <c r="AW33" s="562">
        <f>IF(TABLERO!BB33=0,"",TABLERO!CA33)</f>
        <v>2</v>
      </c>
      <c r="AX33" s="43" t="str">
        <f>IF(TABLERO!BB33=0,"",TABLERO!CB33)</f>
        <v>MC-STABILOY</v>
      </c>
      <c r="AY33" s="44">
        <f>IF(TABLERO!BB33=0,"",TABLERO!DL33)</f>
        <v>87.581012436503769</v>
      </c>
      <c r="AZ33" s="576" t="str">
        <f>IF(OR(TABLERO!BB33=0,TABLERO!H33="RE"),"",TABLERO!F33&amp;"P-"&amp;TABLERO!BW33&amp;"A")</f>
        <v>3P-150A</v>
      </c>
      <c r="BA33" s="44">
        <f>IF(TABLERO!BB33=0,"",TABLERO!CI33)</f>
        <v>12000</v>
      </c>
      <c r="BB33" s="44">
        <f>IF(TABLERO!BB33=0,"",TABLERO!CJ33)</f>
        <v>12000</v>
      </c>
      <c r="BC33" s="49">
        <f>IF(TABLERO!BB33=0,"",TABLERO!CK33)</f>
        <v>6000</v>
      </c>
      <c r="BG33" s="46">
        <f>IF(TABLERO!B33="",0,TABLERO!B33)</f>
        <v>7</v>
      </c>
      <c r="BH33" s="46">
        <f>IF(TABLERO!C33="",BG33,TABLERO!C33)</f>
        <v>9</v>
      </c>
      <c r="BI33" s="46">
        <f>IF(TABLERO!D33="",BG33,TABLERO!D33)</f>
        <v>11</v>
      </c>
      <c r="BJ33" s="50">
        <f t="shared" si="1"/>
        <v>0</v>
      </c>
    </row>
    <row r="34" spans="1:62">
      <c r="A34" s="46">
        <f>IF(OR(BG34&gt;TABLERO!$M$19,BH34&gt;TABLERO!$M$19,BI34&gt;TABLERO!$M$19,BG34=0,BH34=0,BI34=0),2,1)</f>
        <v>1</v>
      </c>
      <c r="B34" s="47" t="str">
        <f>TABLERO!B34&amp;IF(TABLERO!C34="","",","&amp;TABLERO!C34)&amp;IF(TABLERO!D34="","",","&amp;TABLERO!D34)</f>
        <v>8,10,12</v>
      </c>
      <c r="C34" s="42" t="str">
        <f>IF(TABLERO!E34=0,"",TABLERO!E34)</f>
        <v>COMP. CARTON</v>
      </c>
      <c r="D34" s="562" t="str">
        <f>IF(OR(TABLERO!X34="",TABLERO!X34=0),"",TABLERO!X34)</f>
        <v/>
      </c>
      <c r="E34" s="562">
        <f>IF(OR(TABLERO!Y34="",TABLERO!Y34=0),"",TABLERO!Y34)</f>
        <v>1</v>
      </c>
      <c r="F34" s="562" t="str">
        <f>IF(OR(TABLERO!Z34="",TABLERO!Z34=0),"",TABLERO!Z34)</f>
        <v/>
      </c>
      <c r="G34" s="562" t="str">
        <f>IF(OR(TABLERO!AA34="",TABLERO!AA34=0),"",TABLERO!AA34)</f>
        <v/>
      </c>
      <c r="H34" s="562" t="str">
        <f>IF(OR(TABLERO!AB34="",TABLERO!AB34=0),"",TABLERO!AB34)</f>
        <v/>
      </c>
      <c r="I34" s="562" t="str">
        <f>IF(OR(TABLERO!AC34="",TABLERO!AC34=0),"",TABLERO!AC34)</f>
        <v/>
      </c>
      <c r="J34" s="562" t="str">
        <f>IF(OR(TABLERO!AD34="",TABLERO!AD34=0),"",TABLERO!AD34)</f>
        <v/>
      </c>
      <c r="K34" s="562" t="str">
        <f>IF(OR(TABLERO!AE34="",TABLERO!AE34=0),"",TABLERO!AE34)</f>
        <v/>
      </c>
      <c r="L34" s="562" t="str">
        <f>IF(OR(TABLERO!AF34="",TABLERO!AF34=0),"",TABLERO!AF34)</f>
        <v/>
      </c>
      <c r="M34" s="562" t="str">
        <f>IF(OR(TABLERO!AG34="",TABLERO!AG34=0),"",TABLERO!AG34)</f>
        <v/>
      </c>
      <c r="N34" s="562" t="str">
        <f>IF(OR(TABLERO!AH34="",TABLERO!AH34=0),"",TABLERO!AH34)</f>
        <v/>
      </c>
      <c r="O34" s="562" t="str">
        <f>IF(OR(TABLERO!AI34="",TABLERO!AI34=0),"",TABLERO!AI34)</f>
        <v/>
      </c>
      <c r="P34" s="562" t="str">
        <f>IF(OR(TABLERO!AJ34="",TABLERO!AJ34=0),"",TABLERO!AJ34)</f>
        <v/>
      </c>
      <c r="Q34" s="562" t="str">
        <f>IF(OR(TABLERO!AK34="",TABLERO!AK34=0),"",TABLERO!AK34)</f>
        <v/>
      </c>
      <c r="R34" s="562" t="str">
        <f>IF(OR(TABLERO!AL34="",TABLERO!AL34=0),"",TABLERO!AL34)</f>
        <v/>
      </c>
      <c r="S34" s="562" t="str">
        <f>IF(OR(TABLERO!AM34="",TABLERO!AM34=0),"",TABLERO!AM34)</f>
        <v/>
      </c>
      <c r="T34" s="562" t="str">
        <f>IF(OR(TABLERO!AN34="",TABLERO!AN34=0),"",TABLERO!AN34)</f>
        <v/>
      </c>
      <c r="U34" s="562" t="str">
        <f>IF(OR(TABLERO!AO34="",TABLERO!AO34=0),"",TABLERO!AO34)</f>
        <v/>
      </c>
      <c r="V34" s="562" t="str">
        <f>IF(OR(TABLERO!AP34="",TABLERO!AP34=0),"",TABLERO!AP34)</f>
        <v/>
      </c>
      <c r="W34" s="562" t="str">
        <f>IF(OR(TABLERO!AQ34="",TABLERO!AQ34=0),"",TABLERO!AQ34)</f>
        <v/>
      </c>
      <c r="X34" s="562" t="str">
        <f>IF(OR(TABLERO!AR34="",TABLERO!AR34=0),"",TABLERO!AR34)</f>
        <v/>
      </c>
      <c r="Y34" s="562" t="str">
        <f>IF(OR(TABLERO!AS34="",TABLERO!AS34=0),"",TABLERO!AS34)</f>
        <v/>
      </c>
      <c r="Z34" s="562" t="str">
        <f>IF(OR(TABLERO!AT34="",TABLERO!AT34=0),"",TABLERO!AT34)</f>
        <v/>
      </c>
      <c r="AA34" s="562" t="str">
        <f>IF(OR(TABLERO!AU34="",TABLERO!AU34=0),"",TABLERO!AU34)</f>
        <v/>
      </c>
      <c r="AB34" s="562" t="str">
        <f>IF(OR(TABLERO!AV34="",TABLERO!AV34=0),"",TABLERO!AV34)</f>
        <v/>
      </c>
      <c r="AC34" s="562" t="str">
        <f>IF(OR(TABLERO!AW34="",TABLERO!AW34=0),"",TABLERO!AW34)</f>
        <v/>
      </c>
      <c r="AD34" s="562" t="str">
        <f>IF(OR(TABLERO!AX34="",TABLERO!AX34=0),"",TABLERO!AX34)</f>
        <v/>
      </c>
      <c r="AE34" s="562" t="str">
        <f>IF(OR(TABLERO!AY34="",TABLERO!AY34=0),"",TABLERO!AY34)</f>
        <v/>
      </c>
      <c r="AF34" s="562" t="str">
        <f>IF(OR(TABLERO!AZ34="",TABLERO!AZ34=0),"",TABLERO!AZ34)</f>
        <v/>
      </c>
      <c r="AG34" s="562" t="str">
        <f>IF(OR(TABLERO!BA34="",TABLERO!BA34=0),"",TABLERO!BA34)</f>
        <v/>
      </c>
      <c r="AH34" s="48">
        <f>IF(TABLERO!BB34=0,"",IF(TABLERO!$F$17&lt;&gt;"KVA",TABLERO!BB34*1000,TABLERO!BB34*1000/TABLERO!DA34))</f>
        <v>15825.348000000002</v>
      </c>
      <c r="AI34" s="48">
        <f>IF(TABLERO!BB34=0,"",IF(TABLERO!$F$17&lt;&gt;"KVA",TABLERO!BT34*1000,TABLERO!BT34*1000/TABLERO!DA34))</f>
        <v>15825.348000000002</v>
      </c>
      <c r="AJ34" s="44">
        <f>IF(OR(TABLERO!BU34="",TABLERO!BU34=0),"",TABLERO!BU34)</f>
        <v>46.2</v>
      </c>
      <c r="AK34" s="562">
        <f>IF(TABLERO!BB34=0,"",TABLERO!F34)</f>
        <v>3</v>
      </c>
      <c r="AL34" s="562">
        <f>IF(TABLERO!BB34=0,"",TABLERO!G34)</f>
        <v>3</v>
      </c>
      <c r="AM34" s="562">
        <f>IF(TABLERO!BB34=0,"",TABLERO!BV34)</f>
        <v>220</v>
      </c>
      <c r="AN34" s="44">
        <f>IF(TABLERO!BB34=0,"",TABLERO!K34)</f>
        <v>80</v>
      </c>
      <c r="AO34" s="562">
        <f>IF(TABLERO!BB34=0,"",TABLERO!J34)</f>
        <v>8</v>
      </c>
      <c r="AP34" s="44">
        <f>IF(TABLERO!BB34=0,"",TABLERO!CT34)</f>
        <v>0.7</v>
      </c>
      <c r="AQ34" s="44">
        <f>IF(TABLERO!BB34=0,"",TABLERO!CS34)</f>
        <v>1</v>
      </c>
      <c r="AR34" s="44">
        <f>IF(TABLERO!BB34=0,"",TABLERO!CY34)</f>
        <v>82.5</v>
      </c>
      <c r="AS34" s="562">
        <f>IF(TABLERO!BB34=0,"",TABLERO!N34)</f>
        <v>1</v>
      </c>
      <c r="AT34" s="1079" t="str">
        <f>IF(TABLERO!BB34=0,"",TABLERO!BX34&amp;" "&amp;TABLERO!ED34&amp;", "&amp;TABLERO!I34)</f>
        <v>2 AWG, AL</v>
      </c>
      <c r="AU34" s="1080"/>
      <c r="AV34" s="44">
        <f>IF(TABLERO!BB34=0,"",TABLERO!BZ34)</f>
        <v>2.9834527627337737</v>
      </c>
      <c r="AW34" s="562">
        <f>IF(TABLERO!BB34=0,"",TABLERO!CA34)</f>
        <v>6</v>
      </c>
      <c r="AX34" s="43" t="str">
        <f>IF(TABLERO!BB34=0,"",TABLERO!CB34)</f>
        <v>MC-STABILOY</v>
      </c>
      <c r="AY34" s="44">
        <f>IF(TABLERO!BB34=0,"",TABLERO!DL34)</f>
        <v>69.300000000000011</v>
      </c>
      <c r="AZ34" s="576" t="str">
        <f>IF(OR(TABLERO!BB34=0,TABLERO!H34="RE"),"",TABLERO!F34&amp;"P-"&amp;TABLERO!BW34&amp;"A")</f>
        <v>3P-70A</v>
      </c>
      <c r="BA34" s="44">
        <f>IF(TABLERO!BB34=0,"",TABLERO!CI34)</f>
        <v>5275.1160000000009</v>
      </c>
      <c r="BB34" s="44">
        <f>IF(TABLERO!BB34=0,"",TABLERO!CJ34)</f>
        <v>5275.1160000000009</v>
      </c>
      <c r="BC34" s="49">
        <f>IF(TABLERO!BB34=0,"",TABLERO!CK34)</f>
        <v>5275.1160000000009</v>
      </c>
      <c r="BG34" s="46">
        <f>IF(TABLERO!B34="",0,TABLERO!B34)</f>
        <v>8</v>
      </c>
      <c r="BH34" s="46">
        <f>IF(TABLERO!C34="",BG34,TABLERO!C34)</f>
        <v>10</v>
      </c>
      <c r="BI34" s="46">
        <f>IF(TABLERO!D34="",BG34,TABLERO!D34)</f>
        <v>12</v>
      </c>
      <c r="BJ34" s="50">
        <f t="shared" si="1"/>
        <v>0</v>
      </c>
    </row>
    <row r="35" spans="1:62">
      <c r="A35" s="46">
        <f>IF(OR(BG35&gt;TABLERO!$M$19,BH35&gt;TABLERO!$M$19,BI35&gt;TABLERO!$M$19,BG35=0,BH35=0,BI35=0),2,1)</f>
        <v>1</v>
      </c>
      <c r="B35" s="47" t="str">
        <f>TABLERO!B35&amp;IF(TABLERO!C35="","",","&amp;TABLERO!C35)&amp;IF(TABLERO!D35="","",","&amp;TABLERO!D35)</f>
        <v>13,15,17</v>
      </c>
      <c r="C35" s="42" t="str">
        <f>IF(TABLERO!E35=0,"",TABLERO!E35)</f>
        <v>VENT. EXTRACCION</v>
      </c>
      <c r="D35" s="562" t="str">
        <f>IF(OR(TABLERO!X35="",TABLERO!X35=0),"",TABLERO!X35)</f>
        <v/>
      </c>
      <c r="E35" s="562" t="str">
        <f>IF(OR(TABLERO!Y35="",TABLERO!Y35=0),"",TABLERO!Y35)</f>
        <v/>
      </c>
      <c r="F35" s="562">
        <f>IF(OR(TABLERO!Z35="",TABLERO!Z35=0),"",TABLERO!Z35)</f>
        <v>1</v>
      </c>
      <c r="G35" s="562" t="str">
        <f>IF(OR(TABLERO!AA35="",TABLERO!AA35=0),"",TABLERO!AA35)</f>
        <v/>
      </c>
      <c r="H35" s="562" t="str">
        <f>IF(OR(TABLERO!AB35="",TABLERO!AB35=0),"",TABLERO!AB35)</f>
        <v/>
      </c>
      <c r="I35" s="562" t="str">
        <f>IF(OR(TABLERO!AC35="",TABLERO!AC35=0),"",TABLERO!AC35)</f>
        <v/>
      </c>
      <c r="J35" s="562" t="str">
        <f>IF(OR(TABLERO!AD35="",TABLERO!AD35=0),"",TABLERO!AD35)</f>
        <v/>
      </c>
      <c r="K35" s="562" t="str">
        <f>IF(OR(TABLERO!AE35="",TABLERO!AE35=0),"",TABLERO!AE35)</f>
        <v/>
      </c>
      <c r="L35" s="562" t="str">
        <f>IF(OR(TABLERO!AF35="",TABLERO!AF35=0),"",TABLERO!AF35)</f>
        <v/>
      </c>
      <c r="M35" s="562" t="str">
        <f>IF(OR(TABLERO!AG35="",TABLERO!AG35=0),"",TABLERO!AG35)</f>
        <v/>
      </c>
      <c r="N35" s="562" t="str">
        <f>IF(OR(TABLERO!AH35="",TABLERO!AH35=0),"",TABLERO!AH35)</f>
        <v/>
      </c>
      <c r="O35" s="562" t="str">
        <f>IF(OR(TABLERO!AI35="",TABLERO!AI35=0),"",TABLERO!AI35)</f>
        <v/>
      </c>
      <c r="P35" s="562" t="str">
        <f>IF(OR(TABLERO!AJ35="",TABLERO!AJ35=0),"",TABLERO!AJ35)</f>
        <v/>
      </c>
      <c r="Q35" s="562" t="str">
        <f>IF(OR(TABLERO!AK35="",TABLERO!AK35=0),"",TABLERO!AK35)</f>
        <v/>
      </c>
      <c r="R35" s="562" t="str">
        <f>IF(OR(TABLERO!AL35="",TABLERO!AL35=0),"",TABLERO!AL35)</f>
        <v/>
      </c>
      <c r="S35" s="562" t="str">
        <f>IF(OR(TABLERO!AM35="",TABLERO!AM35=0),"",TABLERO!AM35)</f>
        <v/>
      </c>
      <c r="T35" s="562" t="str">
        <f>IF(OR(TABLERO!AN35="",TABLERO!AN35=0),"",TABLERO!AN35)</f>
        <v/>
      </c>
      <c r="U35" s="562" t="str">
        <f>IF(OR(TABLERO!AO35="",TABLERO!AO35=0),"",TABLERO!AO35)</f>
        <v/>
      </c>
      <c r="V35" s="562" t="str">
        <f>IF(OR(TABLERO!AP35="",TABLERO!AP35=0),"",TABLERO!AP35)</f>
        <v/>
      </c>
      <c r="W35" s="562" t="str">
        <f>IF(OR(TABLERO!AQ35="",TABLERO!AQ35=0),"",TABLERO!AQ35)</f>
        <v/>
      </c>
      <c r="X35" s="562" t="str">
        <f>IF(OR(TABLERO!AR35="",TABLERO!AR35=0),"",TABLERO!AR35)</f>
        <v/>
      </c>
      <c r="Y35" s="562" t="str">
        <f>IF(OR(TABLERO!AS35="",TABLERO!AS35=0),"",TABLERO!AS35)</f>
        <v/>
      </c>
      <c r="Z35" s="562" t="str">
        <f>IF(OR(TABLERO!AT35="",TABLERO!AT35=0),"",TABLERO!AT35)</f>
        <v/>
      </c>
      <c r="AA35" s="562" t="str">
        <f>IF(OR(TABLERO!AU35="",TABLERO!AU35=0),"",TABLERO!AU35)</f>
        <v/>
      </c>
      <c r="AB35" s="562" t="str">
        <f>IF(OR(TABLERO!AV35="",TABLERO!AV35=0),"",TABLERO!AV35)</f>
        <v/>
      </c>
      <c r="AC35" s="562" t="str">
        <f>IF(OR(TABLERO!AW35="",TABLERO!AW35=0),"",TABLERO!AW35)</f>
        <v/>
      </c>
      <c r="AD35" s="562" t="str">
        <f>IF(OR(TABLERO!AX35="",TABLERO!AX35=0),"",TABLERO!AX35)</f>
        <v/>
      </c>
      <c r="AE35" s="562" t="str">
        <f>IF(OR(TABLERO!AY35="",TABLERO!AY35=0),"",TABLERO!AY35)</f>
        <v/>
      </c>
      <c r="AF35" s="562" t="str">
        <f>IF(OR(TABLERO!AZ35="",TABLERO!AZ35=0),"",TABLERO!AZ35)</f>
        <v/>
      </c>
      <c r="AG35" s="562" t="str">
        <f>IF(OR(TABLERO!BA35="",TABLERO!BA35=0),"",TABLERO!BA35)</f>
        <v/>
      </c>
      <c r="AH35" s="48">
        <f>IF(TABLERO!BB35=0,"",IF(TABLERO!$F$17&lt;&gt;"KVA",TABLERO!BB35*1000,TABLERO!BB35*1000/TABLERO!DA35))</f>
        <v>5720.4179999999997</v>
      </c>
      <c r="AI35" s="48">
        <f>IF(TABLERO!BB35=0,"",IF(TABLERO!$F$17&lt;&gt;"KVA",TABLERO!BT35*1000,TABLERO!BT35*1000/TABLERO!DA35))</f>
        <v>5720.4179999999997</v>
      </c>
      <c r="AJ35" s="44">
        <f>IF(OR(TABLERO!BU35="",TABLERO!BU35=0),"",TABLERO!BU35)</f>
        <v>16.7</v>
      </c>
      <c r="AK35" s="562">
        <f>IF(TABLERO!BB35=0,"",TABLERO!F35)</f>
        <v>3</v>
      </c>
      <c r="AL35" s="562">
        <f>IF(TABLERO!BB35=0,"",TABLERO!G35)</f>
        <v>3</v>
      </c>
      <c r="AM35" s="562">
        <f>IF(TABLERO!BB35=0,"",TABLERO!BV35)</f>
        <v>220</v>
      </c>
      <c r="AN35" s="44">
        <f>IF(TABLERO!BB35=0,"",TABLERO!K35)</f>
        <v>43</v>
      </c>
      <c r="AO35" s="562">
        <f>IF(TABLERO!BB35=0,"",TABLERO!J35)</f>
        <v>8</v>
      </c>
      <c r="AP35" s="44">
        <f>IF(TABLERO!BB35=0,"",TABLERO!CT35)</f>
        <v>0.7</v>
      </c>
      <c r="AQ35" s="44">
        <f>IF(TABLERO!BB35=0,"",TABLERO!CS35)</f>
        <v>1</v>
      </c>
      <c r="AR35" s="44">
        <f>IF(TABLERO!BB35=0,"",TABLERO!CY35)</f>
        <v>29.821428571428573</v>
      </c>
      <c r="AS35" s="562">
        <f>IF(TABLERO!BB35=0,"",TABLERO!N35)</f>
        <v>1</v>
      </c>
      <c r="AT35" s="1079" t="str">
        <f>IF(TABLERO!BB35=0,"",TABLERO!BX35&amp;" "&amp;TABLERO!ED35&amp;", "&amp;TABLERO!I35)</f>
        <v>10 AWG, CU</v>
      </c>
      <c r="AU35" s="1080"/>
      <c r="AV35" s="44">
        <f>IF(TABLERO!BB35=0,"",TABLERO!BZ35)</f>
        <v>2.0330052492005497</v>
      </c>
      <c r="AW35" s="562">
        <f>IF(TABLERO!BB35=0,"",TABLERO!CA35)</f>
        <v>10</v>
      </c>
      <c r="AX35" s="43" t="str">
        <f>IF(TABLERO!BB35=0,"",TABLERO!CB35)</f>
        <v>T-16 mm</v>
      </c>
      <c r="AY35" s="44">
        <f>IF(TABLERO!BB35=0,"",TABLERO!DL35)</f>
        <v>25.049999999999997</v>
      </c>
      <c r="AZ35" s="576" t="str">
        <f>IF(OR(TABLERO!BB35=0,TABLERO!H35="RE"),"",TABLERO!F35&amp;"P-"&amp;TABLERO!BW35&amp;"A")</f>
        <v>3P-30A</v>
      </c>
      <c r="BA35" s="44">
        <f>IF(TABLERO!BB35=0,"",TABLERO!CI35)</f>
        <v>1906.8059999999998</v>
      </c>
      <c r="BB35" s="44">
        <f>IF(TABLERO!BB35=0,"",TABLERO!CJ35)</f>
        <v>1906.8059999999998</v>
      </c>
      <c r="BC35" s="49">
        <f>IF(TABLERO!BB35=0,"",TABLERO!CK35)</f>
        <v>1906.8059999999998</v>
      </c>
      <c r="BG35" s="46">
        <f>IF(TABLERO!B35="",0,TABLERO!B35)</f>
        <v>13</v>
      </c>
      <c r="BH35" s="46">
        <f>IF(TABLERO!C35="",BG35,TABLERO!C35)</f>
        <v>15</v>
      </c>
      <c r="BI35" s="46">
        <f>IF(TABLERO!D35="",BG35,TABLERO!D35)</f>
        <v>17</v>
      </c>
      <c r="BJ35" s="50">
        <f t="shared" si="1"/>
        <v>0</v>
      </c>
    </row>
    <row r="36" spans="1:62">
      <c r="A36" s="46">
        <f>IF(OR(BG36&gt;TABLERO!$M$19,BH36&gt;TABLERO!$M$19,BI36&gt;TABLERO!$M$19,BG36=0,BH36=0,BI36=0),2,1)</f>
        <v>1</v>
      </c>
      <c r="B36" s="47" t="str">
        <f>TABLERO!B36&amp;IF(TABLERO!C36="","",","&amp;TABLERO!C36)&amp;IF(TABLERO!D36="","",","&amp;TABLERO!D36)</f>
        <v>14,16,18</v>
      </c>
      <c r="C36" s="42" t="str">
        <f>IF(TABLERO!E36=0,"",TABLERO!E36)</f>
        <v>VENT. EXTRACCION</v>
      </c>
      <c r="D36" s="562" t="str">
        <f>IF(OR(TABLERO!X36="",TABLERO!X36=0),"",TABLERO!X36)</f>
        <v/>
      </c>
      <c r="E36" s="562" t="str">
        <f>IF(OR(TABLERO!Y36="",TABLERO!Y36=0),"",TABLERO!Y36)</f>
        <v/>
      </c>
      <c r="F36" s="562">
        <f>IF(OR(TABLERO!Z36="",TABLERO!Z36=0),"",TABLERO!Z36)</f>
        <v>1</v>
      </c>
      <c r="G36" s="562" t="str">
        <f>IF(OR(TABLERO!AA36="",TABLERO!AA36=0),"",TABLERO!AA36)</f>
        <v/>
      </c>
      <c r="H36" s="562" t="str">
        <f>IF(OR(TABLERO!AB36="",TABLERO!AB36=0),"",TABLERO!AB36)</f>
        <v/>
      </c>
      <c r="I36" s="562" t="str">
        <f>IF(OR(TABLERO!AC36="",TABLERO!AC36=0),"",TABLERO!AC36)</f>
        <v/>
      </c>
      <c r="J36" s="562" t="str">
        <f>IF(OR(TABLERO!AD36="",TABLERO!AD36=0),"",TABLERO!AD36)</f>
        <v/>
      </c>
      <c r="K36" s="562" t="str">
        <f>IF(OR(TABLERO!AE36="",TABLERO!AE36=0),"",TABLERO!AE36)</f>
        <v/>
      </c>
      <c r="L36" s="562" t="str">
        <f>IF(OR(TABLERO!AF36="",TABLERO!AF36=0),"",TABLERO!AF36)</f>
        <v/>
      </c>
      <c r="M36" s="562" t="str">
        <f>IF(OR(TABLERO!AG36="",TABLERO!AG36=0),"",TABLERO!AG36)</f>
        <v/>
      </c>
      <c r="N36" s="562" t="str">
        <f>IF(OR(TABLERO!AH36="",TABLERO!AH36=0),"",TABLERO!AH36)</f>
        <v/>
      </c>
      <c r="O36" s="562" t="str">
        <f>IF(OR(TABLERO!AI36="",TABLERO!AI36=0),"",TABLERO!AI36)</f>
        <v/>
      </c>
      <c r="P36" s="562" t="str">
        <f>IF(OR(TABLERO!AJ36="",TABLERO!AJ36=0),"",TABLERO!AJ36)</f>
        <v/>
      </c>
      <c r="Q36" s="562" t="str">
        <f>IF(OR(TABLERO!AK36="",TABLERO!AK36=0),"",TABLERO!AK36)</f>
        <v/>
      </c>
      <c r="R36" s="562" t="str">
        <f>IF(OR(TABLERO!AL36="",TABLERO!AL36=0),"",TABLERO!AL36)</f>
        <v/>
      </c>
      <c r="S36" s="562" t="str">
        <f>IF(OR(TABLERO!AM36="",TABLERO!AM36=0),"",TABLERO!AM36)</f>
        <v/>
      </c>
      <c r="T36" s="562" t="str">
        <f>IF(OR(TABLERO!AN36="",TABLERO!AN36=0),"",TABLERO!AN36)</f>
        <v/>
      </c>
      <c r="U36" s="562" t="str">
        <f>IF(OR(TABLERO!AO36="",TABLERO!AO36=0),"",TABLERO!AO36)</f>
        <v/>
      </c>
      <c r="V36" s="562" t="str">
        <f>IF(OR(TABLERO!AP36="",TABLERO!AP36=0),"",TABLERO!AP36)</f>
        <v/>
      </c>
      <c r="W36" s="562" t="str">
        <f>IF(OR(TABLERO!AQ36="",TABLERO!AQ36=0),"",TABLERO!AQ36)</f>
        <v/>
      </c>
      <c r="X36" s="562" t="str">
        <f>IF(OR(TABLERO!AR36="",TABLERO!AR36=0),"",TABLERO!AR36)</f>
        <v/>
      </c>
      <c r="Y36" s="562" t="str">
        <f>IF(OR(TABLERO!AS36="",TABLERO!AS36=0),"",TABLERO!AS36)</f>
        <v/>
      </c>
      <c r="Z36" s="562" t="str">
        <f>IF(OR(TABLERO!AT36="",TABLERO!AT36=0),"",TABLERO!AT36)</f>
        <v/>
      </c>
      <c r="AA36" s="562" t="str">
        <f>IF(OR(TABLERO!AU36="",TABLERO!AU36=0),"",TABLERO!AU36)</f>
        <v/>
      </c>
      <c r="AB36" s="562" t="str">
        <f>IF(OR(TABLERO!AV36="",TABLERO!AV36=0),"",TABLERO!AV36)</f>
        <v/>
      </c>
      <c r="AC36" s="562" t="str">
        <f>IF(OR(TABLERO!AW36="",TABLERO!AW36=0),"",TABLERO!AW36)</f>
        <v/>
      </c>
      <c r="AD36" s="562" t="str">
        <f>IF(OR(TABLERO!AX36="",TABLERO!AX36=0),"",TABLERO!AX36)</f>
        <v/>
      </c>
      <c r="AE36" s="562" t="str">
        <f>IF(OR(TABLERO!AY36="",TABLERO!AY36=0),"",TABLERO!AY36)</f>
        <v/>
      </c>
      <c r="AF36" s="562" t="str">
        <f>IF(OR(TABLERO!AZ36="",TABLERO!AZ36=0),"",TABLERO!AZ36)</f>
        <v/>
      </c>
      <c r="AG36" s="562" t="str">
        <f>IF(OR(TABLERO!BA36="",TABLERO!BA36=0),"",TABLERO!BA36)</f>
        <v/>
      </c>
      <c r="AH36" s="48">
        <f>IF(TABLERO!BB36=0,"",IF(TABLERO!$F$17&lt;&gt;"KVA",TABLERO!BB36*1000,TABLERO!BB36*1000/TABLERO!DA36))</f>
        <v>5720.4179999999997</v>
      </c>
      <c r="AI36" s="48">
        <f>IF(TABLERO!BB36=0,"",IF(TABLERO!$F$17&lt;&gt;"KVA",TABLERO!BT36*1000,TABLERO!BT36*1000/TABLERO!DA36))</f>
        <v>5720.4179999999997</v>
      </c>
      <c r="AJ36" s="44">
        <f>IF(OR(TABLERO!BU36="",TABLERO!BU36=0),"",TABLERO!BU36)</f>
        <v>16.7</v>
      </c>
      <c r="AK36" s="562">
        <f>IF(TABLERO!BB36=0,"",TABLERO!F36)</f>
        <v>3</v>
      </c>
      <c r="AL36" s="562">
        <f>IF(TABLERO!BB36=0,"",TABLERO!G36)</f>
        <v>2</v>
      </c>
      <c r="AM36" s="562">
        <f>IF(TABLERO!BB36=0,"",TABLERO!BV36)</f>
        <v>220</v>
      </c>
      <c r="AN36" s="44">
        <f>IF(TABLERO!BB36=0,"",TABLERO!K36)</f>
        <v>46</v>
      </c>
      <c r="AO36" s="562">
        <f>IF(TABLERO!BB36=0,"",TABLERO!J36)</f>
        <v>8</v>
      </c>
      <c r="AP36" s="44">
        <f>IF(TABLERO!BB36=0,"",TABLERO!CT36)</f>
        <v>0.7</v>
      </c>
      <c r="AQ36" s="44">
        <f>IF(TABLERO!BB36=0,"",TABLERO!CS36)</f>
        <v>1</v>
      </c>
      <c r="AR36" s="44">
        <f>IF(TABLERO!BB36=0,"",TABLERO!CY36)</f>
        <v>29.821428571428573</v>
      </c>
      <c r="AS36" s="562">
        <f>IF(TABLERO!BB36=0,"",TABLERO!N36)</f>
        <v>1</v>
      </c>
      <c r="AT36" s="1079" t="str">
        <f>IF(TABLERO!BB36=0,"",TABLERO!BX36&amp;" "&amp;TABLERO!ED36&amp;", "&amp;TABLERO!I36)</f>
        <v>10 AWG, CU</v>
      </c>
      <c r="AU36" s="1080"/>
      <c r="AV36" s="44">
        <f>IF(TABLERO!BB36=0,"",TABLERO!BZ36)</f>
        <v>2.17484282472617</v>
      </c>
      <c r="AW36" s="562">
        <f>IF(TABLERO!BB36=0,"",TABLERO!CA36)</f>
        <v>10</v>
      </c>
      <c r="AX36" s="43" t="str">
        <f>IF(TABLERO!BB36=0,"",TABLERO!CB36)</f>
        <v>T-16 mm</v>
      </c>
      <c r="AY36" s="44">
        <f>IF(TABLERO!BB36=0,"",TABLERO!DL36)</f>
        <v>25.049999999999997</v>
      </c>
      <c r="AZ36" s="576" t="str">
        <f>IF(OR(TABLERO!BB36=0,TABLERO!H36="RE"),"",TABLERO!F36&amp;"P-"&amp;TABLERO!BW36&amp;"A")</f>
        <v>3P-30A</v>
      </c>
      <c r="BA36" s="44">
        <f>IF(TABLERO!BB36=0,"",TABLERO!CI36)</f>
        <v>1906.8059999999998</v>
      </c>
      <c r="BB36" s="44">
        <f>IF(TABLERO!BB36=0,"",TABLERO!CJ36)</f>
        <v>1906.8059999999998</v>
      </c>
      <c r="BC36" s="49">
        <f>IF(TABLERO!BB36=0,"",TABLERO!CK36)</f>
        <v>1906.8059999999998</v>
      </c>
      <c r="BG36" s="46">
        <f>IF(TABLERO!B36="",0,TABLERO!B36)</f>
        <v>14</v>
      </c>
      <c r="BH36" s="46">
        <f>IF(TABLERO!C36="",BG36,TABLERO!C36)</f>
        <v>16</v>
      </c>
      <c r="BI36" s="46">
        <f>IF(TABLERO!D36="",BG36,TABLERO!D36)</f>
        <v>18</v>
      </c>
      <c r="BJ36" s="50">
        <f t="shared" si="1"/>
        <v>0</v>
      </c>
    </row>
    <row r="37" spans="1:62">
      <c r="A37" s="46">
        <f>IF(OR(BG37&gt;TABLERO!$M$19,BH37&gt;TABLERO!$M$19,BI37&gt;TABLERO!$M$19,BG37=0,BH37=0,BI37=0),2,1)</f>
        <v>1</v>
      </c>
      <c r="B37" s="47" t="str">
        <f>TABLERO!B37&amp;IF(TABLERO!C37="","",","&amp;TABLERO!C37)&amp;IF(TABLERO!D37="","",","&amp;TABLERO!D37)</f>
        <v>19,21,23</v>
      </c>
      <c r="C37" s="42" t="str">
        <f>IF(TABLERO!E37=0,"",TABLERO!E37)</f>
        <v>VENT. EXTRACCION</v>
      </c>
      <c r="D37" s="562" t="str">
        <f>IF(OR(TABLERO!X37="",TABLERO!X37=0),"",TABLERO!X37)</f>
        <v/>
      </c>
      <c r="E37" s="562" t="str">
        <f>IF(OR(TABLERO!Y37="",TABLERO!Y37=0),"",TABLERO!Y37)</f>
        <v/>
      </c>
      <c r="F37" s="562">
        <f>IF(OR(TABLERO!Z37="",TABLERO!Z37=0),"",TABLERO!Z37)</f>
        <v>1</v>
      </c>
      <c r="G37" s="562" t="str">
        <f>IF(OR(TABLERO!AA37="",TABLERO!AA37=0),"",TABLERO!AA37)</f>
        <v/>
      </c>
      <c r="H37" s="562" t="str">
        <f>IF(OR(TABLERO!AB37="",TABLERO!AB37=0),"",TABLERO!AB37)</f>
        <v/>
      </c>
      <c r="I37" s="562" t="str">
        <f>IF(OR(TABLERO!AC37="",TABLERO!AC37=0),"",TABLERO!AC37)</f>
        <v/>
      </c>
      <c r="J37" s="562" t="str">
        <f>IF(OR(TABLERO!AD37="",TABLERO!AD37=0),"",TABLERO!AD37)</f>
        <v/>
      </c>
      <c r="K37" s="562" t="str">
        <f>IF(OR(TABLERO!AE37="",TABLERO!AE37=0),"",TABLERO!AE37)</f>
        <v/>
      </c>
      <c r="L37" s="562" t="str">
        <f>IF(OR(TABLERO!AF37="",TABLERO!AF37=0),"",TABLERO!AF37)</f>
        <v/>
      </c>
      <c r="M37" s="562" t="str">
        <f>IF(OR(TABLERO!AG37="",TABLERO!AG37=0),"",TABLERO!AG37)</f>
        <v/>
      </c>
      <c r="N37" s="562" t="str">
        <f>IF(OR(TABLERO!AH37="",TABLERO!AH37=0),"",TABLERO!AH37)</f>
        <v/>
      </c>
      <c r="O37" s="562" t="str">
        <f>IF(OR(TABLERO!AI37="",TABLERO!AI37=0),"",TABLERO!AI37)</f>
        <v/>
      </c>
      <c r="P37" s="562" t="str">
        <f>IF(OR(TABLERO!AJ37="",TABLERO!AJ37=0),"",TABLERO!AJ37)</f>
        <v/>
      </c>
      <c r="Q37" s="562" t="str">
        <f>IF(OR(TABLERO!AK37="",TABLERO!AK37=0),"",TABLERO!AK37)</f>
        <v/>
      </c>
      <c r="R37" s="562" t="str">
        <f>IF(OR(TABLERO!AL37="",TABLERO!AL37=0),"",TABLERO!AL37)</f>
        <v/>
      </c>
      <c r="S37" s="562" t="str">
        <f>IF(OR(TABLERO!AM37="",TABLERO!AM37=0),"",TABLERO!AM37)</f>
        <v/>
      </c>
      <c r="T37" s="562" t="str">
        <f>IF(OR(TABLERO!AN37="",TABLERO!AN37=0),"",TABLERO!AN37)</f>
        <v/>
      </c>
      <c r="U37" s="562" t="str">
        <f>IF(OR(TABLERO!AO37="",TABLERO!AO37=0),"",TABLERO!AO37)</f>
        <v/>
      </c>
      <c r="V37" s="562" t="str">
        <f>IF(OR(TABLERO!AP37="",TABLERO!AP37=0),"",TABLERO!AP37)</f>
        <v/>
      </c>
      <c r="W37" s="562" t="str">
        <f>IF(OR(TABLERO!AQ37="",TABLERO!AQ37=0),"",TABLERO!AQ37)</f>
        <v/>
      </c>
      <c r="X37" s="562" t="str">
        <f>IF(OR(TABLERO!AR37="",TABLERO!AR37=0),"",TABLERO!AR37)</f>
        <v/>
      </c>
      <c r="Y37" s="562" t="str">
        <f>IF(OR(TABLERO!AS37="",TABLERO!AS37=0),"",TABLERO!AS37)</f>
        <v/>
      </c>
      <c r="Z37" s="562" t="str">
        <f>IF(OR(TABLERO!AT37="",TABLERO!AT37=0),"",TABLERO!AT37)</f>
        <v/>
      </c>
      <c r="AA37" s="562" t="str">
        <f>IF(OR(TABLERO!AU37="",TABLERO!AU37=0),"",TABLERO!AU37)</f>
        <v/>
      </c>
      <c r="AB37" s="562" t="str">
        <f>IF(OR(TABLERO!AV37="",TABLERO!AV37=0),"",TABLERO!AV37)</f>
        <v/>
      </c>
      <c r="AC37" s="562" t="str">
        <f>IF(OR(TABLERO!AW37="",TABLERO!AW37=0),"",TABLERO!AW37)</f>
        <v/>
      </c>
      <c r="AD37" s="562" t="str">
        <f>IF(OR(TABLERO!AX37="",TABLERO!AX37=0),"",TABLERO!AX37)</f>
        <v/>
      </c>
      <c r="AE37" s="562" t="str">
        <f>IF(OR(TABLERO!AY37="",TABLERO!AY37=0),"",TABLERO!AY37)</f>
        <v/>
      </c>
      <c r="AF37" s="562" t="str">
        <f>IF(OR(TABLERO!AZ37="",TABLERO!AZ37=0),"",TABLERO!AZ37)</f>
        <v/>
      </c>
      <c r="AG37" s="562" t="str">
        <f>IF(OR(TABLERO!BA37="",TABLERO!BA37=0),"",TABLERO!BA37)</f>
        <v/>
      </c>
      <c r="AH37" s="48">
        <f>IF(TABLERO!BB37=0,"",IF(TABLERO!$F$17&lt;&gt;"KVA",TABLERO!BB37*1000,TABLERO!BB37*1000/TABLERO!DA37))</f>
        <v>5720.4179999999997</v>
      </c>
      <c r="AI37" s="48">
        <f>IF(TABLERO!BB37=0,"",IF(TABLERO!$F$17&lt;&gt;"KVA",TABLERO!BT37*1000,TABLERO!BT37*1000/TABLERO!DA37))</f>
        <v>5720.4179999999997</v>
      </c>
      <c r="AJ37" s="44">
        <f>IF(OR(TABLERO!BU37="",TABLERO!BU37=0),"",TABLERO!BU37)</f>
        <v>16.7</v>
      </c>
      <c r="AK37" s="562">
        <f>IF(TABLERO!BB37=0,"",TABLERO!F37)</f>
        <v>3</v>
      </c>
      <c r="AL37" s="562">
        <f>IF(TABLERO!BB37=0,"",TABLERO!G37)</f>
        <v>3</v>
      </c>
      <c r="AM37" s="562">
        <f>IF(TABLERO!BB37=0,"",TABLERO!BV37)</f>
        <v>220</v>
      </c>
      <c r="AN37" s="44">
        <f>IF(TABLERO!BB37=0,"",TABLERO!K37)</f>
        <v>49</v>
      </c>
      <c r="AO37" s="562">
        <f>IF(TABLERO!BB37=0,"",TABLERO!J37)</f>
        <v>8</v>
      </c>
      <c r="AP37" s="44">
        <f>IF(TABLERO!BB37=0,"",TABLERO!CT37)</f>
        <v>0.7</v>
      </c>
      <c r="AQ37" s="44">
        <f>IF(TABLERO!BB37=0,"",TABLERO!CS37)</f>
        <v>1</v>
      </c>
      <c r="AR37" s="44">
        <f>IF(TABLERO!BB37=0,"",TABLERO!CY37)</f>
        <v>29.821428571428573</v>
      </c>
      <c r="AS37" s="562">
        <f>IF(TABLERO!BB37=0,"",TABLERO!N37)</f>
        <v>1</v>
      </c>
      <c r="AT37" s="1079" t="str">
        <f>IF(TABLERO!BB37=0,"",TABLERO!BX37&amp;" "&amp;TABLERO!ED37&amp;", "&amp;TABLERO!I37)</f>
        <v>10 AWG, CU</v>
      </c>
      <c r="AU37" s="1080"/>
      <c r="AV37" s="44">
        <f>IF(TABLERO!BB37=0,"",TABLERO!BZ37)</f>
        <v>2.3166804002517893</v>
      </c>
      <c r="AW37" s="562">
        <f>IF(TABLERO!BB37=0,"",TABLERO!CA37)</f>
        <v>10</v>
      </c>
      <c r="AX37" s="43" t="str">
        <f>IF(TABLERO!BB37=0,"",TABLERO!CB37)</f>
        <v>T-16 mm</v>
      </c>
      <c r="AY37" s="44">
        <f>IF(TABLERO!BB37=0,"",TABLERO!DL37)</f>
        <v>25.049999999999997</v>
      </c>
      <c r="AZ37" s="576" t="str">
        <f>IF(OR(TABLERO!BB37=0,TABLERO!H37="RE"),"",TABLERO!F37&amp;"P-"&amp;TABLERO!BW37&amp;"A")</f>
        <v>3P-30A</v>
      </c>
      <c r="BA37" s="44">
        <f>IF(TABLERO!BB37=0,"",TABLERO!CI37)</f>
        <v>1906.8059999999998</v>
      </c>
      <c r="BB37" s="44">
        <f>IF(TABLERO!BB37=0,"",TABLERO!CJ37)</f>
        <v>1906.8059999999998</v>
      </c>
      <c r="BC37" s="49">
        <f>IF(TABLERO!BB37=0,"",TABLERO!CK37)</f>
        <v>1906.8059999999998</v>
      </c>
      <c r="BG37" s="46">
        <f>IF(TABLERO!B37="",0,TABLERO!B37)</f>
        <v>19</v>
      </c>
      <c r="BH37" s="46">
        <f>IF(TABLERO!C37="",BG37,TABLERO!C37)</f>
        <v>21</v>
      </c>
      <c r="BI37" s="46">
        <f>IF(TABLERO!D37="",BG37,TABLERO!D37)</f>
        <v>23</v>
      </c>
      <c r="BJ37" s="50">
        <f t="shared" si="1"/>
        <v>0</v>
      </c>
    </row>
    <row r="38" spans="1:62">
      <c r="A38" s="46">
        <f>IF(OR(BG38&gt;TABLERO!$M$19,BH38&gt;TABLERO!$M$19,BI38&gt;TABLERO!$M$19,BG38=0,BH38=0,BI38=0),2,1)</f>
        <v>1</v>
      </c>
      <c r="B38" s="47" t="str">
        <f>TABLERO!B38&amp;IF(TABLERO!C38="","",","&amp;TABLERO!C38)&amp;IF(TABLERO!D38="","",","&amp;TABLERO!D38)</f>
        <v>24,26,28</v>
      </c>
      <c r="C38" s="42" t="str">
        <f>IF(TABLERO!E38=0,"",TABLERO!E38)</f>
        <v>VENT. EXTRACCION</v>
      </c>
      <c r="D38" s="562" t="str">
        <f>IF(OR(TABLERO!X38="",TABLERO!X38=0),"",TABLERO!X38)</f>
        <v/>
      </c>
      <c r="E38" s="562" t="str">
        <f>IF(OR(TABLERO!Y38="",TABLERO!Y38=0),"",TABLERO!Y38)</f>
        <v/>
      </c>
      <c r="F38" s="562">
        <f>IF(OR(TABLERO!Z38="",TABLERO!Z38=0),"",TABLERO!Z38)</f>
        <v>1</v>
      </c>
      <c r="G38" s="562" t="str">
        <f>IF(OR(TABLERO!AA38="",TABLERO!AA38=0),"",TABLERO!AA38)</f>
        <v/>
      </c>
      <c r="H38" s="562" t="str">
        <f>IF(OR(TABLERO!AB38="",TABLERO!AB38=0),"",TABLERO!AB38)</f>
        <v/>
      </c>
      <c r="I38" s="562" t="str">
        <f>IF(OR(TABLERO!AC38="",TABLERO!AC38=0),"",TABLERO!AC38)</f>
        <v/>
      </c>
      <c r="J38" s="562" t="str">
        <f>IF(OR(TABLERO!AD38="",TABLERO!AD38=0),"",TABLERO!AD38)</f>
        <v/>
      </c>
      <c r="K38" s="562" t="str">
        <f>IF(OR(TABLERO!AE38="",TABLERO!AE38=0),"",TABLERO!AE38)</f>
        <v/>
      </c>
      <c r="L38" s="562" t="str">
        <f>IF(OR(TABLERO!AF38="",TABLERO!AF38=0),"",TABLERO!AF38)</f>
        <v/>
      </c>
      <c r="M38" s="562" t="str">
        <f>IF(OR(TABLERO!AG38="",TABLERO!AG38=0),"",TABLERO!AG38)</f>
        <v/>
      </c>
      <c r="N38" s="562" t="str">
        <f>IF(OR(TABLERO!AH38="",TABLERO!AH38=0),"",TABLERO!AH38)</f>
        <v/>
      </c>
      <c r="O38" s="562" t="str">
        <f>IF(OR(TABLERO!AI38="",TABLERO!AI38=0),"",TABLERO!AI38)</f>
        <v/>
      </c>
      <c r="P38" s="562" t="str">
        <f>IF(OR(TABLERO!AJ38="",TABLERO!AJ38=0),"",TABLERO!AJ38)</f>
        <v/>
      </c>
      <c r="Q38" s="562" t="str">
        <f>IF(OR(TABLERO!AK38="",TABLERO!AK38=0),"",TABLERO!AK38)</f>
        <v/>
      </c>
      <c r="R38" s="562" t="str">
        <f>IF(OR(TABLERO!AL38="",TABLERO!AL38=0),"",TABLERO!AL38)</f>
        <v/>
      </c>
      <c r="S38" s="562" t="str">
        <f>IF(OR(TABLERO!AM38="",TABLERO!AM38=0),"",TABLERO!AM38)</f>
        <v/>
      </c>
      <c r="T38" s="562" t="str">
        <f>IF(OR(TABLERO!AN38="",TABLERO!AN38=0),"",TABLERO!AN38)</f>
        <v/>
      </c>
      <c r="U38" s="562" t="str">
        <f>IF(OR(TABLERO!AO38="",TABLERO!AO38=0),"",TABLERO!AO38)</f>
        <v/>
      </c>
      <c r="V38" s="562" t="str">
        <f>IF(OR(TABLERO!AP38="",TABLERO!AP38=0),"",TABLERO!AP38)</f>
        <v/>
      </c>
      <c r="W38" s="562" t="str">
        <f>IF(OR(TABLERO!AQ38="",TABLERO!AQ38=0),"",TABLERO!AQ38)</f>
        <v/>
      </c>
      <c r="X38" s="562" t="str">
        <f>IF(OR(TABLERO!AR38="",TABLERO!AR38=0),"",TABLERO!AR38)</f>
        <v/>
      </c>
      <c r="Y38" s="562" t="str">
        <f>IF(OR(TABLERO!AS38="",TABLERO!AS38=0),"",TABLERO!AS38)</f>
        <v/>
      </c>
      <c r="Z38" s="562" t="str">
        <f>IF(OR(TABLERO!AT38="",TABLERO!AT38=0),"",TABLERO!AT38)</f>
        <v/>
      </c>
      <c r="AA38" s="562" t="str">
        <f>IF(OR(TABLERO!AU38="",TABLERO!AU38=0),"",TABLERO!AU38)</f>
        <v/>
      </c>
      <c r="AB38" s="562" t="str">
        <f>IF(OR(TABLERO!AV38="",TABLERO!AV38=0),"",TABLERO!AV38)</f>
        <v/>
      </c>
      <c r="AC38" s="562" t="str">
        <f>IF(OR(TABLERO!AW38="",TABLERO!AW38=0),"",TABLERO!AW38)</f>
        <v/>
      </c>
      <c r="AD38" s="562" t="str">
        <f>IF(OR(TABLERO!AX38="",TABLERO!AX38=0),"",TABLERO!AX38)</f>
        <v/>
      </c>
      <c r="AE38" s="562" t="str">
        <f>IF(OR(TABLERO!AY38="",TABLERO!AY38=0),"",TABLERO!AY38)</f>
        <v/>
      </c>
      <c r="AF38" s="562" t="str">
        <f>IF(OR(TABLERO!AZ38="",TABLERO!AZ38=0),"",TABLERO!AZ38)</f>
        <v/>
      </c>
      <c r="AG38" s="562" t="str">
        <f>IF(OR(TABLERO!BA38="",TABLERO!BA38=0),"",TABLERO!BA38)</f>
        <v/>
      </c>
      <c r="AH38" s="48">
        <f>IF(TABLERO!BB38=0,"",IF(TABLERO!$F$17&lt;&gt;"KVA",TABLERO!BB38*1000,TABLERO!BB38*1000/TABLERO!DA38))</f>
        <v>5720.4179999999997</v>
      </c>
      <c r="AI38" s="48">
        <f>IF(TABLERO!BB38=0,"",IF(TABLERO!$F$17&lt;&gt;"KVA",TABLERO!BT38*1000,TABLERO!BT38*1000/TABLERO!DA38))</f>
        <v>5720.4179999999997</v>
      </c>
      <c r="AJ38" s="44">
        <f>IF(OR(TABLERO!BU38="",TABLERO!BU38=0),"",TABLERO!BU38)</f>
        <v>16.7</v>
      </c>
      <c r="AK38" s="562">
        <f>IF(TABLERO!BB38=0,"",TABLERO!F38)</f>
        <v>3</v>
      </c>
      <c r="AL38" s="562">
        <f>IF(TABLERO!BB38=0,"",TABLERO!G38)</f>
        <v>3</v>
      </c>
      <c r="AM38" s="562">
        <f>IF(TABLERO!BB38=0,"",TABLERO!BV38)</f>
        <v>220</v>
      </c>
      <c r="AN38" s="44">
        <f>IF(TABLERO!BB38=0,"",TABLERO!K38)</f>
        <v>52</v>
      </c>
      <c r="AO38" s="562">
        <f>IF(TABLERO!BB38=0,"",TABLERO!J38)</f>
        <v>8</v>
      </c>
      <c r="AP38" s="44">
        <f>IF(TABLERO!BB38=0,"",TABLERO!CT38)</f>
        <v>0.7</v>
      </c>
      <c r="AQ38" s="44">
        <f>IF(TABLERO!BB38=0,"",TABLERO!CS38)</f>
        <v>1</v>
      </c>
      <c r="AR38" s="44">
        <f>IF(TABLERO!BB38=0,"",TABLERO!CY38)</f>
        <v>29.821428571428573</v>
      </c>
      <c r="AS38" s="562">
        <f>IF(TABLERO!BB38=0,"",TABLERO!N38)</f>
        <v>1</v>
      </c>
      <c r="AT38" s="1079" t="str">
        <f>IF(TABLERO!BB38=0,"",TABLERO!BX38&amp;" "&amp;TABLERO!ED38&amp;", "&amp;TABLERO!I38)</f>
        <v>10 AWG, CU</v>
      </c>
      <c r="AU38" s="1080"/>
      <c r="AV38" s="44">
        <f>IF(TABLERO!BB38=0,"",TABLERO!BZ38)</f>
        <v>2.4585179757774087</v>
      </c>
      <c r="AW38" s="562">
        <f>IF(TABLERO!BB38=0,"",TABLERO!CA38)</f>
        <v>10</v>
      </c>
      <c r="AX38" s="43" t="str">
        <f>IF(TABLERO!BB38=0,"",TABLERO!CB38)</f>
        <v>T-16 mm</v>
      </c>
      <c r="AY38" s="44">
        <f>IF(TABLERO!BB38=0,"",TABLERO!DL38)</f>
        <v>25.049999999999997</v>
      </c>
      <c r="AZ38" s="576" t="str">
        <f>IF(OR(TABLERO!BB38=0,TABLERO!H38="RE"),"",TABLERO!F38&amp;"P-"&amp;TABLERO!BW38&amp;"A")</f>
        <v>3P-30A</v>
      </c>
      <c r="BA38" s="44">
        <f>IF(TABLERO!BB38=0,"",TABLERO!CI38)</f>
        <v>1906.8059999999998</v>
      </c>
      <c r="BB38" s="44">
        <f>IF(TABLERO!BB38=0,"",TABLERO!CJ38)</f>
        <v>1906.8059999999998</v>
      </c>
      <c r="BC38" s="49">
        <f>IF(TABLERO!BB38=0,"",TABLERO!CK38)</f>
        <v>1906.8059999999998</v>
      </c>
      <c r="BG38" s="46">
        <f>IF(TABLERO!B38="",0,TABLERO!B38)</f>
        <v>24</v>
      </c>
      <c r="BH38" s="46">
        <f>IF(TABLERO!C38="",BG38,TABLERO!C38)</f>
        <v>26</v>
      </c>
      <c r="BI38" s="46">
        <f>IF(TABLERO!D38="",BG38,TABLERO!D38)</f>
        <v>28</v>
      </c>
      <c r="BJ38" s="50">
        <f t="shared" si="1"/>
        <v>0</v>
      </c>
    </row>
    <row r="39" spans="1:62">
      <c r="A39" s="46">
        <f>IF(OR(BG39&gt;TABLERO!$M$19,BH39&gt;TABLERO!$M$19,BI39&gt;TABLERO!$M$19,BG39=0,BH39=0,BI39=0),2,1)</f>
        <v>1</v>
      </c>
      <c r="B39" s="47" t="str">
        <f>TABLERO!B39&amp;IF(TABLERO!C39="","",","&amp;TABLERO!C39)&amp;IF(TABLERO!D39="","",","&amp;TABLERO!D39)</f>
        <v>25,27,29</v>
      </c>
      <c r="C39" s="42" t="str">
        <f>IF(TABLERO!E39=0,"",TABLERO!E39)</f>
        <v>CONT. MANTENIMIENTO</v>
      </c>
      <c r="D39" s="562" t="str">
        <f>IF(OR(TABLERO!X39="",TABLERO!X39=0),"",TABLERO!X39)</f>
        <v/>
      </c>
      <c r="E39" s="562" t="str">
        <f>IF(OR(TABLERO!Y39="",TABLERO!Y39=0),"",TABLERO!Y39)</f>
        <v/>
      </c>
      <c r="F39" s="562" t="str">
        <f>IF(OR(TABLERO!Z39="",TABLERO!Z39=0),"",TABLERO!Z39)</f>
        <v/>
      </c>
      <c r="G39" s="562">
        <f>IF(OR(TABLERO!AA39="",TABLERO!AA39=0),"",TABLERO!AA39)</f>
        <v>1</v>
      </c>
      <c r="H39" s="562" t="str">
        <f>IF(OR(TABLERO!AB39="",TABLERO!AB39=0),"",TABLERO!AB39)</f>
        <v/>
      </c>
      <c r="I39" s="562" t="str">
        <f>IF(OR(TABLERO!AC39="",TABLERO!AC39=0),"",TABLERO!AC39)</f>
        <v/>
      </c>
      <c r="J39" s="562" t="str">
        <f>IF(OR(TABLERO!AD39="",TABLERO!AD39=0),"",TABLERO!AD39)</f>
        <v/>
      </c>
      <c r="K39" s="562" t="str">
        <f>IF(OR(TABLERO!AE39="",TABLERO!AE39=0),"",TABLERO!AE39)</f>
        <v/>
      </c>
      <c r="L39" s="562" t="str">
        <f>IF(OR(TABLERO!AF39="",TABLERO!AF39=0),"",TABLERO!AF39)</f>
        <v/>
      </c>
      <c r="M39" s="562" t="str">
        <f>IF(OR(TABLERO!AG39="",TABLERO!AG39=0),"",TABLERO!AG39)</f>
        <v/>
      </c>
      <c r="N39" s="562" t="str">
        <f>IF(OR(TABLERO!AH39="",TABLERO!AH39=0),"",TABLERO!AH39)</f>
        <v/>
      </c>
      <c r="O39" s="562" t="str">
        <f>IF(OR(TABLERO!AI39="",TABLERO!AI39=0),"",TABLERO!AI39)</f>
        <v/>
      </c>
      <c r="P39" s="562" t="str">
        <f>IF(OR(TABLERO!AJ39="",TABLERO!AJ39=0),"",TABLERO!AJ39)</f>
        <v/>
      </c>
      <c r="Q39" s="562" t="str">
        <f>IF(OR(TABLERO!AK39="",TABLERO!AK39=0),"",TABLERO!AK39)</f>
        <v/>
      </c>
      <c r="R39" s="562" t="str">
        <f>IF(OR(TABLERO!AL39="",TABLERO!AL39=0),"",TABLERO!AL39)</f>
        <v/>
      </c>
      <c r="S39" s="562" t="str">
        <f>IF(OR(TABLERO!AM39="",TABLERO!AM39=0),"",TABLERO!AM39)</f>
        <v/>
      </c>
      <c r="T39" s="562" t="str">
        <f>IF(OR(TABLERO!AN39="",TABLERO!AN39=0),"",TABLERO!AN39)</f>
        <v/>
      </c>
      <c r="U39" s="562" t="str">
        <f>IF(OR(TABLERO!AO39="",TABLERO!AO39=0),"",TABLERO!AO39)</f>
        <v/>
      </c>
      <c r="V39" s="562" t="str">
        <f>IF(OR(TABLERO!AP39="",TABLERO!AP39=0),"",TABLERO!AP39)</f>
        <v/>
      </c>
      <c r="W39" s="562" t="str">
        <f>IF(OR(TABLERO!AQ39="",TABLERO!AQ39=0),"",TABLERO!AQ39)</f>
        <v/>
      </c>
      <c r="X39" s="562" t="str">
        <f>IF(OR(TABLERO!AR39="",TABLERO!AR39=0),"",TABLERO!AR39)</f>
        <v/>
      </c>
      <c r="Y39" s="562" t="str">
        <f>IF(OR(TABLERO!AS39="",TABLERO!AS39=0),"",TABLERO!AS39)</f>
        <v/>
      </c>
      <c r="Z39" s="562" t="str">
        <f>IF(OR(TABLERO!AT39="",TABLERO!AT39=0),"",TABLERO!AT39)</f>
        <v/>
      </c>
      <c r="AA39" s="562" t="str">
        <f>IF(OR(TABLERO!AU39="",TABLERO!AU39=0),"",TABLERO!AU39)</f>
        <v/>
      </c>
      <c r="AB39" s="562" t="str">
        <f>IF(OR(TABLERO!AV39="",TABLERO!AV39=0),"",TABLERO!AV39)</f>
        <v/>
      </c>
      <c r="AC39" s="562" t="str">
        <f>IF(OR(TABLERO!AW39="",TABLERO!AW39=0),"",TABLERO!AW39)</f>
        <v/>
      </c>
      <c r="AD39" s="562" t="str">
        <f>IF(OR(TABLERO!AX39="",TABLERO!AX39=0),"",TABLERO!AX39)</f>
        <v/>
      </c>
      <c r="AE39" s="562" t="str">
        <f>IF(OR(TABLERO!AY39="",TABLERO!AY39=0),"",TABLERO!AY39)</f>
        <v/>
      </c>
      <c r="AF39" s="562" t="str">
        <f>IF(OR(TABLERO!AZ39="",TABLERO!AZ39=0),"",TABLERO!AZ39)</f>
        <v/>
      </c>
      <c r="AG39" s="562" t="str">
        <f>IF(OR(TABLERO!BA39="",TABLERO!BA39=0),"",TABLERO!BA39)</f>
        <v/>
      </c>
      <c r="AH39" s="48">
        <f>IF(TABLERO!BB39=0,"",IF(TABLERO!$F$17&lt;&gt;"KVA",TABLERO!BB39*1000,TABLERO!BB39*1000/TABLERO!DA39))</f>
        <v>2500</v>
      </c>
      <c r="AI39" s="48">
        <f>IF(TABLERO!BB39=0,"",IF(TABLERO!$F$17&lt;&gt;"KVA",TABLERO!BT39*1000,TABLERO!BT39*1000/TABLERO!DA39))</f>
        <v>2500</v>
      </c>
      <c r="AJ39" s="44">
        <f>IF(OR(TABLERO!BU39="",TABLERO!BU39=0),"",TABLERO!BU39)</f>
        <v>7.2984177030419799</v>
      </c>
      <c r="AK39" s="562">
        <f>IF(TABLERO!BB39=0,"",TABLERO!F39)</f>
        <v>3</v>
      </c>
      <c r="AL39" s="562">
        <f>IF(TABLERO!BB39=0,"",TABLERO!G39)</f>
        <v>4</v>
      </c>
      <c r="AM39" s="562">
        <f>IF(TABLERO!BB39=0,"",TABLERO!BV39)</f>
        <v>220</v>
      </c>
      <c r="AN39" s="44">
        <f>IF(TABLERO!BB39=0,"",TABLERO!K39)</f>
        <v>25</v>
      </c>
      <c r="AO39" s="562">
        <f>IF(TABLERO!BB39=0,"",TABLERO!J39)</f>
        <v>8</v>
      </c>
      <c r="AP39" s="44">
        <f>IF(TABLERO!BB39=0,"",TABLERO!CT39)</f>
        <v>0.7</v>
      </c>
      <c r="AQ39" s="44">
        <f>IF(TABLERO!BB39=0,"",TABLERO!CS39)</f>
        <v>1</v>
      </c>
      <c r="AR39" s="44">
        <f>IF(TABLERO!BB39=0,"",TABLERO!CY39)</f>
        <v>10.426311004345687</v>
      </c>
      <c r="AS39" s="562">
        <f>IF(TABLERO!BB39=0,"",TABLERO!N39)</f>
        <v>1</v>
      </c>
      <c r="AT39" s="1079" t="str">
        <f>IF(TABLERO!BB39=0,"",TABLERO!BX39&amp;" "&amp;TABLERO!ED39&amp;", "&amp;TABLERO!I39)</f>
        <v>10 AWG, CU</v>
      </c>
      <c r="AU39" s="1080"/>
      <c r="AV39" s="44">
        <f>IF(TABLERO!BB39=0,"",TABLERO!BZ39)</f>
        <v>0.51656181246144572</v>
      </c>
      <c r="AW39" s="562">
        <f>IF(TABLERO!BB39=0,"",TABLERO!CA39)</f>
        <v>10</v>
      </c>
      <c r="AX39" s="43" t="str">
        <f>IF(TABLERO!BB39=0,"",TABLERO!CB39)</f>
        <v>T-16 mm</v>
      </c>
      <c r="AY39" s="44">
        <f>IF(TABLERO!BB39=0,"",TABLERO!DL39)</f>
        <v>7.2984177030419799</v>
      </c>
      <c r="AZ39" s="576" t="str">
        <f>IF(OR(TABLERO!BB39=0,TABLERO!H39="RE"),"",TABLERO!F39&amp;"P-"&amp;TABLERO!BW39&amp;"A")</f>
        <v>3P-20A</v>
      </c>
      <c r="BA39" s="44">
        <f>IF(TABLERO!BB39=0,"",TABLERO!CI39)</f>
        <v>833.33333333333337</v>
      </c>
      <c r="BB39" s="44">
        <f>IF(TABLERO!BB39=0,"",TABLERO!CJ39)</f>
        <v>833.33333333333337</v>
      </c>
      <c r="BC39" s="49">
        <f>IF(TABLERO!BB39=0,"",TABLERO!CK39)</f>
        <v>833.33333333333337</v>
      </c>
      <c r="BG39" s="46">
        <f>IF(TABLERO!B39="",0,TABLERO!B39)</f>
        <v>25</v>
      </c>
      <c r="BH39" s="46">
        <f>IF(TABLERO!C39="",BG39,TABLERO!C39)</f>
        <v>27</v>
      </c>
      <c r="BI39" s="46">
        <f>IF(TABLERO!D39="",BG39,TABLERO!D39)</f>
        <v>29</v>
      </c>
      <c r="BJ39" s="50">
        <f t="shared" si="1"/>
        <v>0</v>
      </c>
    </row>
    <row r="40" spans="1:62">
      <c r="A40" s="46">
        <f>IF(OR(BG40&gt;TABLERO!$M$19,BH40&gt;TABLERO!$M$19,BI40&gt;TABLERO!$M$19,BG40=0,BH40=0,BI40=0),2,1)</f>
        <v>2</v>
      </c>
      <c r="B40" s="47" t="str">
        <f>TABLERO!B40&amp;IF(TABLERO!C40="","",","&amp;TABLERO!C40)&amp;IF(TABLERO!D40="","",","&amp;TABLERO!D40)</f>
        <v/>
      </c>
      <c r="C40" s="42" t="str">
        <f>IF(TABLERO!E40=0,"",TABLERO!E40)</f>
        <v/>
      </c>
      <c r="D40" s="562" t="str">
        <f>IF(OR(TABLERO!X40="",TABLERO!X40=0),"",TABLERO!X40)</f>
        <v/>
      </c>
      <c r="E40" s="562" t="str">
        <f>IF(OR(TABLERO!Y40="",TABLERO!Y40=0),"",TABLERO!Y40)</f>
        <v/>
      </c>
      <c r="F40" s="562" t="str">
        <f>IF(OR(TABLERO!Z40="",TABLERO!Z40=0),"",TABLERO!Z40)</f>
        <v/>
      </c>
      <c r="G40" s="562" t="str">
        <f>IF(OR(TABLERO!AA40="",TABLERO!AA40=0),"",TABLERO!AA40)</f>
        <v/>
      </c>
      <c r="H40" s="562" t="str">
        <f>IF(OR(TABLERO!AB40="",TABLERO!AB40=0),"",TABLERO!AB40)</f>
        <v/>
      </c>
      <c r="I40" s="562" t="str">
        <f>IF(OR(TABLERO!AC40="",TABLERO!AC40=0),"",TABLERO!AC40)</f>
        <v/>
      </c>
      <c r="J40" s="562" t="str">
        <f>IF(OR(TABLERO!AD40="",TABLERO!AD40=0),"",TABLERO!AD40)</f>
        <v/>
      </c>
      <c r="K40" s="562" t="str">
        <f>IF(OR(TABLERO!AE40="",TABLERO!AE40=0),"",TABLERO!AE40)</f>
        <v/>
      </c>
      <c r="L40" s="562" t="str">
        <f>IF(OR(TABLERO!AF40="",TABLERO!AF40=0),"",TABLERO!AF40)</f>
        <v/>
      </c>
      <c r="M40" s="562" t="str">
        <f>IF(OR(TABLERO!AG40="",TABLERO!AG40=0),"",TABLERO!AG40)</f>
        <v/>
      </c>
      <c r="N40" s="562" t="str">
        <f>IF(OR(TABLERO!AH40="",TABLERO!AH40=0),"",TABLERO!AH40)</f>
        <v/>
      </c>
      <c r="O40" s="562" t="str">
        <f>IF(OR(TABLERO!AI40="",TABLERO!AI40=0),"",TABLERO!AI40)</f>
        <v/>
      </c>
      <c r="P40" s="562" t="str">
        <f>IF(OR(TABLERO!AJ40="",TABLERO!AJ40=0),"",TABLERO!AJ40)</f>
        <v/>
      </c>
      <c r="Q40" s="562" t="str">
        <f>IF(OR(TABLERO!AK40="",TABLERO!AK40=0),"",TABLERO!AK40)</f>
        <v/>
      </c>
      <c r="R40" s="562" t="str">
        <f>IF(OR(TABLERO!AL40="",TABLERO!AL40=0),"",TABLERO!AL40)</f>
        <v/>
      </c>
      <c r="S40" s="562" t="str">
        <f>IF(OR(TABLERO!AM40="",TABLERO!AM40=0),"",TABLERO!AM40)</f>
        <v/>
      </c>
      <c r="T40" s="562" t="str">
        <f>IF(OR(TABLERO!AN40="",TABLERO!AN40=0),"",TABLERO!AN40)</f>
        <v/>
      </c>
      <c r="U40" s="562" t="str">
        <f>IF(OR(TABLERO!AO40="",TABLERO!AO40=0),"",TABLERO!AO40)</f>
        <v/>
      </c>
      <c r="V40" s="562" t="str">
        <f>IF(OR(TABLERO!AP40="",TABLERO!AP40=0),"",TABLERO!AP40)</f>
        <v/>
      </c>
      <c r="W40" s="562" t="str">
        <f>IF(OR(TABLERO!AQ40="",TABLERO!AQ40=0),"",TABLERO!AQ40)</f>
        <v/>
      </c>
      <c r="X40" s="562" t="str">
        <f>IF(OR(TABLERO!AR40="",TABLERO!AR40=0),"",TABLERO!AR40)</f>
        <v/>
      </c>
      <c r="Y40" s="562" t="str">
        <f>IF(OR(TABLERO!AS40="",TABLERO!AS40=0),"",TABLERO!AS40)</f>
        <v/>
      </c>
      <c r="Z40" s="562" t="str">
        <f>IF(OR(TABLERO!AT40="",TABLERO!AT40=0),"",TABLERO!AT40)</f>
        <v/>
      </c>
      <c r="AA40" s="562" t="str">
        <f>IF(OR(TABLERO!AU40="",TABLERO!AU40=0),"",TABLERO!AU40)</f>
        <v/>
      </c>
      <c r="AB40" s="562" t="str">
        <f>IF(OR(TABLERO!AV40="",TABLERO!AV40=0),"",TABLERO!AV40)</f>
        <v/>
      </c>
      <c r="AC40" s="562" t="str">
        <f>IF(OR(TABLERO!AW40="",TABLERO!AW40=0),"",TABLERO!AW40)</f>
        <v/>
      </c>
      <c r="AD40" s="562" t="str">
        <f>IF(OR(TABLERO!AX40="",TABLERO!AX40=0),"",TABLERO!AX40)</f>
        <v/>
      </c>
      <c r="AE40" s="562" t="str">
        <f>IF(OR(TABLERO!AY40="",TABLERO!AY40=0),"",TABLERO!AY40)</f>
        <v/>
      </c>
      <c r="AF40" s="562" t="str">
        <f>IF(OR(TABLERO!AZ40="",TABLERO!AZ40=0),"",TABLERO!AZ40)</f>
        <v/>
      </c>
      <c r="AG40" s="562" t="str">
        <f>IF(OR(TABLERO!BA40="",TABLERO!BA40=0),"",TABLERO!BA40)</f>
        <v/>
      </c>
      <c r="AH40" s="48" t="str">
        <f>IF(TABLERO!BB40=0,"",IF(TABLERO!$F$17&lt;&gt;"KVA",TABLERO!BB40*1000,TABLERO!BB40*1000/TABLERO!DA40))</f>
        <v/>
      </c>
      <c r="AI40" s="48" t="str">
        <f>IF(TABLERO!BB40=0,"",IF(TABLERO!$F$17&lt;&gt;"KVA",TABLERO!BT40*1000,TABLERO!BT40*1000/TABLERO!DA40))</f>
        <v/>
      </c>
      <c r="AJ40" s="44" t="str">
        <f>IF(OR(TABLERO!BU40="",TABLERO!BU40=0),"",TABLERO!BU40)</f>
        <v/>
      </c>
      <c r="AK40" s="562" t="str">
        <f>IF(TABLERO!BB40=0,"",TABLERO!F40)</f>
        <v/>
      </c>
      <c r="AL40" s="562" t="str">
        <f>IF(TABLERO!BB40=0,"",TABLERO!G40)</f>
        <v/>
      </c>
      <c r="AM40" s="562" t="str">
        <f>IF(TABLERO!BB40=0,"",TABLERO!BV40)</f>
        <v/>
      </c>
      <c r="AN40" s="44" t="str">
        <f>IF(TABLERO!BB40=0,"",TABLERO!K40)</f>
        <v/>
      </c>
      <c r="AO40" s="562" t="str">
        <f>IF(TABLERO!BB40=0,"",TABLERO!J40)</f>
        <v/>
      </c>
      <c r="AP40" s="44" t="str">
        <f>IF(TABLERO!BB40=0,"",TABLERO!CT40)</f>
        <v/>
      </c>
      <c r="AQ40" s="44" t="str">
        <f>IF(TABLERO!BB40=0,"",TABLERO!CS40)</f>
        <v/>
      </c>
      <c r="AR40" s="44" t="str">
        <f>IF(TABLERO!BB40=0,"",TABLERO!CY40)</f>
        <v/>
      </c>
      <c r="AS40" s="562" t="str">
        <f>IF(TABLERO!BB40=0,"",TABLERO!N40)</f>
        <v/>
      </c>
      <c r="AT40" s="1079" t="str">
        <f>IF(TABLERO!BB40=0,"",TABLERO!BX40&amp;" "&amp;TABLERO!ED40&amp;", "&amp;TABLERO!I40)</f>
        <v/>
      </c>
      <c r="AU40" s="1080"/>
      <c r="AV40" s="44" t="str">
        <f>IF(TABLERO!BB40=0,"",TABLERO!BZ40)</f>
        <v/>
      </c>
      <c r="AW40" s="562" t="str">
        <f>IF(TABLERO!BB40=0,"",TABLERO!CA40)</f>
        <v/>
      </c>
      <c r="AX40" s="43" t="str">
        <f>IF(TABLERO!BB40=0,"",TABLERO!CB40)</f>
        <v/>
      </c>
      <c r="AY40" s="44" t="str">
        <f>IF(TABLERO!BB40=0,"",TABLERO!DL40)</f>
        <v/>
      </c>
      <c r="AZ40" s="576" t="str">
        <f>IF(OR(TABLERO!BB40=0,TABLERO!H40="RE"),"",TABLERO!F40&amp;"P-"&amp;TABLERO!BW40&amp;"A")</f>
        <v/>
      </c>
      <c r="BA40" s="44" t="str">
        <f>IF(TABLERO!BB40=0,"",TABLERO!CI40)</f>
        <v/>
      </c>
      <c r="BB40" s="44" t="str">
        <f>IF(TABLERO!BB40=0,"",TABLERO!CJ40)</f>
        <v/>
      </c>
      <c r="BC40" s="49" t="str">
        <f>IF(TABLERO!BB40=0,"",TABLERO!CK40)</f>
        <v/>
      </c>
      <c r="BG40" s="46">
        <f>IF(TABLERO!B40="",0,TABLERO!B40)</f>
        <v>0</v>
      </c>
      <c r="BH40" s="46">
        <f>IF(TABLERO!C40="",BG40,TABLERO!C40)</f>
        <v>0</v>
      </c>
      <c r="BI40" s="46">
        <f>IF(TABLERO!D40="",BG40,TABLERO!D40)</f>
        <v>0</v>
      </c>
      <c r="BJ40" s="50">
        <f t="shared" si="1"/>
        <v>0</v>
      </c>
    </row>
    <row r="41" spans="1:62">
      <c r="A41" s="46">
        <f>IF(OR(BG41&gt;TABLERO!$M$19,BH41&gt;TABLERO!$M$19,BI41&gt;TABLERO!$M$19,BG41=0,BH41=0,BI41=0),2,1)</f>
        <v>2</v>
      </c>
      <c r="B41" s="47" t="str">
        <f>TABLERO!B41&amp;IF(TABLERO!C41="","",","&amp;TABLERO!C41)&amp;IF(TABLERO!D41="","",","&amp;TABLERO!D41)</f>
        <v/>
      </c>
      <c r="C41" s="42" t="str">
        <f>IF(TABLERO!E41=0,"",TABLERO!E41)</f>
        <v/>
      </c>
      <c r="D41" s="562" t="str">
        <f>IF(OR(TABLERO!X41="",TABLERO!X41=0),"",TABLERO!X41)</f>
        <v/>
      </c>
      <c r="E41" s="562" t="str">
        <f>IF(OR(TABLERO!Y41="",TABLERO!Y41=0),"",TABLERO!Y41)</f>
        <v/>
      </c>
      <c r="F41" s="562" t="str">
        <f>IF(OR(TABLERO!Z41="",TABLERO!Z41=0),"",TABLERO!Z41)</f>
        <v/>
      </c>
      <c r="G41" s="562" t="str">
        <f>IF(OR(TABLERO!AA41="",TABLERO!AA41=0),"",TABLERO!AA41)</f>
        <v/>
      </c>
      <c r="H41" s="562" t="str">
        <f>IF(OR(TABLERO!AB41="",TABLERO!AB41=0),"",TABLERO!AB41)</f>
        <v/>
      </c>
      <c r="I41" s="562" t="str">
        <f>IF(OR(TABLERO!AC41="",TABLERO!AC41=0),"",TABLERO!AC41)</f>
        <v/>
      </c>
      <c r="J41" s="562" t="str">
        <f>IF(OR(TABLERO!AD41="",TABLERO!AD41=0),"",TABLERO!AD41)</f>
        <v/>
      </c>
      <c r="K41" s="562" t="str">
        <f>IF(OR(TABLERO!AE41="",TABLERO!AE41=0),"",TABLERO!AE41)</f>
        <v/>
      </c>
      <c r="L41" s="562" t="str">
        <f>IF(OR(TABLERO!AF41="",TABLERO!AF41=0),"",TABLERO!AF41)</f>
        <v/>
      </c>
      <c r="M41" s="562" t="str">
        <f>IF(OR(TABLERO!AG41="",TABLERO!AG41=0),"",TABLERO!AG41)</f>
        <v/>
      </c>
      <c r="N41" s="562" t="str">
        <f>IF(OR(TABLERO!AH41="",TABLERO!AH41=0),"",TABLERO!AH41)</f>
        <v/>
      </c>
      <c r="O41" s="562" t="str">
        <f>IF(OR(TABLERO!AI41="",TABLERO!AI41=0),"",TABLERO!AI41)</f>
        <v/>
      </c>
      <c r="P41" s="562" t="str">
        <f>IF(OR(TABLERO!AJ41="",TABLERO!AJ41=0),"",TABLERO!AJ41)</f>
        <v/>
      </c>
      <c r="Q41" s="562" t="str">
        <f>IF(OR(TABLERO!AK41="",TABLERO!AK41=0),"",TABLERO!AK41)</f>
        <v/>
      </c>
      <c r="R41" s="562" t="str">
        <f>IF(OR(TABLERO!AL41="",TABLERO!AL41=0),"",TABLERO!AL41)</f>
        <v/>
      </c>
      <c r="S41" s="562" t="str">
        <f>IF(OR(TABLERO!AM41="",TABLERO!AM41=0),"",TABLERO!AM41)</f>
        <v/>
      </c>
      <c r="T41" s="562" t="str">
        <f>IF(OR(TABLERO!AN41="",TABLERO!AN41=0),"",TABLERO!AN41)</f>
        <v/>
      </c>
      <c r="U41" s="562" t="str">
        <f>IF(OR(TABLERO!AO41="",TABLERO!AO41=0),"",TABLERO!AO41)</f>
        <v/>
      </c>
      <c r="V41" s="562" t="str">
        <f>IF(OR(TABLERO!AP41="",TABLERO!AP41=0),"",TABLERO!AP41)</f>
        <v/>
      </c>
      <c r="W41" s="562" t="str">
        <f>IF(OR(TABLERO!AQ41="",TABLERO!AQ41=0),"",TABLERO!AQ41)</f>
        <v/>
      </c>
      <c r="X41" s="562" t="str">
        <f>IF(OR(TABLERO!AR41="",TABLERO!AR41=0),"",TABLERO!AR41)</f>
        <v/>
      </c>
      <c r="Y41" s="562" t="str">
        <f>IF(OR(TABLERO!AS41="",TABLERO!AS41=0),"",TABLERO!AS41)</f>
        <v/>
      </c>
      <c r="Z41" s="562" t="str">
        <f>IF(OR(TABLERO!AT41="",TABLERO!AT41=0),"",TABLERO!AT41)</f>
        <v/>
      </c>
      <c r="AA41" s="562" t="str">
        <f>IF(OR(TABLERO!AU41="",TABLERO!AU41=0),"",TABLERO!AU41)</f>
        <v/>
      </c>
      <c r="AB41" s="562" t="str">
        <f>IF(OR(TABLERO!AV41="",TABLERO!AV41=0),"",TABLERO!AV41)</f>
        <v/>
      </c>
      <c r="AC41" s="562" t="str">
        <f>IF(OR(TABLERO!AW41="",TABLERO!AW41=0),"",TABLERO!AW41)</f>
        <v/>
      </c>
      <c r="AD41" s="562" t="str">
        <f>IF(OR(TABLERO!AX41="",TABLERO!AX41=0),"",TABLERO!AX41)</f>
        <v/>
      </c>
      <c r="AE41" s="562" t="str">
        <f>IF(OR(TABLERO!AY41="",TABLERO!AY41=0),"",TABLERO!AY41)</f>
        <v/>
      </c>
      <c r="AF41" s="562" t="str">
        <f>IF(OR(TABLERO!AZ41="",TABLERO!AZ41=0),"",TABLERO!AZ41)</f>
        <v/>
      </c>
      <c r="AG41" s="562" t="str">
        <f>IF(OR(TABLERO!BA41="",TABLERO!BA41=0),"",TABLERO!BA41)</f>
        <v/>
      </c>
      <c r="AH41" s="48" t="str">
        <f>IF(TABLERO!BB41=0,"",IF(TABLERO!$F$17&lt;&gt;"KVA",TABLERO!BB41*1000,TABLERO!BB41*1000/TABLERO!DA41))</f>
        <v/>
      </c>
      <c r="AI41" s="48" t="str">
        <f>IF(TABLERO!BB41=0,"",IF(TABLERO!$F$17&lt;&gt;"KVA",TABLERO!BT41*1000,TABLERO!BT41*1000/TABLERO!DA41))</f>
        <v/>
      </c>
      <c r="AJ41" s="44" t="str">
        <f>IF(OR(TABLERO!BU41="",TABLERO!BU41=0),"",TABLERO!BU41)</f>
        <v/>
      </c>
      <c r="AK41" s="562" t="str">
        <f>IF(TABLERO!BB41=0,"",TABLERO!F41)</f>
        <v/>
      </c>
      <c r="AL41" s="562" t="str">
        <f>IF(TABLERO!BB41=0,"",TABLERO!G41)</f>
        <v/>
      </c>
      <c r="AM41" s="562" t="str">
        <f>IF(TABLERO!BB41=0,"",TABLERO!BV41)</f>
        <v/>
      </c>
      <c r="AN41" s="44" t="str">
        <f>IF(TABLERO!BB41=0,"",TABLERO!K41)</f>
        <v/>
      </c>
      <c r="AO41" s="562" t="str">
        <f>IF(TABLERO!BB41=0,"",TABLERO!J41)</f>
        <v/>
      </c>
      <c r="AP41" s="44" t="str">
        <f>IF(TABLERO!BB41=0,"",TABLERO!CT41)</f>
        <v/>
      </c>
      <c r="AQ41" s="44" t="str">
        <f>IF(TABLERO!BB41=0,"",TABLERO!CS41)</f>
        <v/>
      </c>
      <c r="AR41" s="44" t="str">
        <f>IF(TABLERO!BB41=0,"",TABLERO!CY41)</f>
        <v/>
      </c>
      <c r="AS41" s="562" t="str">
        <f>IF(TABLERO!BB41=0,"",TABLERO!N41)</f>
        <v/>
      </c>
      <c r="AT41" s="1079" t="str">
        <f>IF(TABLERO!BB41=0,"",TABLERO!BX41&amp;" "&amp;TABLERO!ED41&amp;", "&amp;TABLERO!I41)</f>
        <v/>
      </c>
      <c r="AU41" s="1080"/>
      <c r="AV41" s="44" t="str">
        <f>IF(TABLERO!BB41=0,"",TABLERO!BZ41)</f>
        <v/>
      </c>
      <c r="AW41" s="562" t="str">
        <f>IF(TABLERO!BB41=0,"",TABLERO!CA41)</f>
        <v/>
      </c>
      <c r="AX41" s="43" t="str">
        <f>IF(TABLERO!BB41=0,"",TABLERO!CB41)</f>
        <v/>
      </c>
      <c r="AY41" s="44" t="str">
        <f>IF(TABLERO!BB41=0,"",TABLERO!DL41)</f>
        <v/>
      </c>
      <c r="AZ41" s="576" t="str">
        <f>IF(OR(TABLERO!BB41=0,TABLERO!H41="RE"),"",TABLERO!F41&amp;"P-"&amp;TABLERO!BW41&amp;"A")</f>
        <v/>
      </c>
      <c r="BA41" s="44" t="str">
        <f>IF(TABLERO!BB41=0,"",TABLERO!CI41)</f>
        <v/>
      </c>
      <c r="BB41" s="44" t="str">
        <f>IF(TABLERO!BB41=0,"",TABLERO!CJ41)</f>
        <v/>
      </c>
      <c r="BC41" s="49" t="str">
        <f>IF(TABLERO!BB41=0,"",TABLERO!CK41)</f>
        <v/>
      </c>
      <c r="BG41" s="46">
        <f>IF(TABLERO!B41="",0,TABLERO!B41)</f>
        <v>0</v>
      </c>
      <c r="BH41" s="46">
        <f>IF(TABLERO!C41="",BG41,TABLERO!C41)</f>
        <v>0</v>
      </c>
      <c r="BI41" s="46">
        <f>IF(TABLERO!D41="",BG41,TABLERO!D41)</f>
        <v>0</v>
      </c>
      <c r="BJ41" s="50">
        <f t="shared" si="1"/>
        <v>0</v>
      </c>
    </row>
    <row r="42" spans="1:62">
      <c r="A42" s="46">
        <f>IF(OR(BG42&gt;TABLERO!$M$19,BH42&gt;TABLERO!$M$19,BI42&gt;TABLERO!$M$19,BG42=0,BH42=0,BI42=0),2,1)</f>
        <v>2</v>
      </c>
      <c r="B42" s="47" t="str">
        <f>TABLERO!B42&amp;IF(TABLERO!C42="","",","&amp;TABLERO!C42)&amp;IF(TABLERO!D42="","",","&amp;TABLERO!D42)</f>
        <v/>
      </c>
      <c r="C42" s="42" t="str">
        <f>IF(TABLERO!E42=0,"",TABLERO!E42)</f>
        <v/>
      </c>
      <c r="D42" s="562" t="str">
        <f>IF(OR(TABLERO!X42="",TABLERO!X42=0),"",TABLERO!X42)</f>
        <v/>
      </c>
      <c r="E42" s="562" t="str">
        <f>IF(OR(TABLERO!Y42="",TABLERO!Y42=0),"",TABLERO!Y42)</f>
        <v/>
      </c>
      <c r="F42" s="562" t="str">
        <f>IF(OR(TABLERO!Z42="",TABLERO!Z42=0),"",TABLERO!Z42)</f>
        <v/>
      </c>
      <c r="G42" s="562" t="str">
        <f>IF(OR(TABLERO!AA42="",TABLERO!AA42=0),"",TABLERO!AA42)</f>
        <v/>
      </c>
      <c r="H42" s="562" t="str">
        <f>IF(OR(TABLERO!AB42="",TABLERO!AB42=0),"",TABLERO!AB42)</f>
        <v/>
      </c>
      <c r="I42" s="562" t="str">
        <f>IF(OR(TABLERO!AC42="",TABLERO!AC42=0),"",TABLERO!AC42)</f>
        <v/>
      </c>
      <c r="J42" s="562" t="str">
        <f>IF(OR(TABLERO!AD42="",TABLERO!AD42=0),"",TABLERO!AD42)</f>
        <v/>
      </c>
      <c r="K42" s="562" t="str">
        <f>IF(OR(TABLERO!AE42="",TABLERO!AE42=0),"",TABLERO!AE42)</f>
        <v/>
      </c>
      <c r="L42" s="562" t="str">
        <f>IF(OR(TABLERO!AF42="",TABLERO!AF42=0),"",TABLERO!AF42)</f>
        <v/>
      </c>
      <c r="M42" s="562" t="str">
        <f>IF(OR(TABLERO!AG42="",TABLERO!AG42=0),"",TABLERO!AG42)</f>
        <v/>
      </c>
      <c r="N42" s="562" t="str">
        <f>IF(OR(TABLERO!AH42="",TABLERO!AH42=0),"",TABLERO!AH42)</f>
        <v/>
      </c>
      <c r="O42" s="562" t="str">
        <f>IF(OR(TABLERO!AI42="",TABLERO!AI42=0),"",TABLERO!AI42)</f>
        <v/>
      </c>
      <c r="P42" s="562" t="str">
        <f>IF(OR(TABLERO!AJ42="",TABLERO!AJ42=0),"",TABLERO!AJ42)</f>
        <v/>
      </c>
      <c r="Q42" s="562" t="str">
        <f>IF(OR(TABLERO!AK42="",TABLERO!AK42=0),"",TABLERO!AK42)</f>
        <v/>
      </c>
      <c r="R42" s="562" t="str">
        <f>IF(OR(TABLERO!AL42="",TABLERO!AL42=0),"",TABLERO!AL42)</f>
        <v/>
      </c>
      <c r="S42" s="562" t="str">
        <f>IF(OR(TABLERO!AM42="",TABLERO!AM42=0),"",TABLERO!AM42)</f>
        <v/>
      </c>
      <c r="T42" s="562" t="str">
        <f>IF(OR(TABLERO!AN42="",TABLERO!AN42=0),"",TABLERO!AN42)</f>
        <v/>
      </c>
      <c r="U42" s="562" t="str">
        <f>IF(OR(TABLERO!AO42="",TABLERO!AO42=0),"",TABLERO!AO42)</f>
        <v/>
      </c>
      <c r="V42" s="562" t="str">
        <f>IF(OR(TABLERO!AP42="",TABLERO!AP42=0),"",TABLERO!AP42)</f>
        <v/>
      </c>
      <c r="W42" s="562" t="str">
        <f>IF(OR(TABLERO!AQ42="",TABLERO!AQ42=0),"",TABLERO!AQ42)</f>
        <v/>
      </c>
      <c r="X42" s="562" t="str">
        <f>IF(OR(TABLERO!AR42="",TABLERO!AR42=0),"",TABLERO!AR42)</f>
        <v/>
      </c>
      <c r="Y42" s="562" t="str">
        <f>IF(OR(TABLERO!AS42="",TABLERO!AS42=0),"",TABLERO!AS42)</f>
        <v/>
      </c>
      <c r="Z42" s="562" t="str">
        <f>IF(OR(TABLERO!AT42="",TABLERO!AT42=0),"",TABLERO!AT42)</f>
        <v/>
      </c>
      <c r="AA42" s="562" t="str">
        <f>IF(OR(TABLERO!AU42="",TABLERO!AU42=0),"",TABLERO!AU42)</f>
        <v/>
      </c>
      <c r="AB42" s="562" t="str">
        <f>IF(OR(TABLERO!AV42="",TABLERO!AV42=0),"",TABLERO!AV42)</f>
        <v/>
      </c>
      <c r="AC42" s="562" t="str">
        <f>IF(OR(TABLERO!AW42="",TABLERO!AW42=0),"",TABLERO!AW42)</f>
        <v/>
      </c>
      <c r="AD42" s="562" t="str">
        <f>IF(OR(TABLERO!AX42="",TABLERO!AX42=0),"",TABLERO!AX42)</f>
        <v/>
      </c>
      <c r="AE42" s="562" t="str">
        <f>IF(OR(TABLERO!AY42="",TABLERO!AY42=0),"",TABLERO!AY42)</f>
        <v/>
      </c>
      <c r="AF42" s="562" t="str">
        <f>IF(OR(TABLERO!AZ42="",TABLERO!AZ42=0),"",TABLERO!AZ42)</f>
        <v/>
      </c>
      <c r="AG42" s="562" t="str">
        <f>IF(OR(TABLERO!BA42="",TABLERO!BA42=0),"",TABLERO!BA42)</f>
        <v/>
      </c>
      <c r="AH42" s="48" t="str">
        <f>IF(TABLERO!BB42=0,"",IF(TABLERO!$F$17&lt;&gt;"KVA",TABLERO!BB42*1000,TABLERO!BB42*1000/TABLERO!DA42))</f>
        <v/>
      </c>
      <c r="AI42" s="48" t="str">
        <f>IF(TABLERO!BB42=0,"",IF(TABLERO!$F$17&lt;&gt;"KVA",TABLERO!BT42*1000,TABLERO!BT42*1000/TABLERO!DA42))</f>
        <v/>
      </c>
      <c r="AJ42" s="44" t="str">
        <f>IF(OR(TABLERO!BU42="",TABLERO!BU42=0),"",TABLERO!BU42)</f>
        <v/>
      </c>
      <c r="AK42" s="562" t="str">
        <f>IF(TABLERO!BB42=0,"",TABLERO!F42)</f>
        <v/>
      </c>
      <c r="AL42" s="562" t="str">
        <f>IF(TABLERO!BB42=0,"",TABLERO!G42)</f>
        <v/>
      </c>
      <c r="AM42" s="562" t="str">
        <f>IF(TABLERO!BB42=0,"",TABLERO!BV42)</f>
        <v/>
      </c>
      <c r="AN42" s="44" t="str">
        <f>IF(TABLERO!BB42=0,"",TABLERO!K42)</f>
        <v/>
      </c>
      <c r="AO42" s="562" t="str">
        <f>IF(TABLERO!BB42=0,"",TABLERO!J42)</f>
        <v/>
      </c>
      <c r="AP42" s="44" t="str">
        <f>IF(TABLERO!BB42=0,"",TABLERO!CT42)</f>
        <v/>
      </c>
      <c r="AQ42" s="44" t="str">
        <f>IF(TABLERO!BB42=0,"",TABLERO!CS42)</f>
        <v/>
      </c>
      <c r="AR42" s="44" t="str">
        <f>IF(TABLERO!BB42=0,"",TABLERO!CY42)</f>
        <v/>
      </c>
      <c r="AS42" s="562" t="str">
        <f>IF(TABLERO!BB42=0,"",TABLERO!N42)</f>
        <v/>
      </c>
      <c r="AT42" s="1079" t="str">
        <f>IF(TABLERO!BB42=0,"",TABLERO!BX42&amp;" "&amp;TABLERO!ED42&amp;", "&amp;TABLERO!I42)</f>
        <v/>
      </c>
      <c r="AU42" s="1080"/>
      <c r="AV42" s="44" t="str">
        <f>IF(TABLERO!BB42=0,"",TABLERO!BZ42)</f>
        <v/>
      </c>
      <c r="AW42" s="562" t="str">
        <f>IF(TABLERO!BB42=0,"",TABLERO!CA42)</f>
        <v/>
      </c>
      <c r="AX42" s="43" t="str">
        <f>IF(TABLERO!BB42=0,"",TABLERO!CB42)</f>
        <v/>
      </c>
      <c r="AY42" s="44" t="str">
        <f>IF(TABLERO!BB42=0,"",TABLERO!DL42)</f>
        <v/>
      </c>
      <c r="AZ42" s="576" t="str">
        <f>IF(OR(TABLERO!BB42=0,TABLERO!H42="RE"),"",TABLERO!F42&amp;"P-"&amp;TABLERO!BW42&amp;"A")</f>
        <v/>
      </c>
      <c r="BA42" s="44" t="str">
        <f>IF(TABLERO!BB42=0,"",TABLERO!CI42)</f>
        <v/>
      </c>
      <c r="BB42" s="44" t="str">
        <f>IF(TABLERO!BB42=0,"",TABLERO!CJ42)</f>
        <v/>
      </c>
      <c r="BC42" s="49" t="str">
        <f>IF(TABLERO!BB42=0,"",TABLERO!CK42)</f>
        <v/>
      </c>
      <c r="BG42" s="46">
        <f>IF(TABLERO!B42="",0,TABLERO!B42)</f>
        <v>0</v>
      </c>
      <c r="BH42" s="46">
        <f>IF(TABLERO!C42="",BG42,TABLERO!C42)</f>
        <v>0</v>
      </c>
      <c r="BI42" s="46">
        <f>IF(TABLERO!D42="",BG42,TABLERO!D42)</f>
        <v>0</v>
      </c>
      <c r="BJ42" s="50">
        <f t="shared" si="1"/>
        <v>0</v>
      </c>
    </row>
    <row r="43" spans="1:62">
      <c r="A43" s="46">
        <f>IF(OR(BG43&gt;TABLERO!$M$19,BH43&gt;TABLERO!$M$19,BI43&gt;TABLERO!$M$19,BG43=0,BH43=0,BI43=0),2,1)</f>
        <v>2</v>
      </c>
      <c r="B43" s="47" t="str">
        <f>TABLERO!B43&amp;IF(TABLERO!C43="","",","&amp;TABLERO!C43)&amp;IF(TABLERO!D43="","",","&amp;TABLERO!D43)</f>
        <v/>
      </c>
      <c r="C43" s="42" t="str">
        <f>IF(TABLERO!E43=0,"",TABLERO!E43)</f>
        <v/>
      </c>
      <c r="D43" s="562" t="str">
        <f>IF(OR(TABLERO!X43="",TABLERO!X43=0),"",TABLERO!X43)</f>
        <v/>
      </c>
      <c r="E43" s="562" t="str">
        <f>IF(OR(TABLERO!Y43="",TABLERO!Y43=0),"",TABLERO!Y43)</f>
        <v/>
      </c>
      <c r="F43" s="562" t="str">
        <f>IF(OR(TABLERO!Z43="",TABLERO!Z43=0),"",TABLERO!Z43)</f>
        <v/>
      </c>
      <c r="G43" s="562" t="str">
        <f>IF(OR(TABLERO!AA43="",TABLERO!AA43=0),"",TABLERO!AA43)</f>
        <v/>
      </c>
      <c r="H43" s="562" t="str">
        <f>IF(OR(TABLERO!AB43="",TABLERO!AB43=0),"",TABLERO!AB43)</f>
        <v/>
      </c>
      <c r="I43" s="562" t="str">
        <f>IF(OR(TABLERO!AC43="",TABLERO!AC43=0),"",TABLERO!AC43)</f>
        <v/>
      </c>
      <c r="J43" s="562" t="str">
        <f>IF(OR(TABLERO!AD43="",TABLERO!AD43=0),"",TABLERO!AD43)</f>
        <v/>
      </c>
      <c r="K43" s="562" t="str">
        <f>IF(OR(TABLERO!AE43="",TABLERO!AE43=0),"",TABLERO!AE43)</f>
        <v/>
      </c>
      <c r="L43" s="562" t="str">
        <f>IF(OR(TABLERO!AF43="",TABLERO!AF43=0),"",TABLERO!AF43)</f>
        <v/>
      </c>
      <c r="M43" s="562" t="str">
        <f>IF(OR(TABLERO!AG43="",TABLERO!AG43=0),"",TABLERO!AG43)</f>
        <v/>
      </c>
      <c r="N43" s="562" t="str">
        <f>IF(OR(TABLERO!AH43="",TABLERO!AH43=0),"",TABLERO!AH43)</f>
        <v/>
      </c>
      <c r="O43" s="562" t="str">
        <f>IF(OR(TABLERO!AI43="",TABLERO!AI43=0),"",TABLERO!AI43)</f>
        <v/>
      </c>
      <c r="P43" s="562" t="str">
        <f>IF(OR(TABLERO!AJ43="",TABLERO!AJ43=0),"",TABLERO!AJ43)</f>
        <v/>
      </c>
      <c r="Q43" s="562" t="str">
        <f>IF(OR(TABLERO!AK43="",TABLERO!AK43=0),"",TABLERO!AK43)</f>
        <v/>
      </c>
      <c r="R43" s="562" t="str">
        <f>IF(OR(TABLERO!AL43="",TABLERO!AL43=0),"",TABLERO!AL43)</f>
        <v/>
      </c>
      <c r="S43" s="562" t="str">
        <f>IF(OR(TABLERO!AM43="",TABLERO!AM43=0),"",TABLERO!AM43)</f>
        <v/>
      </c>
      <c r="T43" s="562" t="str">
        <f>IF(OR(TABLERO!AN43="",TABLERO!AN43=0),"",TABLERO!AN43)</f>
        <v/>
      </c>
      <c r="U43" s="562" t="str">
        <f>IF(OR(TABLERO!AO43="",TABLERO!AO43=0),"",TABLERO!AO43)</f>
        <v/>
      </c>
      <c r="V43" s="562" t="str">
        <f>IF(OR(TABLERO!AP43="",TABLERO!AP43=0),"",TABLERO!AP43)</f>
        <v/>
      </c>
      <c r="W43" s="562" t="str">
        <f>IF(OR(TABLERO!AQ43="",TABLERO!AQ43=0),"",TABLERO!AQ43)</f>
        <v/>
      </c>
      <c r="X43" s="562" t="str">
        <f>IF(OR(TABLERO!AR43="",TABLERO!AR43=0),"",TABLERO!AR43)</f>
        <v/>
      </c>
      <c r="Y43" s="562" t="str">
        <f>IF(OR(TABLERO!AS43="",TABLERO!AS43=0),"",TABLERO!AS43)</f>
        <v/>
      </c>
      <c r="Z43" s="562" t="str">
        <f>IF(OR(TABLERO!AT43="",TABLERO!AT43=0),"",TABLERO!AT43)</f>
        <v/>
      </c>
      <c r="AA43" s="562" t="str">
        <f>IF(OR(TABLERO!AU43="",TABLERO!AU43=0),"",TABLERO!AU43)</f>
        <v/>
      </c>
      <c r="AB43" s="562" t="str">
        <f>IF(OR(TABLERO!AV43="",TABLERO!AV43=0),"",TABLERO!AV43)</f>
        <v/>
      </c>
      <c r="AC43" s="562" t="str">
        <f>IF(OR(TABLERO!AW43="",TABLERO!AW43=0),"",TABLERO!AW43)</f>
        <v/>
      </c>
      <c r="AD43" s="562" t="str">
        <f>IF(OR(TABLERO!AX43="",TABLERO!AX43=0),"",TABLERO!AX43)</f>
        <v/>
      </c>
      <c r="AE43" s="562" t="str">
        <f>IF(OR(TABLERO!AY43="",TABLERO!AY43=0),"",TABLERO!AY43)</f>
        <v/>
      </c>
      <c r="AF43" s="562" t="str">
        <f>IF(OR(TABLERO!AZ43="",TABLERO!AZ43=0),"",TABLERO!AZ43)</f>
        <v/>
      </c>
      <c r="AG43" s="562" t="str">
        <f>IF(OR(TABLERO!BA43="",TABLERO!BA43=0),"",TABLERO!BA43)</f>
        <v/>
      </c>
      <c r="AH43" s="48" t="str">
        <f>IF(TABLERO!BB43=0,"",IF(TABLERO!$F$17&lt;&gt;"KVA",TABLERO!BB43*1000,TABLERO!BB43*1000/TABLERO!DA43))</f>
        <v/>
      </c>
      <c r="AI43" s="48" t="str">
        <f>IF(TABLERO!BB43=0,"",IF(TABLERO!$F$17&lt;&gt;"KVA",TABLERO!BT43*1000,TABLERO!BT43*1000/TABLERO!DA43))</f>
        <v/>
      </c>
      <c r="AJ43" s="44" t="str">
        <f>IF(OR(TABLERO!BU43="",TABLERO!BU43=0),"",TABLERO!BU43)</f>
        <v/>
      </c>
      <c r="AK43" s="562" t="str">
        <f>IF(TABLERO!BB43=0,"",TABLERO!F43)</f>
        <v/>
      </c>
      <c r="AL43" s="562" t="str">
        <f>IF(TABLERO!BB43=0,"",TABLERO!G43)</f>
        <v/>
      </c>
      <c r="AM43" s="562" t="str">
        <f>IF(TABLERO!BB43=0,"",TABLERO!BV43)</f>
        <v/>
      </c>
      <c r="AN43" s="44" t="str">
        <f>IF(TABLERO!BB43=0,"",TABLERO!K43)</f>
        <v/>
      </c>
      <c r="AO43" s="562" t="str">
        <f>IF(TABLERO!BB43=0,"",TABLERO!J43)</f>
        <v/>
      </c>
      <c r="AP43" s="44" t="str">
        <f>IF(TABLERO!BB43=0,"",TABLERO!CT43)</f>
        <v/>
      </c>
      <c r="AQ43" s="44" t="str">
        <f>IF(TABLERO!BB43=0,"",TABLERO!CS43)</f>
        <v/>
      </c>
      <c r="AR43" s="44" t="str">
        <f>IF(TABLERO!BB43=0,"",TABLERO!CY43)</f>
        <v/>
      </c>
      <c r="AS43" s="562" t="str">
        <f>IF(TABLERO!BB43=0,"",TABLERO!N43)</f>
        <v/>
      </c>
      <c r="AT43" s="1079" t="str">
        <f>IF(TABLERO!BB43=0,"",TABLERO!BX43&amp;" "&amp;TABLERO!ED43&amp;", "&amp;TABLERO!I43)</f>
        <v/>
      </c>
      <c r="AU43" s="1080"/>
      <c r="AV43" s="44" t="str">
        <f>IF(TABLERO!BB43=0,"",TABLERO!BZ43)</f>
        <v/>
      </c>
      <c r="AW43" s="562" t="str">
        <f>IF(TABLERO!BB43=0,"",TABLERO!CA43)</f>
        <v/>
      </c>
      <c r="AX43" s="43" t="str">
        <f>IF(TABLERO!BB43=0,"",TABLERO!CB43)</f>
        <v/>
      </c>
      <c r="AY43" s="44" t="str">
        <f>IF(TABLERO!BB43=0,"",TABLERO!DL43)</f>
        <v/>
      </c>
      <c r="AZ43" s="576" t="str">
        <f>IF(OR(TABLERO!BB43=0,TABLERO!H43="RE"),"",TABLERO!F43&amp;"P-"&amp;TABLERO!BW43&amp;"A")</f>
        <v/>
      </c>
      <c r="BA43" s="44" t="str">
        <f>IF(TABLERO!BB43=0,"",TABLERO!CI43)</f>
        <v/>
      </c>
      <c r="BB43" s="44" t="str">
        <f>IF(TABLERO!BB43=0,"",TABLERO!CJ43)</f>
        <v/>
      </c>
      <c r="BC43" s="49" t="str">
        <f>IF(TABLERO!BB43=0,"",TABLERO!CK43)</f>
        <v/>
      </c>
      <c r="BG43" s="46">
        <f>IF(TABLERO!B43="",0,TABLERO!B43)</f>
        <v>0</v>
      </c>
      <c r="BH43" s="46">
        <f>IF(TABLERO!C43="",BG43,TABLERO!C43)</f>
        <v>0</v>
      </c>
      <c r="BI43" s="46">
        <f>IF(TABLERO!D43="",BG43,TABLERO!D43)</f>
        <v>0</v>
      </c>
      <c r="BJ43" s="50">
        <f t="shared" si="1"/>
        <v>0</v>
      </c>
    </row>
    <row r="44" spans="1:62">
      <c r="A44" s="46">
        <f>IF(OR(BG44&gt;TABLERO!$M$19,BH44&gt;TABLERO!$M$19,BI44&gt;TABLERO!$M$19,BG44=0,BH44=0,BI44=0),2,1)</f>
        <v>2</v>
      </c>
      <c r="B44" s="47" t="str">
        <f>TABLERO!B44&amp;IF(TABLERO!C44="","",","&amp;TABLERO!C44)&amp;IF(TABLERO!D44="","",","&amp;TABLERO!D44)</f>
        <v/>
      </c>
      <c r="C44" s="42" t="str">
        <f>IF(TABLERO!E44=0,"",TABLERO!E44)</f>
        <v/>
      </c>
      <c r="D44" s="562" t="str">
        <f>IF(OR(TABLERO!X44="",TABLERO!X44=0),"",TABLERO!X44)</f>
        <v/>
      </c>
      <c r="E44" s="562" t="str">
        <f>IF(OR(TABLERO!Y44="",TABLERO!Y44=0),"",TABLERO!Y44)</f>
        <v/>
      </c>
      <c r="F44" s="562" t="str">
        <f>IF(OR(TABLERO!Z44="",TABLERO!Z44=0),"",TABLERO!Z44)</f>
        <v/>
      </c>
      <c r="G44" s="562" t="str">
        <f>IF(OR(TABLERO!AA44="",TABLERO!AA44=0),"",TABLERO!AA44)</f>
        <v/>
      </c>
      <c r="H44" s="562" t="str">
        <f>IF(OR(TABLERO!AB44="",TABLERO!AB44=0),"",TABLERO!AB44)</f>
        <v/>
      </c>
      <c r="I44" s="562" t="str">
        <f>IF(OR(TABLERO!AC44="",TABLERO!AC44=0),"",TABLERO!AC44)</f>
        <v/>
      </c>
      <c r="J44" s="562" t="str">
        <f>IF(OR(TABLERO!AD44="",TABLERO!AD44=0),"",TABLERO!AD44)</f>
        <v/>
      </c>
      <c r="K44" s="562" t="str">
        <f>IF(OR(TABLERO!AE44="",TABLERO!AE44=0),"",TABLERO!AE44)</f>
        <v/>
      </c>
      <c r="L44" s="562" t="str">
        <f>IF(OR(TABLERO!AF44="",TABLERO!AF44=0),"",TABLERO!AF44)</f>
        <v/>
      </c>
      <c r="M44" s="562" t="str">
        <f>IF(OR(TABLERO!AG44="",TABLERO!AG44=0),"",TABLERO!AG44)</f>
        <v/>
      </c>
      <c r="N44" s="562" t="str">
        <f>IF(OR(TABLERO!AH44="",TABLERO!AH44=0),"",TABLERO!AH44)</f>
        <v/>
      </c>
      <c r="O44" s="562" t="str">
        <f>IF(OR(TABLERO!AI44="",TABLERO!AI44=0),"",TABLERO!AI44)</f>
        <v/>
      </c>
      <c r="P44" s="562" t="str">
        <f>IF(OR(TABLERO!AJ44="",TABLERO!AJ44=0),"",TABLERO!AJ44)</f>
        <v/>
      </c>
      <c r="Q44" s="562" t="str">
        <f>IF(OR(TABLERO!AK44="",TABLERO!AK44=0),"",TABLERO!AK44)</f>
        <v/>
      </c>
      <c r="R44" s="562" t="str">
        <f>IF(OR(TABLERO!AL44="",TABLERO!AL44=0),"",TABLERO!AL44)</f>
        <v/>
      </c>
      <c r="S44" s="562" t="str">
        <f>IF(OR(TABLERO!AM44="",TABLERO!AM44=0),"",TABLERO!AM44)</f>
        <v/>
      </c>
      <c r="T44" s="562" t="str">
        <f>IF(OR(TABLERO!AN44="",TABLERO!AN44=0),"",TABLERO!AN44)</f>
        <v/>
      </c>
      <c r="U44" s="562" t="str">
        <f>IF(OR(TABLERO!AO44="",TABLERO!AO44=0),"",TABLERO!AO44)</f>
        <v/>
      </c>
      <c r="V44" s="562" t="str">
        <f>IF(OR(TABLERO!AP44="",TABLERO!AP44=0),"",TABLERO!AP44)</f>
        <v/>
      </c>
      <c r="W44" s="562" t="str">
        <f>IF(OR(TABLERO!AQ44="",TABLERO!AQ44=0),"",TABLERO!AQ44)</f>
        <v/>
      </c>
      <c r="X44" s="562" t="str">
        <f>IF(OR(TABLERO!AR44="",TABLERO!AR44=0),"",TABLERO!AR44)</f>
        <v/>
      </c>
      <c r="Y44" s="562" t="str">
        <f>IF(OR(TABLERO!AS44="",TABLERO!AS44=0),"",TABLERO!AS44)</f>
        <v/>
      </c>
      <c r="Z44" s="562" t="str">
        <f>IF(OR(TABLERO!AT44="",TABLERO!AT44=0),"",TABLERO!AT44)</f>
        <v/>
      </c>
      <c r="AA44" s="562" t="str">
        <f>IF(OR(TABLERO!AU44="",TABLERO!AU44=0),"",TABLERO!AU44)</f>
        <v/>
      </c>
      <c r="AB44" s="562" t="str">
        <f>IF(OR(TABLERO!AV44="",TABLERO!AV44=0),"",TABLERO!AV44)</f>
        <v/>
      </c>
      <c r="AC44" s="562" t="str">
        <f>IF(OR(TABLERO!AW44="",TABLERO!AW44=0),"",TABLERO!AW44)</f>
        <v/>
      </c>
      <c r="AD44" s="562" t="str">
        <f>IF(OR(TABLERO!AX44="",TABLERO!AX44=0),"",TABLERO!AX44)</f>
        <v/>
      </c>
      <c r="AE44" s="562" t="str">
        <f>IF(OR(TABLERO!AY44="",TABLERO!AY44=0),"",TABLERO!AY44)</f>
        <v/>
      </c>
      <c r="AF44" s="562" t="str">
        <f>IF(OR(TABLERO!AZ44="",TABLERO!AZ44=0),"",TABLERO!AZ44)</f>
        <v/>
      </c>
      <c r="AG44" s="562" t="str">
        <f>IF(OR(TABLERO!BA44="",TABLERO!BA44=0),"",TABLERO!BA44)</f>
        <v/>
      </c>
      <c r="AH44" s="48" t="str">
        <f>IF(TABLERO!BB44=0,"",IF(TABLERO!$F$17&lt;&gt;"KVA",TABLERO!BB44*1000,TABLERO!BB44*1000/TABLERO!DA44))</f>
        <v/>
      </c>
      <c r="AI44" s="48" t="str">
        <f>IF(TABLERO!BB44=0,"",IF(TABLERO!$F$17&lt;&gt;"KVA",TABLERO!BT44*1000,TABLERO!BT44*1000/TABLERO!DA44))</f>
        <v/>
      </c>
      <c r="AJ44" s="44" t="str">
        <f>IF(OR(TABLERO!BU44="",TABLERO!BU44=0),"",TABLERO!BU44)</f>
        <v/>
      </c>
      <c r="AK44" s="562" t="str">
        <f>IF(TABLERO!BB44=0,"",TABLERO!F44)</f>
        <v/>
      </c>
      <c r="AL44" s="562" t="str">
        <f>IF(TABLERO!BB44=0,"",TABLERO!G44)</f>
        <v/>
      </c>
      <c r="AM44" s="562" t="str">
        <f>IF(TABLERO!BB44=0,"",TABLERO!BV44)</f>
        <v/>
      </c>
      <c r="AN44" s="44" t="str">
        <f>IF(TABLERO!BB44=0,"",TABLERO!K44)</f>
        <v/>
      </c>
      <c r="AO44" s="562" t="str">
        <f>IF(TABLERO!BB44=0,"",TABLERO!J44)</f>
        <v/>
      </c>
      <c r="AP44" s="44" t="str">
        <f>IF(TABLERO!BB44=0,"",TABLERO!CT44)</f>
        <v/>
      </c>
      <c r="AQ44" s="44" t="str">
        <f>IF(TABLERO!BB44=0,"",TABLERO!CS44)</f>
        <v/>
      </c>
      <c r="AR44" s="44" t="str">
        <f>IF(TABLERO!BB44=0,"",TABLERO!CY44)</f>
        <v/>
      </c>
      <c r="AS44" s="562" t="str">
        <f>IF(TABLERO!BB44=0,"",TABLERO!N44)</f>
        <v/>
      </c>
      <c r="AT44" s="1079" t="str">
        <f>IF(TABLERO!BB44=0,"",TABLERO!BX44&amp;" "&amp;TABLERO!ED44&amp;", "&amp;TABLERO!I44)</f>
        <v/>
      </c>
      <c r="AU44" s="1080"/>
      <c r="AV44" s="44" t="str">
        <f>IF(TABLERO!BB44=0,"",TABLERO!BZ44)</f>
        <v/>
      </c>
      <c r="AW44" s="562" t="str">
        <f>IF(TABLERO!BB44=0,"",TABLERO!CA44)</f>
        <v/>
      </c>
      <c r="AX44" s="43" t="str">
        <f>IF(TABLERO!BB44=0,"",TABLERO!CB44)</f>
        <v/>
      </c>
      <c r="AY44" s="44" t="str">
        <f>IF(TABLERO!BB44=0,"",TABLERO!DL44)</f>
        <v/>
      </c>
      <c r="AZ44" s="576" t="str">
        <f>IF(OR(TABLERO!BB44=0,TABLERO!H44="RE"),"",TABLERO!F44&amp;"P-"&amp;TABLERO!BW44&amp;"A")</f>
        <v/>
      </c>
      <c r="BA44" s="44" t="str">
        <f>IF(TABLERO!BB44=0,"",TABLERO!CI44)</f>
        <v/>
      </c>
      <c r="BB44" s="44" t="str">
        <f>IF(TABLERO!BB44=0,"",TABLERO!CJ44)</f>
        <v/>
      </c>
      <c r="BC44" s="49" t="str">
        <f>IF(TABLERO!BB44=0,"",TABLERO!CK44)</f>
        <v/>
      </c>
      <c r="BG44" s="46">
        <f>IF(TABLERO!B44="",0,TABLERO!B44)</f>
        <v>0</v>
      </c>
      <c r="BH44" s="46">
        <f>IF(TABLERO!C44="",BG44,TABLERO!C44)</f>
        <v>0</v>
      </c>
      <c r="BI44" s="46">
        <f>IF(TABLERO!D44="",BG44,TABLERO!D44)</f>
        <v>0</v>
      </c>
      <c r="BJ44" s="50">
        <f t="shared" si="1"/>
        <v>0</v>
      </c>
    </row>
    <row r="45" spans="1:62">
      <c r="A45" s="46">
        <f>IF(OR(BG45&gt;TABLERO!$M$19,BH45&gt;TABLERO!$M$19,BI45&gt;TABLERO!$M$19,BG45=0,BH45=0,BI45=0),2,1)</f>
        <v>2</v>
      </c>
      <c r="B45" s="47" t="str">
        <f>TABLERO!B45&amp;IF(TABLERO!C45="","",","&amp;TABLERO!C45)&amp;IF(TABLERO!D45="","",","&amp;TABLERO!D45)</f>
        <v/>
      </c>
      <c r="C45" s="42" t="str">
        <f>IF(TABLERO!E45=0,"",TABLERO!E45)</f>
        <v/>
      </c>
      <c r="D45" s="562" t="str">
        <f>IF(OR(TABLERO!X45="",TABLERO!X45=0),"",TABLERO!X45)</f>
        <v/>
      </c>
      <c r="E45" s="562" t="str">
        <f>IF(OR(TABLERO!Y45="",TABLERO!Y45=0),"",TABLERO!Y45)</f>
        <v/>
      </c>
      <c r="F45" s="562" t="str">
        <f>IF(OR(TABLERO!Z45="",TABLERO!Z45=0),"",TABLERO!Z45)</f>
        <v/>
      </c>
      <c r="G45" s="562" t="str">
        <f>IF(OR(TABLERO!AA45="",TABLERO!AA45=0),"",TABLERO!AA45)</f>
        <v/>
      </c>
      <c r="H45" s="562" t="str">
        <f>IF(OR(TABLERO!AB45="",TABLERO!AB45=0),"",TABLERO!AB45)</f>
        <v/>
      </c>
      <c r="I45" s="562" t="str">
        <f>IF(OR(TABLERO!AC45="",TABLERO!AC45=0),"",TABLERO!AC45)</f>
        <v/>
      </c>
      <c r="J45" s="562" t="str">
        <f>IF(OR(TABLERO!AD45="",TABLERO!AD45=0),"",TABLERO!AD45)</f>
        <v/>
      </c>
      <c r="K45" s="562" t="str">
        <f>IF(OR(TABLERO!AE45="",TABLERO!AE45=0),"",TABLERO!AE45)</f>
        <v/>
      </c>
      <c r="L45" s="562" t="str">
        <f>IF(OR(TABLERO!AF45="",TABLERO!AF45=0),"",TABLERO!AF45)</f>
        <v/>
      </c>
      <c r="M45" s="562" t="str">
        <f>IF(OR(TABLERO!AG45="",TABLERO!AG45=0),"",TABLERO!AG45)</f>
        <v/>
      </c>
      <c r="N45" s="562" t="str">
        <f>IF(OR(TABLERO!AH45="",TABLERO!AH45=0),"",TABLERO!AH45)</f>
        <v/>
      </c>
      <c r="O45" s="562" t="str">
        <f>IF(OR(TABLERO!AI45="",TABLERO!AI45=0),"",TABLERO!AI45)</f>
        <v/>
      </c>
      <c r="P45" s="562" t="str">
        <f>IF(OR(TABLERO!AJ45="",TABLERO!AJ45=0),"",TABLERO!AJ45)</f>
        <v/>
      </c>
      <c r="Q45" s="562" t="str">
        <f>IF(OR(TABLERO!AK45="",TABLERO!AK45=0),"",TABLERO!AK45)</f>
        <v/>
      </c>
      <c r="R45" s="562" t="str">
        <f>IF(OR(TABLERO!AL45="",TABLERO!AL45=0),"",TABLERO!AL45)</f>
        <v/>
      </c>
      <c r="S45" s="562" t="str">
        <f>IF(OR(TABLERO!AM45="",TABLERO!AM45=0),"",TABLERO!AM45)</f>
        <v/>
      </c>
      <c r="T45" s="562" t="str">
        <f>IF(OR(TABLERO!AN45="",TABLERO!AN45=0),"",TABLERO!AN45)</f>
        <v/>
      </c>
      <c r="U45" s="562" t="str">
        <f>IF(OR(TABLERO!AO45="",TABLERO!AO45=0),"",TABLERO!AO45)</f>
        <v/>
      </c>
      <c r="V45" s="562" t="str">
        <f>IF(OR(TABLERO!AP45="",TABLERO!AP45=0),"",TABLERO!AP45)</f>
        <v/>
      </c>
      <c r="W45" s="562" t="str">
        <f>IF(OR(TABLERO!AQ45="",TABLERO!AQ45=0),"",TABLERO!AQ45)</f>
        <v/>
      </c>
      <c r="X45" s="562" t="str">
        <f>IF(OR(TABLERO!AR45="",TABLERO!AR45=0),"",TABLERO!AR45)</f>
        <v/>
      </c>
      <c r="Y45" s="562" t="str">
        <f>IF(OR(TABLERO!AS45="",TABLERO!AS45=0),"",TABLERO!AS45)</f>
        <v/>
      </c>
      <c r="Z45" s="562" t="str">
        <f>IF(OR(TABLERO!AT45="",TABLERO!AT45=0),"",TABLERO!AT45)</f>
        <v/>
      </c>
      <c r="AA45" s="562" t="str">
        <f>IF(OR(TABLERO!AU45="",TABLERO!AU45=0),"",TABLERO!AU45)</f>
        <v/>
      </c>
      <c r="AB45" s="562" t="str">
        <f>IF(OR(TABLERO!AV45="",TABLERO!AV45=0),"",TABLERO!AV45)</f>
        <v/>
      </c>
      <c r="AC45" s="562" t="str">
        <f>IF(OR(TABLERO!AW45="",TABLERO!AW45=0),"",TABLERO!AW45)</f>
        <v/>
      </c>
      <c r="AD45" s="562" t="str">
        <f>IF(OR(TABLERO!AX45="",TABLERO!AX45=0),"",TABLERO!AX45)</f>
        <v/>
      </c>
      <c r="AE45" s="562" t="str">
        <f>IF(OR(TABLERO!AY45="",TABLERO!AY45=0),"",TABLERO!AY45)</f>
        <v/>
      </c>
      <c r="AF45" s="562" t="str">
        <f>IF(OR(TABLERO!AZ45="",TABLERO!AZ45=0),"",TABLERO!AZ45)</f>
        <v/>
      </c>
      <c r="AG45" s="562" t="str">
        <f>IF(OR(TABLERO!BA45="",TABLERO!BA45=0),"",TABLERO!BA45)</f>
        <v/>
      </c>
      <c r="AH45" s="48" t="str">
        <f>IF(TABLERO!BB45=0,"",IF(TABLERO!$F$17&lt;&gt;"KVA",TABLERO!BB45*1000,TABLERO!BB45*1000/TABLERO!DA45))</f>
        <v/>
      </c>
      <c r="AI45" s="48" t="str">
        <f>IF(TABLERO!BB45=0,"",IF(TABLERO!$F$17&lt;&gt;"KVA",TABLERO!BT45*1000,TABLERO!BT45*1000/TABLERO!DA45))</f>
        <v/>
      </c>
      <c r="AJ45" s="44" t="str">
        <f>IF(OR(TABLERO!BU45="",TABLERO!BU45=0),"",TABLERO!BU45)</f>
        <v/>
      </c>
      <c r="AK45" s="562" t="str">
        <f>IF(TABLERO!BB45=0,"",TABLERO!F45)</f>
        <v/>
      </c>
      <c r="AL45" s="562" t="str">
        <f>IF(TABLERO!BB45=0,"",TABLERO!G45)</f>
        <v/>
      </c>
      <c r="AM45" s="562" t="str">
        <f>IF(TABLERO!BB45=0,"",TABLERO!BV45)</f>
        <v/>
      </c>
      <c r="AN45" s="44" t="str">
        <f>IF(TABLERO!BB45=0,"",TABLERO!K45)</f>
        <v/>
      </c>
      <c r="AO45" s="562" t="str">
        <f>IF(TABLERO!BB45=0,"",TABLERO!J45)</f>
        <v/>
      </c>
      <c r="AP45" s="44" t="str">
        <f>IF(TABLERO!BB45=0,"",TABLERO!CT45)</f>
        <v/>
      </c>
      <c r="AQ45" s="44" t="str">
        <f>IF(TABLERO!BB45=0,"",TABLERO!CS45)</f>
        <v/>
      </c>
      <c r="AR45" s="44" t="str">
        <f>IF(TABLERO!BB45=0,"",TABLERO!CY45)</f>
        <v/>
      </c>
      <c r="AS45" s="562" t="str">
        <f>IF(TABLERO!BB45=0,"",TABLERO!N45)</f>
        <v/>
      </c>
      <c r="AT45" s="1079" t="str">
        <f>IF(TABLERO!BB45=0,"",TABLERO!BX45&amp;" "&amp;TABLERO!ED45&amp;", "&amp;TABLERO!I45)</f>
        <v/>
      </c>
      <c r="AU45" s="1080"/>
      <c r="AV45" s="44" t="str">
        <f>IF(TABLERO!BB45=0,"",TABLERO!BZ45)</f>
        <v/>
      </c>
      <c r="AW45" s="562" t="str">
        <f>IF(TABLERO!BB45=0,"",TABLERO!CA45)</f>
        <v/>
      </c>
      <c r="AX45" s="43" t="str">
        <f>IF(TABLERO!BB45=0,"",TABLERO!CB45)</f>
        <v/>
      </c>
      <c r="AY45" s="44" t="str">
        <f>IF(TABLERO!BB45=0,"",TABLERO!DL45)</f>
        <v/>
      </c>
      <c r="AZ45" s="576" t="str">
        <f>IF(OR(TABLERO!BB45=0,TABLERO!H45="RE"),"",TABLERO!F45&amp;"P-"&amp;TABLERO!BW45&amp;"A")</f>
        <v/>
      </c>
      <c r="BA45" s="44" t="str">
        <f>IF(TABLERO!BB45=0,"",TABLERO!CI45)</f>
        <v/>
      </c>
      <c r="BB45" s="44" t="str">
        <f>IF(TABLERO!BB45=0,"",TABLERO!CJ45)</f>
        <v/>
      </c>
      <c r="BC45" s="49" t="str">
        <f>IF(TABLERO!BB45=0,"",TABLERO!CK45)</f>
        <v/>
      </c>
      <c r="BG45" s="46">
        <f>IF(TABLERO!B45="",0,TABLERO!B45)</f>
        <v>0</v>
      </c>
      <c r="BH45" s="46">
        <f>IF(TABLERO!C45="",BG45,TABLERO!C45)</f>
        <v>0</v>
      </c>
      <c r="BI45" s="46">
        <f>IF(TABLERO!D45="",BG45,TABLERO!D45)</f>
        <v>0</v>
      </c>
      <c r="BJ45" s="50">
        <f t="shared" si="1"/>
        <v>0</v>
      </c>
    </row>
    <row r="46" spans="1:62">
      <c r="A46" s="46">
        <f>IF(OR(BG46&gt;TABLERO!$M$19,BH46&gt;TABLERO!$M$19,BI46&gt;TABLERO!$M$19,BG46=0,BH46=0,BI46=0),2,1)</f>
        <v>2</v>
      </c>
      <c r="B46" s="47" t="str">
        <f>TABLERO!B46&amp;IF(TABLERO!C46="","",","&amp;TABLERO!C46)&amp;IF(TABLERO!D46="","",","&amp;TABLERO!D46)</f>
        <v/>
      </c>
      <c r="C46" s="42" t="str">
        <f>IF(TABLERO!E46=0,"",TABLERO!E46)</f>
        <v/>
      </c>
      <c r="D46" s="562" t="str">
        <f>IF(OR(TABLERO!X46="",TABLERO!X46=0),"",TABLERO!X46)</f>
        <v/>
      </c>
      <c r="E46" s="562" t="str">
        <f>IF(OR(TABLERO!Y46="",TABLERO!Y46=0),"",TABLERO!Y46)</f>
        <v/>
      </c>
      <c r="F46" s="562" t="str">
        <f>IF(OR(TABLERO!Z46="",TABLERO!Z46=0),"",TABLERO!Z46)</f>
        <v/>
      </c>
      <c r="G46" s="562" t="str">
        <f>IF(OR(TABLERO!AA46="",TABLERO!AA46=0),"",TABLERO!AA46)</f>
        <v/>
      </c>
      <c r="H46" s="562" t="str">
        <f>IF(OR(TABLERO!AB46="",TABLERO!AB46=0),"",TABLERO!AB46)</f>
        <v/>
      </c>
      <c r="I46" s="562" t="str">
        <f>IF(OR(TABLERO!AC46="",TABLERO!AC46=0),"",TABLERO!AC46)</f>
        <v/>
      </c>
      <c r="J46" s="562" t="str">
        <f>IF(OR(TABLERO!AD46="",TABLERO!AD46=0),"",TABLERO!AD46)</f>
        <v/>
      </c>
      <c r="K46" s="562" t="str">
        <f>IF(OR(TABLERO!AE46="",TABLERO!AE46=0),"",TABLERO!AE46)</f>
        <v/>
      </c>
      <c r="L46" s="562" t="str">
        <f>IF(OR(TABLERO!AF46="",TABLERO!AF46=0),"",TABLERO!AF46)</f>
        <v/>
      </c>
      <c r="M46" s="562" t="str">
        <f>IF(OR(TABLERO!AG46="",TABLERO!AG46=0),"",TABLERO!AG46)</f>
        <v/>
      </c>
      <c r="N46" s="562" t="str">
        <f>IF(OR(TABLERO!AH46="",TABLERO!AH46=0),"",TABLERO!AH46)</f>
        <v/>
      </c>
      <c r="O46" s="562" t="str">
        <f>IF(OR(TABLERO!AI46="",TABLERO!AI46=0),"",TABLERO!AI46)</f>
        <v/>
      </c>
      <c r="P46" s="562" t="str">
        <f>IF(OR(TABLERO!AJ46="",TABLERO!AJ46=0),"",TABLERO!AJ46)</f>
        <v/>
      </c>
      <c r="Q46" s="562" t="str">
        <f>IF(OR(TABLERO!AK46="",TABLERO!AK46=0),"",TABLERO!AK46)</f>
        <v/>
      </c>
      <c r="R46" s="562" t="str">
        <f>IF(OR(TABLERO!AL46="",TABLERO!AL46=0),"",TABLERO!AL46)</f>
        <v/>
      </c>
      <c r="S46" s="562" t="str">
        <f>IF(OR(TABLERO!AM46="",TABLERO!AM46=0),"",TABLERO!AM46)</f>
        <v/>
      </c>
      <c r="T46" s="562" t="str">
        <f>IF(OR(TABLERO!AN46="",TABLERO!AN46=0),"",TABLERO!AN46)</f>
        <v/>
      </c>
      <c r="U46" s="562" t="str">
        <f>IF(OR(TABLERO!AO46="",TABLERO!AO46=0),"",TABLERO!AO46)</f>
        <v/>
      </c>
      <c r="V46" s="562" t="str">
        <f>IF(OR(TABLERO!AP46="",TABLERO!AP46=0),"",TABLERO!AP46)</f>
        <v/>
      </c>
      <c r="W46" s="562" t="str">
        <f>IF(OR(TABLERO!AQ46="",TABLERO!AQ46=0),"",TABLERO!AQ46)</f>
        <v/>
      </c>
      <c r="X46" s="562" t="str">
        <f>IF(OR(TABLERO!AR46="",TABLERO!AR46=0),"",TABLERO!AR46)</f>
        <v/>
      </c>
      <c r="Y46" s="562" t="str">
        <f>IF(OR(TABLERO!AS46="",TABLERO!AS46=0),"",TABLERO!AS46)</f>
        <v/>
      </c>
      <c r="Z46" s="562" t="str">
        <f>IF(OR(TABLERO!AT46="",TABLERO!AT46=0),"",TABLERO!AT46)</f>
        <v/>
      </c>
      <c r="AA46" s="562" t="str">
        <f>IF(OR(TABLERO!AU46="",TABLERO!AU46=0),"",TABLERO!AU46)</f>
        <v/>
      </c>
      <c r="AB46" s="562" t="str">
        <f>IF(OR(TABLERO!AV46="",TABLERO!AV46=0),"",TABLERO!AV46)</f>
        <v/>
      </c>
      <c r="AC46" s="562" t="str">
        <f>IF(OR(TABLERO!AW46="",TABLERO!AW46=0),"",TABLERO!AW46)</f>
        <v/>
      </c>
      <c r="AD46" s="562" t="str">
        <f>IF(OR(TABLERO!AX46="",TABLERO!AX46=0),"",TABLERO!AX46)</f>
        <v/>
      </c>
      <c r="AE46" s="562" t="str">
        <f>IF(OR(TABLERO!AY46="",TABLERO!AY46=0),"",TABLERO!AY46)</f>
        <v/>
      </c>
      <c r="AF46" s="562" t="str">
        <f>IF(OR(TABLERO!AZ46="",TABLERO!AZ46=0),"",TABLERO!AZ46)</f>
        <v/>
      </c>
      <c r="AG46" s="562" t="str">
        <f>IF(OR(TABLERO!BA46="",TABLERO!BA46=0),"",TABLERO!BA46)</f>
        <v/>
      </c>
      <c r="AH46" s="48" t="str">
        <f>IF(TABLERO!BB46=0,"",IF(TABLERO!$F$17&lt;&gt;"KVA",TABLERO!BB46*1000,TABLERO!BB46*1000/TABLERO!DA46))</f>
        <v/>
      </c>
      <c r="AI46" s="48" t="str">
        <f>IF(TABLERO!BB46=0,"",IF(TABLERO!$F$17&lt;&gt;"KVA",TABLERO!BT46*1000,TABLERO!BT46*1000/TABLERO!DA46))</f>
        <v/>
      </c>
      <c r="AJ46" s="44" t="str">
        <f>IF(OR(TABLERO!BU46="",TABLERO!BU46=0),"",TABLERO!BU46)</f>
        <v/>
      </c>
      <c r="AK46" s="562" t="str">
        <f>IF(TABLERO!BB46=0,"",TABLERO!F46)</f>
        <v/>
      </c>
      <c r="AL46" s="562" t="str">
        <f>IF(TABLERO!BB46=0,"",TABLERO!G46)</f>
        <v/>
      </c>
      <c r="AM46" s="562" t="str">
        <f>IF(TABLERO!BB46=0,"",TABLERO!BV46)</f>
        <v/>
      </c>
      <c r="AN46" s="44" t="str">
        <f>IF(TABLERO!BB46=0,"",TABLERO!K46)</f>
        <v/>
      </c>
      <c r="AO46" s="562" t="str">
        <f>IF(TABLERO!BB46=0,"",TABLERO!J46)</f>
        <v/>
      </c>
      <c r="AP46" s="44" t="str">
        <f>IF(TABLERO!BB46=0,"",TABLERO!CT46)</f>
        <v/>
      </c>
      <c r="AQ46" s="44" t="str">
        <f>IF(TABLERO!BB46=0,"",TABLERO!CS46)</f>
        <v/>
      </c>
      <c r="AR46" s="44" t="str">
        <f>IF(TABLERO!BB46=0,"",TABLERO!CY46)</f>
        <v/>
      </c>
      <c r="AS46" s="562" t="str">
        <f>IF(TABLERO!BB46=0,"",TABLERO!N46)</f>
        <v/>
      </c>
      <c r="AT46" s="1079" t="str">
        <f>IF(TABLERO!BB46=0,"",TABLERO!BX46&amp;" "&amp;TABLERO!ED46&amp;", "&amp;TABLERO!I46)</f>
        <v/>
      </c>
      <c r="AU46" s="1080"/>
      <c r="AV46" s="44" t="str">
        <f>IF(TABLERO!BB46=0,"",TABLERO!BZ46)</f>
        <v/>
      </c>
      <c r="AW46" s="562" t="str">
        <f>IF(TABLERO!BB46=0,"",TABLERO!CA46)</f>
        <v/>
      </c>
      <c r="AX46" s="43" t="str">
        <f>IF(TABLERO!BB46=0,"",TABLERO!CB46)</f>
        <v/>
      </c>
      <c r="AY46" s="44" t="str">
        <f>IF(TABLERO!BB46=0,"",TABLERO!DL46)</f>
        <v/>
      </c>
      <c r="AZ46" s="576" t="str">
        <f>IF(OR(TABLERO!BB46=0,TABLERO!H46="RE"),"",TABLERO!F46&amp;"P-"&amp;TABLERO!BW46&amp;"A")</f>
        <v/>
      </c>
      <c r="BA46" s="44" t="str">
        <f>IF(TABLERO!BB46=0,"",TABLERO!CI46)</f>
        <v/>
      </c>
      <c r="BB46" s="44" t="str">
        <f>IF(TABLERO!BB46=0,"",TABLERO!CJ46)</f>
        <v/>
      </c>
      <c r="BC46" s="49" t="str">
        <f>IF(TABLERO!BB46=0,"",TABLERO!CK46)</f>
        <v/>
      </c>
      <c r="BG46" s="46">
        <f>IF(TABLERO!B46="",0,TABLERO!B46)</f>
        <v>0</v>
      </c>
      <c r="BH46" s="46">
        <f>IF(TABLERO!C46="",BG46,TABLERO!C46)</f>
        <v>0</v>
      </c>
      <c r="BI46" s="46">
        <f>IF(TABLERO!D46="",BG46,TABLERO!D46)</f>
        <v>0</v>
      </c>
      <c r="BJ46" s="50">
        <f t="shared" si="1"/>
        <v>0</v>
      </c>
    </row>
    <row r="47" spans="1:62">
      <c r="A47" s="46">
        <f>IF(OR(BG47&gt;TABLERO!$M$19,BH47&gt;TABLERO!$M$19,BI47&gt;TABLERO!$M$19,BG47=0,BH47=0,BI47=0),2,1)</f>
        <v>2</v>
      </c>
      <c r="B47" s="47" t="str">
        <f>TABLERO!B47&amp;IF(TABLERO!C47="","",","&amp;TABLERO!C47)&amp;IF(TABLERO!D47="","",","&amp;TABLERO!D47)</f>
        <v/>
      </c>
      <c r="C47" s="42" t="str">
        <f>IF(TABLERO!E47=0,"",TABLERO!E47)</f>
        <v/>
      </c>
      <c r="D47" s="562" t="str">
        <f>IF(OR(TABLERO!X47="",TABLERO!X47=0),"",TABLERO!X47)</f>
        <v/>
      </c>
      <c r="E47" s="562" t="str">
        <f>IF(OR(TABLERO!Y47="",TABLERO!Y47=0),"",TABLERO!Y47)</f>
        <v/>
      </c>
      <c r="F47" s="562" t="str">
        <f>IF(OR(TABLERO!Z47="",TABLERO!Z47=0),"",TABLERO!Z47)</f>
        <v/>
      </c>
      <c r="G47" s="562" t="str">
        <f>IF(OR(TABLERO!AA47="",TABLERO!AA47=0),"",TABLERO!AA47)</f>
        <v/>
      </c>
      <c r="H47" s="562" t="str">
        <f>IF(OR(TABLERO!AB47="",TABLERO!AB47=0),"",TABLERO!AB47)</f>
        <v/>
      </c>
      <c r="I47" s="562" t="str">
        <f>IF(OR(TABLERO!AC47="",TABLERO!AC47=0),"",TABLERO!AC47)</f>
        <v/>
      </c>
      <c r="J47" s="562" t="str">
        <f>IF(OR(TABLERO!AD47="",TABLERO!AD47=0),"",TABLERO!AD47)</f>
        <v/>
      </c>
      <c r="K47" s="562" t="str">
        <f>IF(OR(TABLERO!AE47="",TABLERO!AE47=0),"",TABLERO!AE47)</f>
        <v/>
      </c>
      <c r="L47" s="562" t="str">
        <f>IF(OR(TABLERO!AF47="",TABLERO!AF47=0),"",TABLERO!AF47)</f>
        <v/>
      </c>
      <c r="M47" s="562" t="str">
        <f>IF(OR(TABLERO!AG47="",TABLERO!AG47=0),"",TABLERO!AG47)</f>
        <v/>
      </c>
      <c r="N47" s="562" t="str">
        <f>IF(OR(TABLERO!AH47="",TABLERO!AH47=0),"",TABLERO!AH47)</f>
        <v/>
      </c>
      <c r="O47" s="562" t="str">
        <f>IF(OR(TABLERO!AI47="",TABLERO!AI47=0),"",TABLERO!AI47)</f>
        <v/>
      </c>
      <c r="P47" s="562" t="str">
        <f>IF(OR(TABLERO!AJ47="",TABLERO!AJ47=0),"",TABLERO!AJ47)</f>
        <v/>
      </c>
      <c r="Q47" s="562" t="str">
        <f>IF(OR(TABLERO!AK47="",TABLERO!AK47=0),"",TABLERO!AK47)</f>
        <v/>
      </c>
      <c r="R47" s="562" t="str">
        <f>IF(OR(TABLERO!AL47="",TABLERO!AL47=0),"",TABLERO!AL47)</f>
        <v/>
      </c>
      <c r="S47" s="562" t="str">
        <f>IF(OR(TABLERO!AM47="",TABLERO!AM47=0),"",TABLERO!AM47)</f>
        <v/>
      </c>
      <c r="T47" s="562" t="str">
        <f>IF(OR(TABLERO!AN47="",TABLERO!AN47=0),"",TABLERO!AN47)</f>
        <v/>
      </c>
      <c r="U47" s="562" t="str">
        <f>IF(OR(TABLERO!AO47="",TABLERO!AO47=0),"",TABLERO!AO47)</f>
        <v/>
      </c>
      <c r="V47" s="562" t="str">
        <f>IF(OR(TABLERO!AP47="",TABLERO!AP47=0),"",TABLERO!AP47)</f>
        <v/>
      </c>
      <c r="W47" s="562" t="str">
        <f>IF(OR(TABLERO!AQ47="",TABLERO!AQ47=0),"",TABLERO!AQ47)</f>
        <v/>
      </c>
      <c r="X47" s="562" t="str">
        <f>IF(OR(TABLERO!AR47="",TABLERO!AR47=0),"",TABLERO!AR47)</f>
        <v/>
      </c>
      <c r="Y47" s="562" t="str">
        <f>IF(OR(TABLERO!AS47="",TABLERO!AS47=0),"",TABLERO!AS47)</f>
        <v/>
      </c>
      <c r="Z47" s="562" t="str">
        <f>IF(OR(TABLERO!AT47="",TABLERO!AT47=0),"",TABLERO!AT47)</f>
        <v/>
      </c>
      <c r="AA47" s="562" t="str">
        <f>IF(OR(TABLERO!AU47="",TABLERO!AU47=0),"",TABLERO!AU47)</f>
        <v/>
      </c>
      <c r="AB47" s="562" t="str">
        <f>IF(OR(TABLERO!AV47="",TABLERO!AV47=0),"",TABLERO!AV47)</f>
        <v/>
      </c>
      <c r="AC47" s="562" t="str">
        <f>IF(OR(TABLERO!AW47="",TABLERO!AW47=0),"",TABLERO!AW47)</f>
        <v/>
      </c>
      <c r="AD47" s="562" t="str">
        <f>IF(OR(TABLERO!AX47="",TABLERO!AX47=0),"",TABLERO!AX47)</f>
        <v/>
      </c>
      <c r="AE47" s="562" t="str">
        <f>IF(OR(TABLERO!AY47="",TABLERO!AY47=0),"",TABLERO!AY47)</f>
        <v/>
      </c>
      <c r="AF47" s="562" t="str">
        <f>IF(OR(TABLERO!AZ47="",TABLERO!AZ47=0),"",TABLERO!AZ47)</f>
        <v/>
      </c>
      <c r="AG47" s="562" t="str">
        <f>IF(OR(TABLERO!BA47="",TABLERO!BA47=0),"",TABLERO!BA47)</f>
        <v/>
      </c>
      <c r="AH47" s="48" t="str">
        <f>IF(TABLERO!BB47=0,"",IF(TABLERO!$F$17&lt;&gt;"KVA",TABLERO!BB47*1000,TABLERO!BB47*1000/TABLERO!DA47))</f>
        <v/>
      </c>
      <c r="AI47" s="48" t="str">
        <f>IF(TABLERO!BB47=0,"",IF(TABLERO!$F$17&lt;&gt;"KVA",TABLERO!BT47*1000,TABLERO!BT47*1000/TABLERO!DA47))</f>
        <v/>
      </c>
      <c r="AJ47" s="44" t="str">
        <f>IF(OR(TABLERO!BU47="",TABLERO!BU47=0),"",TABLERO!BU47)</f>
        <v/>
      </c>
      <c r="AK47" s="562" t="str">
        <f>IF(TABLERO!BB47=0,"",TABLERO!F47)</f>
        <v/>
      </c>
      <c r="AL47" s="562" t="str">
        <f>IF(TABLERO!BB47=0,"",TABLERO!G47)</f>
        <v/>
      </c>
      <c r="AM47" s="562" t="str">
        <f>IF(TABLERO!BB47=0,"",TABLERO!BV47)</f>
        <v/>
      </c>
      <c r="AN47" s="44" t="str">
        <f>IF(TABLERO!BB47=0,"",TABLERO!K47)</f>
        <v/>
      </c>
      <c r="AO47" s="562" t="str">
        <f>IF(TABLERO!BB47=0,"",TABLERO!J47)</f>
        <v/>
      </c>
      <c r="AP47" s="44" t="str">
        <f>IF(TABLERO!BB47=0,"",TABLERO!CT47)</f>
        <v/>
      </c>
      <c r="AQ47" s="44" t="str">
        <f>IF(TABLERO!BB47=0,"",TABLERO!CS47)</f>
        <v/>
      </c>
      <c r="AR47" s="44" t="str">
        <f>IF(TABLERO!BB47=0,"",TABLERO!CY47)</f>
        <v/>
      </c>
      <c r="AS47" s="562" t="str">
        <f>IF(TABLERO!BB47=0,"",TABLERO!N47)</f>
        <v/>
      </c>
      <c r="AT47" s="1079" t="str">
        <f>IF(TABLERO!BB47=0,"",TABLERO!BX47&amp;" "&amp;TABLERO!ED47&amp;", "&amp;TABLERO!I47)</f>
        <v/>
      </c>
      <c r="AU47" s="1080"/>
      <c r="AV47" s="44" t="str">
        <f>IF(TABLERO!BB47=0,"",TABLERO!BZ47)</f>
        <v/>
      </c>
      <c r="AW47" s="562" t="str">
        <f>IF(TABLERO!BB47=0,"",TABLERO!CA47)</f>
        <v/>
      </c>
      <c r="AX47" s="43" t="str">
        <f>IF(TABLERO!BB47=0,"",TABLERO!CB47)</f>
        <v/>
      </c>
      <c r="AY47" s="44" t="str">
        <f>IF(TABLERO!BB47=0,"",TABLERO!DL47)</f>
        <v/>
      </c>
      <c r="AZ47" s="576" t="str">
        <f>IF(OR(TABLERO!BB47=0,TABLERO!H47="RE"),"",TABLERO!F47&amp;"P-"&amp;TABLERO!BW47&amp;"A")</f>
        <v/>
      </c>
      <c r="BA47" s="44" t="str">
        <f>IF(TABLERO!BB47=0,"",TABLERO!CI47)</f>
        <v/>
      </c>
      <c r="BB47" s="44" t="str">
        <f>IF(TABLERO!BB47=0,"",TABLERO!CJ47)</f>
        <v/>
      </c>
      <c r="BC47" s="49" t="str">
        <f>IF(TABLERO!BB47=0,"",TABLERO!CK47)</f>
        <v/>
      </c>
      <c r="BG47" s="46">
        <f>IF(TABLERO!B47="",0,TABLERO!B47)</f>
        <v>0</v>
      </c>
      <c r="BH47" s="46">
        <f>IF(TABLERO!C47="",BG47,TABLERO!C47)</f>
        <v>0</v>
      </c>
      <c r="BI47" s="46">
        <f>IF(TABLERO!D47="",BG47,TABLERO!D47)</f>
        <v>0</v>
      </c>
      <c r="BJ47" s="50">
        <f t="shared" si="1"/>
        <v>0</v>
      </c>
    </row>
    <row r="48" spans="1:62">
      <c r="A48" s="46">
        <f>IF(OR(BG48&gt;TABLERO!$M$19,BH48&gt;TABLERO!$M$19,BI48&gt;TABLERO!$M$19,BG48=0,BH48=0,BI48=0),2,1)</f>
        <v>2</v>
      </c>
      <c r="B48" s="47" t="str">
        <f>TABLERO!B48&amp;IF(TABLERO!C48="","",","&amp;TABLERO!C48)&amp;IF(TABLERO!D48="","",","&amp;TABLERO!D48)</f>
        <v/>
      </c>
      <c r="C48" s="42" t="str">
        <f>IF(TABLERO!E48=0,"",TABLERO!E48)</f>
        <v/>
      </c>
      <c r="D48" s="562" t="str">
        <f>IF(OR(TABLERO!X48="",TABLERO!X48=0),"",TABLERO!X48)</f>
        <v/>
      </c>
      <c r="E48" s="562" t="str">
        <f>IF(OR(TABLERO!Y48="",TABLERO!Y48=0),"",TABLERO!Y48)</f>
        <v/>
      </c>
      <c r="F48" s="562" t="str">
        <f>IF(OR(TABLERO!Z48="",TABLERO!Z48=0),"",TABLERO!Z48)</f>
        <v/>
      </c>
      <c r="G48" s="562" t="str">
        <f>IF(OR(TABLERO!AA48="",TABLERO!AA48=0),"",TABLERO!AA48)</f>
        <v/>
      </c>
      <c r="H48" s="562" t="str">
        <f>IF(OR(TABLERO!AB48="",TABLERO!AB48=0),"",TABLERO!AB48)</f>
        <v/>
      </c>
      <c r="I48" s="562" t="str">
        <f>IF(OR(TABLERO!AC48="",TABLERO!AC48=0),"",TABLERO!AC48)</f>
        <v/>
      </c>
      <c r="J48" s="562" t="str">
        <f>IF(OR(TABLERO!AD48="",TABLERO!AD48=0),"",TABLERO!AD48)</f>
        <v/>
      </c>
      <c r="K48" s="562" t="str">
        <f>IF(OR(TABLERO!AE48="",TABLERO!AE48=0),"",TABLERO!AE48)</f>
        <v/>
      </c>
      <c r="L48" s="562" t="str">
        <f>IF(OR(TABLERO!AF48="",TABLERO!AF48=0),"",TABLERO!AF48)</f>
        <v/>
      </c>
      <c r="M48" s="562" t="str">
        <f>IF(OR(TABLERO!AG48="",TABLERO!AG48=0),"",TABLERO!AG48)</f>
        <v/>
      </c>
      <c r="N48" s="562" t="str">
        <f>IF(OR(TABLERO!AH48="",TABLERO!AH48=0),"",TABLERO!AH48)</f>
        <v/>
      </c>
      <c r="O48" s="562" t="str">
        <f>IF(OR(TABLERO!AI48="",TABLERO!AI48=0),"",TABLERO!AI48)</f>
        <v/>
      </c>
      <c r="P48" s="562" t="str">
        <f>IF(OR(TABLERO!AJ48="",TABLERO!AJ48=0),"",TABLERO!AJ48)</f>
        <v/>
      </c>
      <c r="Q48" s="562" t="str">
        <f>IF(OR(TABLERO!AK48="",TABLERO!AK48=0),"",TABLERO!AK48)</f>
        <v/>
      </c>
      <c r="R48" s="562" t="str">
        <f>IF(OR(TABLERO!AL48="",TABLERO!AL48=0),"",TABLERO!AL48)</f>
        <v/>
      </c>
      <c r="S48" s="562" t="str">
        <f>IF(OR(TABLERO!AM48="",TABLERO!AM48=0),"",TABLERO!AM48)</f>
        <v/>
      </c>
      <c r="T48" s="562" t="str">
        <f>IF(OR(TABLERO!AN48="",TABLERO!AN48=0),"",TABLERO!AN48)</f>
        <v/>
      </c>
      <c r="U48" s="562" t="str">
        <f>IF(OR(TABLERO!AO48="",TABLERO!AO48=0),"",TABLERO!AO48)</f>
        <v/>
      </c>
      <c r="V48" s="562" t="str">
        <f>IF(OR(TABLERO!AP48="",TABLERO!AP48=0),"",TABLERO!AP48)</f>
        <v/>
      </c>
      <c r="W48" s="562" t="str">
        <f>IF(OR(TABLERO!AQ48="",TABLERO!AQ48=0),"",TABLERO!AQ48)</f>
        <v/>
      </c>
      <c r="X48" s="562" t="str">
        <f>IF(OR(TABLERO!AR48="",TABLERO!AR48=0),"",TABLERO!AR48)</f>
        <v/>
      </c>
      <c r="Y48" s="562" t="str">
        <f>IF(OR(TABLERO!AS48="",TABLERO!AS48=0),"",TABLERO!AS48)</f>
        <v/>
      </c>
      <c r="Z48" s="562" t="str">
        <f>IF(OR(TABLERO!AT48="",TABLERO!AT48=0),"",TABLERO!AT48)</f>
        <v/>
      </c>
      <c r="AA48" s="562" t="str">
        <f>IF(OR(TABLERO!AU48="",TABLERO!AU48=0),"",TABLERO!AU48)</f>
        <v/>
      </c>
      <c r="AB48" s="562" t="str">
        <f>IF(OR(TABLERO!AV48="",TABLERO!AV48=0),"",TABLERO!AV48)</f>
        <v/>
      </c>
      <c r="AC48" s="562" t="str">
        <f>IF(OR(TABLERO!AW48="",TABLERO!AW48=0),"",TABLERO!AW48)</f>
        <v/>
      </c>
      <c r="AD48" s="562" t="str">
        <f>IF(OR(TABLERO!AX48="",TABLERO!AX48=0),"",TABLERO!AX48)</f>
        <v/>
      </c>
      <c r="AE48" s="562" t="str">
        <f>IF(OR(TABLERO!AY48="",TABLERO!AY48=0),"",TABLERO!AY48)</f>
        <v/>
      </c>
      <c r="AF48" s="562" t="str">
        <f>IF(OR(TABLERO!AZ48="",TABLERO!AZ48=0),"",TABLERO!AZ48)</f>
        <v/>
      </c>
      <c r="AG48" s="562" t="str">
        <f>IF(OR(TABLERO!BA48="",TABLERO!BA48=0),"",TABLERO!BA48)</f>
        <v/>
      </c>
      <c r="AH48" s="48" t="str">
        <f>IF(TABLERO!BB48=0,"",IF(TABLERO!$F$17&lt;&gt;"KVA",TABLERO!BB48*1000,TABLERO!BB48*1000/TABLERO!DA48))</f>
        <v/>
      </c>
      <c r="AI48" s="48" t="str">
        <f>IF(TABLERO!BB48=0,"",IF(TABLERO!$F$17&lt;&gt;"KVA",TABLERO!BT48*1000,TABLERO!BT48*1000/TABLERO!DA48))</f>
        <v/>
      </c>
      <c r="AJ48" s="44" t="str">
        <f>IF(OR(TABLERO!BU48="",TABLERO!BU48=0),"",TABLERO!BU48)</f>
        <v/>
      </c>
      <c r="AK48" s="562" t="str">
        <f>IF(TABLERO!BB48=0,"",TABLERO!F48)</f>
        <v/>
      </c>
      <c r="AL48" s="562" t="str">
        <f>IF(TABLERO!BB48=0,"",TABLERO!G48)</f>
        <v/>
      </c>
      <c r="AM48" s="562" t="str">
        <f>IF(TABLERO!BB48=0,"",TABLERO!BV48)</f>
        <v/>
      </c>
      <c r="AN48" s="44" t="str">
        <f>IF(TABLERO!BB48=0,"",TABLERO!K48)</f>
        <v/>
      </c>
      <c r="AO48" s="562" t="str">
        <f>IF(TABLERO!BB48=0,"",TABLERO!J48)</f>
        <v/>
      </c>
      <c r="AP48" s="44" t="str">
        <f>IF(TABLERO!BB48=0,"",TABLERO!CT48)</f>
        <v/>
      </c>
      <c r="AQ48" s="44" t="str">
        <f>IF(TABLERO!BB48=0,"",TABLERO!CS48)</f>
        <v/>
      </c>
      <c r="AR48" s="44" t="str">
        <f>IF(TABLERO!BB48=0,"",TABLERO!CY48)</f>
        <v/>
      </c>
      <c r="AS48" s="562" t="str">
        <f>IF(TABLERO!BB48=0,"",TABLERO!N48)</f>
        <v/>
      </c>
      <c r="AT48" s="1079" t="str">
        <f>IF(TABLERO!BB48=0,"",TABLERO!BX48&amp;" "&amp;TABLERO!ED48&amp;", "&amp;TABLERO!I48)</f>
        <v/>
      </c>
      <c r="AU48" s="1080"/>
      <c r="AV48" s="44" t="str">
        <f>IF(TABLERO!BB48=0,"",TABLERO!BZ48)</f>
        <v/>
      </c>
      <c r="AW48" s="562" t="str">
        <f>IF(TABLERO!BB48=0,"",TABLERO!CA48)</f>
        <v/>
      </c>
      <c r="AX48" s="43" t="str">
        <f>IF(TABLERO!BB48=0,"",TABLERO!CB48)</f>
        <v/>
      </c>
      <c r="AY48" s="44" t="str">
        <f>IF(TABLERO!BB48=0,"",TABLERO!DL48)</f>
        <v/>
      </c>
      <c r="AZ48" s="576" t="str">
        <f>IF(OR(TABLERO!BB48=0,TABLERO!H48="RE"),"",TABLERO!F48&amp;"P-"&amp;TABLERO!BW48&amp;"A")</f>
        <v/>
      </c>
      <c r="BA48" s="44" t="str">
        <f>IF(TABLERO!BB48=0,"",TABLERO!CI48)</f>
        <v/>
      </c>
      <c r="BB48" s="44" t="str">
        <f>IF(TABLERO!BB48=0,"",TABLERO!CJ48)</f>
        <v/>
      </c>
      <c r="BC48" s="49" t="str">
        <f>IF(TABLERO!BB48=0,"",TABLERO!CK48)</f>
        <v/>
      </c>
      <c r="BG48" s="46">
        <f>IF(TABLERO!B48="",0,TABLERO!B48)</f>
        <v>0</v>
      </c>
      <c r="BH48" s="46">
        <f>IF(TABLERO!C48="",BG48,TABLERO!C48)</f>
        <v>0</v>
      </c>
      <c r="BI48" s="46">
        <f>IF(TABLERO!D48="",BG48,TABLERO!D48)</f>
        <v>0</v>
      </c>
      <c r="BJ48" s="50">
        <f t="shared" si="1"/>
        <v>0</v>
      </c>
    </row>
    <row r="49" spans="1:62">
      <c r="A49" s="46">
        <f>IF(OR(BG49&gt;TABLERO!$M$19,BH49&gt;TABLERO!$M$19,BI49&gt;TABLERO!$M$19,BG49=0,BH49=0,BI49=0),2,1)</f>
        <v>2</v>
      </c>
      <c r="B49" s="47" t="str">
        <f>TABLERO!B49&amp;IF(TABLERO!C49="","",","&amp;TABLERO!C49)&amp;IF(TABLERO!D49="","",","&amp;TABLERO!D49)</f>
        <v/>
      </c>
      <c r="C49" s="42" t="str">
        <f>IF(TABLERO!E49=0,"",TABLERO!E49)</f>
        <v/>
      </c>
      <c r="D49" s="562" t="str">
        <f>IF(OR(TABLERO!X49="",TABLERO!X49=0),"",TABLERO!X49)</f>
        <v/>
      </c>
      <c r="E49" s="562" t="str">
        <f>IF(OR(TABLERO!Y49="",TABLERO!Y49=0),"",TABLERO!Y49)</f>
        <v/>
      </c>
      <c r="F49" s="562" t="str">
        <f>IF(OR(TABLERO!Z49="",TABLERO!Z49=0),"",TABLERO!Z49)</f>
        <v/>
      </c>
      <c r="G49" s="562" t="str">
        <f>IF(OR(TABLERO!AA49="",TABLERO!AA49=0),"",TABLERO!AA49)</f>
        <v/>
      </c>
      <c r="H49" s="562" t="str">
        <f>IF(OR(TABLERO!AB49="",TABLERO!AB49=0),"",TABLERO!AB49)</f>
        <v/>
      </c>
      <c r="I49" s="562" t="str">
        <f>IF(OR(TABLERO!AC49="",TABLERO!AC49=0),"",TABLERO!AC49)</f>
        <v/>
      </c>
      <c r="J49" s="562" t="str">
        <f>IF(OR(TABLERO!AD49="",TABLERO!AD49=0),"",TABLERO!AD49)</f>
        <v/>
      </c>
      <c r="K49" s="562" t="str">
        <f>IF(OR(TABLERO!AE49="",TABLERO!AE49=0),"",TABLERO!AE49)</f>
        <v/>
      </c>
      <c r="L49" s="562" t="str">
        <f>IF(OR(TABLERO!AF49="",TABLERO!AF49=0),"",TABLERO!AF49)</f>
        <v/>
      </c>
      <c r="M49" s="562" t="str">
        <f>IF(OR(TABLERO!AG49="",TABLERO!AG49=0),"",TABLERO!AG49)</f>
        <v/>
      </c>
      <c r="N49" s="562" t="str">
        <f>IF(OR(TABLERO!AH49="",TABLERO!AH49=0),"",TABLERO!AH49)</f>
        <v/>
      </c>
      <c r="O49" s="562" t="str">
        <f>IF(OR(TABLERO!AI49="",TABLERO!AI49=0),"",TABLERO!AI49)</f>
        <v/>
      </c>
      <c r="P49" s="562" t="str">
        <f>IF(OR(TABLERO!AJ49="",TABLERO!AJ49=0),"",TABLERO!AJ49)</f>
        <v/>
      </c>
      <c r="Q49" s="562" t="str">
        <f>IF(OR(TABLERO!AK49="",TABLERO!AK49=0),"",TABLERO!AK49)</f>
        <v/>
      </c>
      <c r="R49" s="562" t="str">
        <f>IF(OR(TABLERO!AL49="",TABLERO!AL49=0),"",TABLERO!AL49)</f>
        <v/>
      </c>
      <c r="S49" s="562" t="str">
        <f>IF(OR(TABLERO!AM49="",TABLERO!AM49=0),"",TABLERO!AM49)</f>
        <v/>
      </c>
      <c r="T49" s="562" t="str">
        <f>IF(OR(TABLERO!AN49="",TABLERO!AN49=0),"",TABLERO!AN49)</f>
        <v/>
      </c>
      <c r="U49" s="562" t="str">
        <f>IF(OR(TABLERO!AO49="",TABLERO!AO49=0),"",TABLERO!AO49)</f>
        <v/>
      </c>
      <c r="V49" s="562" t="str">
        <f>IF(OR(TABLERO!AP49="",TABLERO!AP49=0),"",TABLERO!AP49)</f>
        <v/>
      </c>
      <c r="W49" s="562" t="str">
        <f>IF(OR(TABLERO!AQ49="",TABLERO!AQ49=0),"",TABLERO!AQ49)</f>
        <v/>
      </c>
      <c r="X49" s="562" t="str">
        <f>IF(OR(TABLERO!AR49="",TABLERO!AR49=0),"",TABLERO!AR49)</f>
        <v/>
      </c>
      <c r="Y49" s="562" t="str">
        <f>IF(OR(TABLERO!AS49="",TABLERO!AS49=0),"",TABLERO!AS49)</f>
        <v/>
      </c>
      <c r="Z49" s="562" t="str">
        <f>IF(OR(TABLERO!AT49="",TABLERO!AT49=0),"",TABLERO!AT49)</f>
        <v/>
      </c>
      <c r="AA49" s="562" t="str">
        <f>IF(OR(TABLERO!AU49="",TABLERO!AU49=0),"",TABLERO!AU49)</f>
        <v/>
      </c>
      <c r="AB49" s="562" t="str">
        <f>IF(OR(TABLERO!AV49="",TABLERO!AV49=0),"",TABLERO!AV49)</f>
        <v/>
      </c>
      <c r="AC49" s="562" t="str">
        <f>IF(OR(TABLERO!AW49="",TABLERO!AW49=0),"",TABLERO!AW49)</f>
        <v/>
      </c>
      <c r="AD49" s="562" t="str">
        <f>IF(OR(TABLERO!AX49="",TABLERO!AX49=0),"",TABLERO!AX49)</f>
        <v/>
      </c>
      <c r="AE49" s="562" t="str">
        <f>IF(OR(TABLERO!AY49="",TABLERO!AY49=0),"",TABLERO!AY49)</f>
        <v/>
      </c>
      <c r="AF49" s="562" t="str">
        <f>IF(OR(TABLERO!AZ49="",TABLERO!AZ49=0),"",TABLERO!AZ49)</f>
        <v/>
      </c>
      <c r="AG49" s="562" t="str">
        <f>IF(OR(TABLERO!BA49="",TABLERO!BA49=0),"",TABLERO!BA49)</f>
        <v/>
      </c>
      <c r="AH49" s="48" t="str">
        <f>IF(TABLERO!BB49=0,"",IF(TABLERO!$F$17&lt;&gt;"KVA",TABLERO!BB49*1000,TABLERO!BB49*1000/TABLERO!DA49))</f>
        <v/>
      </c>
      <c r="AI49" s="48" t="str">
        <f>IF(TABLERO!BB49=0,"",IF(TABLERO!$F$17&lt;&gt;"KVA",TABLERO!BT49*1000,TABLERO!BT49*1000/TABLERO!DA49))</f>
        <v/>
      </c>
      <c r="AJ49" s="44" t="str">
        <f>IF(OR(TABLERO!BU49="",TABLERO!BU49=0),"",TABLERO!BU49)</f>
        <v/>
      </c>
      <c r="AK49" s="562" t="str">
        <f>IF(TABLERO!BB49=0,"",TABLERO!F49)</f>
        <v/>
      </c>
      <c r="AL49" s="562" t="str">
        <f>IF(TABLERO!BB49=0,"",TABLERO!G49)</f>
        <v/>
      </c>
      <c r="AM49" s="562" t="str">
        <f>IF(TABLERO!BB49=0,"",TABLERO!BV49)</f>
        <v/>
      </c>
      <c r="AN49" s="44" t="str">
        <f>IF(TABLERO!BB49=0,"",TABLERO!K49)</f>
        <v/>
      </c>
      <c r="AO49" s="562" t="str">
        <f>IF(TABLERO!BB49=0,"",TABLERO!J49)</f>
        <v/>
      </c>
      <c r="AP49" s="44" t="str">
        <f>IF(TABLERO!BB49=0,"",TABLERO!CT49)</f>
        <v/>
      </c>
      <c r="AQ49" s="44" t="str">
        <f>IF(TABLERO!BB49=0,"",TABLERO!CS49)</f>
        <v/>
      </c>
      <c r="AR49" s="44" t="str">
        <f>IF(TABLERO!BB49=0,"",TABLERO!CY49)</f>
        <v/>
      </c>
      <c r="AS49" s="562" t="str">
        <f>IF(TABLERO!BB49=0,"",TABLERO!N49)</f>
        <v/>
      </c>
      <c r="AT49" s="1079" t="str">
        <f>IF(TABLERO!BB49=0,"",TABLERO!BX49&amp;" "&amp;TABLERO!ED49&amp;", "&amp;TABLERO!I49)</f>
        <v/>
      </c>
      <c r="AU49" s="1080"/>
      <c r="AV49" s="44" t="str">
        <f>IF(TABLERO!BB49=0,"",TABLERO!BZ49)</f>
        <v/>
      </c>
      <c r="AW49" s="562" t="str">
        <f>IF(TABLERO!BB49=0,"",TABLERO!CA49)</f>
        <v/>
      </c>
      <c r="AX49" s="43" t="str">
        <f>IF(TABLERO!BB49=0,"",TABLERO!CB49)</f>
        <v/>
      </c>
      <c r="AY49" s="44" t="str">
        <f>IF(TABLERO!BB49=0,"",TABLERO!DL49)</f>
        <v/>
      </c>
      <c r="AZ49" s="576" t="str">
        <f>IF(OR(TABLERO!BB49=0,TABLERO!H49="RE"),"",TABLERO!F49&amp;"P-"&amp;TABLERO!BW49&amp;"A")</f>
        <v/>
      </c>
      <c r="BA49" s="44" t="str">
        <f>IF(TABLERO!BB49=0,"",TABLERO!CI49)</f>
        <v/>
      </c>
      <c r="BB49" s="44" t="str">
        <f>IF(TABLERO!BB49=0,"",TABLERO!CJ49)</f>
        <v/>
      </c>
      <c r="BC49" s="49" t="str">
        <f>IF(TABLERO!BB49=0,"",TABLERO!CK49)</f>
        <v/>
      </c>
      <c r="BG49" s="46">
        <f>IF(TABLERO!B49="",0,TABLERO!B49)</f>
        <v>0</v>
      </c>
      <c r="BH49" s="46">
        <f>IF(TABLERO!C49="",BG49,TABLERO!C49)</f>
        <v>0</v>
      </c>
      <c r="BI49" s="46">
        <f>IF(TABLERO!D49="",BG49,TABLERO!D49)</f>
        <v>0</v>
      </c>
      <c r="BJ49" s="50">
        <f t="shared" si="1"/>
        <v>0</v>
      </c>
    </row>
    <row r="50" spans="1:62">
      <c r="A50" s="46">
        <f>IF(OR(BG50&gt;TABLERO!$M$19,BH50&gt;TABLERO!$M$19,BI50&gt;TABLERO!$M$19,BG50=0,BH50=0,BI50=0),2,1)</f>
        <v>2</v>
      </c>
      <c r="B50" s="47" t="str">
        <f>TABLERO!B50&amp;IF(TABLERO!C50="","",","&amp;TABLERO!C50)&amp;IF(TABLERO!D50="","",","&amp;TABLERO!D50)</f>
        <v/>
      </c>
      <c r="C50" s="42" t="str">
        <f>IF(TABLERO!E50=0,"",TABLERO!E50)</f>
        <v/>
      </c>
      <c r="D50" s="562" t="str">
        <f>IF(OR(TABLERO!X50="",TABLERO!X50=0),"",TABLERO!X50)</f>
        <v/>
      </c>
      <c r="E50" s="562" t="str">
        <f>IF(OR(TABLERO!Y50="",TABLERO!Y50=0),"",TABLERO!Y50)</f>
        <v/>
      </c>
      <c r="F50" s="562" t="str">
        <f>IF(OR(TABLERO!Z50="",TABLERO!Z50=0),"",TABLERO!Z50)</f>
        <v/>
      </c>
      <c r="G50" s="562" t="str">
        <f>IF(OR(TABLERO!AA50="",TABLERO!AA50=0),"",TABLERO!AA50)</f>
        <v/>
      </c>
      <c r="H50" s="562" t="str">
        <f>IF(OR(TABLERO!AB50="",TABLERO!AB50=0),"",TABLERO!AB50)</f>
        <v/>
      </c>
      <c r="I50" s="562" t="str">
        <f>IF(OR(TABLERO!AC50="",TABLERO!AC50=0),"",TABLERO!AC50)</f>
        <v/>
      </c>
      <c r="J50" s="562" t="str">
        <f>IF(OR(TABLERO!AD50="",TABLERO!AD50=0),"",TABLERO!AD50)</f>
        <v/>
      </c>
      <c r="K50" s="562" t="str">
        <f>IF(OR(TABLERO!AE50="",TABLERO!AE50=0),"",TABLERO!AE50)</f>
        <v/>
      </c>
      <c r="L50" s="562" t="str">
        <f>IF(OR(TABLERO!AF50="",TABLERO!AF50=0),"",TABLERO!AF50)</f>
        <v/>
      </c>
      <c r="M50" s="562" t="str">
        <f>IF(OR(TABLERO!AG50="",TABLERO!AG50=0),"",TABLERO!AG50)</f>
        <v/>
      </c>
      <c r="N50" s="562" t="str">
        <f>IF(OR(TABLERO!AH50="",TABLERO!AH50=0),"",TABLERO!AH50)</f>
        <v/>
      </c>
      <c r="O50" s="562" t="str">
        <f>IF(OR(TABLERO!AI50="",TABLERO!AI50=0),"",TABLERO!AI50)</f>
        <v/>
      </c>
      <c r="P50" s="562" t="str">
        <f>IF(OR(TABLERO!AJ50="",TABLERO!AJ50=0),"",TABLERO!AJ50)</f>
        <v/>
      </c>
      <c r="Q50" s="562" t="str">
        <f>IF(OR(TABLERO!AK50="",TABLERO!AK50=0),"",TABLERO!AK50)</f>
        <v/>
      </c>
      <c r="R50" s="562" t="str">
        <f>IF(OR(TABLERO!AL50="",TABLERO!AL50=0),"",TABLERO!AL50)</f>
        <v/>
      </c>
      <c r="S50" s="562" t="str">
        <f>IF(OR(TABLERO!AM50="",TABLERO!AM50=0),"",TABLERO!AM50)</f>
        <v/>
      </c>
      <c r="T50" s="562" t="str">
        <f>IF(OR(TABLERO!AN50="",TABLERO!AN50=0),"",TABLERO!AN50)</f>
        <v/>
      </c>
      <c r="U50" s="562" t="str">
        <f>IF(OR(TABLERO!AO50="",TABLERO!AO50=0),"",TABLERO!AO50)</f>
        <v/>
      </c>
      <c r="V50" s="562" t="str">
        <f>IF(OR(TABLERO!AP50="",TABLERO!AP50=0),"",TABLERO!AP50)</f>
        <v/>
      </c>
      <c r="W50" s="562" t="str">
        <f>IF(OR(TABLERO!AQ50="",TABLERO!AQ50=0),"",TABLERO!AQ50)</f>
        <v/>
      </c>
      <c r="X50" s="562" t="str">
        <f>IF(OR(TABLERO!AR50="",TABLERO!AR50=0),"",TABLERO!AR50)</f>
        <v/>
      </c>
      <c r="Y50" s="562" t="str">
        <f>IF(OR(TABLERO!AS50="",TABLERO!AS50=0),"",TABLERO!AS50)</f>
        <v/>
      </c>
      <c r="Z50" s="562" t="str">
        <f>IF(OR(TABLERO!AT50="",TABLERO!AT50=0),"",TABLERO!AT50)</f>
        <v/>
      </c>
      <c r="AA50" s="562" t="str">
        <f>IF(OR(TABLERO!AU50="",TABLERO!AU50=0),"",TABLERO!AU50)</f>
        <v/>
      </c>
      <c r="AB50" s="562" t="str">
        <f>IF(OR(TABLERO!AV50="",TABLERO!AV50=0),"",TABLERO!AV50)</f>
        <v/>
      </c>
      <c r="AC50" s="562" t="str">
        <f>IF(OR(TABLERO!AW50="",TABLERO!AW50=0),"",TABLERO!AW50)</f>
        <v/>
      </c>
      <c r="AD50" s="562" t="str">
        <f>IF(OR(TABLERO!AX50="",TABLERO!AX50=0),"",TABLERO!AX50)</f>
        <v/>
      </c>
      <c r="AE50" s="562" t="str">
        <f>IF(OR(TABLERO!AY50="",TABLERO!AY50=0),"",TABLERO!AY50)</f>
        <v/>
      </c>
      <c r="AF50" s="562" t="str">
        <f>IF(OR(TABLERO!AZ50="",TABLERO!AZ50=0),"",TABLERO!AZ50)</f>
        <v/>
      </c>
      <c r="AG50" s="562" t="str">
        <f>IF(OR(TABLERO!BA50="",TABLERO!BA50=0),"",TABLERO!BA50)</f>
        <v/>
      </c>
      <c r="AH50" s="48" t="str">
        <f>IF(TABLERO!BB50=0,"",IF(TABLERO!$F$17&lt;&gt;"KVA",TABLERO!BB50*1000,TABLERO!BB50*1000/TABLERO!DA50))</f>
        <v/>
      </c>
      <c r="AI50" s="48" t="str">
        <f>IF(TABLERO!BB50=0,"",IF(TABLERO!$F$17&lt;&gt;"KVA",TABLERO!BT50*1000,TABLERO!BT50*1000/TABLERO!DA50))</f>
        <v/>
      </c>
      <c r="AJ50" s="44" t="str">
        <f>IF(OR(TABLERO!BU50="",TABLERO!BU50=0),"",TABLERO!BU50)</f>
        <v/>
      </c>
      <c r="AK50" s="562" t="str">
        <f>IF(TABLERO!BB50=0,"",TABLERO!F50)</f>
        <v/>
      </c>
      <c r="AL50" s="562" t="str">
        <f>IF(TABLERO!BB50=0,"",TABLERO!G50)</f>
        <v/>
      </c>
      <c r="AM50" s="562" t="str">
        <f>IF(TABLERO!BB50=0,"",TABLERO!BV50)</f>
        <v/>
      </c>
      <c r="AN50" s="44" t="str">
        <f>IF(TABLERO!BB50=0,"",TABLERO!K50)</f>
        <v/>
      </c>
      <c r="AO50" s="562" t="str">
        <f>IF(TABLERO!BB50=0,"",TABLERO!J50)</f>
        <v/>
      </c>
      <c r="AP50" s="44" t="str">
        <f>IF(TABLERO!BB50=0,"",TABLERO!CT50)</f>
        <v/>
      </c>
      <c r="AQ50" s="44" t="str">
        <f>IF(TABLERO!BB50=0,"",TABLERO!CS50)</f>
        <v/>
      </c>
      <c r="AR50" s="44" t="str">
        <f>IF(TABLERO!BB50=0,"",TABLERO!CY50)</f>
        <v/>
      </c>
      <c r="AS50" s="562" t="str">
        <f>IF(TABLERO!BB50=0,"",TABLERO!N50)</f>
        <v/>
      </c>
      <c r="AT50" s="1079" t="str">
        <f>IF(TABLERO!BB50=0,"",TABLERO!BX50&amp;" "&amp;TABLERO!ED50&amp;", "&amp;TABLERO!I50)</f>
        <v/>
      </c>
      <c r="AU50" s="1080"/>
      <c r="AV50" s="44" t="str">
        <f>IF(TABLERO!BB50=0,"",TABLERO!BZ50)</f>
        <v/>
      </c>
      <c r="AW50" s="562" t="str">
        <f>IF(TABLERO!BB50=0,"",TABLERO!CA50)</f>
        <v/>
      </c>
      <c r="AX50" s="43" t="str">
        <f>IF(TABLERO!BB50=0,"",TABLERO!CB50)</f>
        <v/>
      </c>
      <c r="AY50" s="44" t="str">
        <f>IF(TABLERO!BB50=0,"",TABLERO!DL50)</f>
        <v/>
      </c>
      <c r="AZ50" s="576" t="str">
        <f>IF(OR(TABLERO!BB50=0,TABLERO!H50="RE"),"",TABLERO!F50&amp;"P-"&amp;TABLERO!BW50&amp;"A")</f>
        <v/>
      </c>
      <c r="BA50" s="44" t="str">
        <f>IF(TABLERO!BB50=0,"",TABLERO!CI50)</f>
        <v/>
      </c>
      <c r="BB50" s="44" t="str">
        <f>IF(TABLERO!BB50=0,"",TABLERO!CJ50)</f>
        <v/>
      </c>
      <c r="BC50" s="49" t="str">
        <f>IF(TABLERO!BB50=0,"",TABLERO!CK50)</f>
        <v/>
      </c>
      <c r="BG50" s="46">
        <f>IF(TABLERO!B50="",0,TABLERO!B50)</f>
        <v>0</v>
      </c>
      <c r="BH50" s="46">
        <f>IF(TABLERO!C50="",BG50,TABLERO!C50)</f>
        <v>0</v>
      </c>
      <c r="BI50" s="46">
        <f>IF(TABLERO!D50="",BG50,TABLERO!D50)</f>
        <v>0</v>
      </c>
      <c r="BJ50" s="50">
        <f t="shared" si="1"/>
        <v>0</v>
      </c>
    </row>
    <row r="51" spans="1:62">
      <c r="A51" s="46">
        <f>IF(OR(BG51&gt;TABLERO!$M$19,BH51&gt;TABLERO!$M$19,BI51&gt;TABLERO!$M$19,BG51=0,BH51=0,BI51=0),2,1)</f>
        <v>2</v>
      </c>
      <c r="B51" s="47" t="str">
        <f>TABLERO!B51&amp;IF(TABLERO!C51="","",","&amp;TABLERO!C51)&amp;IF(TABLERO!D51="","",","&amp;TABLERO!D51)</f>
        <v/>
      </c>
      <c r="C51" s="42" t="str">
        <f>IF(TABLERO!E51=0,"",TABLERO!E51)</f>
        <v/>
      </c>
      <c r="D51" s="562" t="str">
        <f>IF(OR(TABLERO!X51="",TABLERO!X51=0),"",TABLERO!X51)</f>
        <v/>
      </c>
      <c r="E51" s="562" t="str">
        <f>IF(OR(TABLERO!Y51="",TABLERO!Y51=0),"",TABLERO!Y51)</f>
        <v/>
      </c>
      <c r="F51" s="562" t="str">
        <f>IF(OR(TABLERO!Z51="",TABLERO!Z51=0),"",TABLERO!Z51)</f>
        <v/>
      </c>
      <c r="G51" s="562" t="str">
        <f>IF(OR(TABLERO!AA51="",TABLERO!AA51=0),"",TABLERO!AA51)</f>
        <v/>
      </c>
      <c r="H51" s="562" t="str">
        <f>IF(OR(TABLERO!AB51="",TABLERO!AB51=0),"",TABLERO!AB51)</f>
        <v/>
      </c>
      <c r="I51" s="562" t="str">
        <f>IF(OR(TABLERO!AC51="",TABLERO!AC51=0),"",TABLERO!AC51)</f>
        <v/>
      </c>
      <c r="J51" s="562" t="str">
        <f>IF(OR(TABLERO!AD51="",TABLERO!AD51=0),"",TABLERO!AD51)</f>
        <v/>
      </c>
      <c r="K51" s="562" t="str">
        <f>IF(OR(TABLERO!AE51="",TABLERO!AE51=0),"",TABLERO!AE51)</f>
        <v/>
      </c>
      <c r="L51" s="562" t="str">
        <f>IF(OR(TABLERO!AF51="",TABLERO!AF51=0),"",TABLERO!AF51)</f>
        <v/>
      </c>
      <c r="M51" s="562" t="str">
        <f>IF(OR(TABLERO!AG51="",TABLERO!AG51=0),"",TABLERO!AG51)</f>
        <v/>
      </c>
      <c r="N51" s="562" t="str">
        <f>IF(OR(TABLERO!AH51="",TABLERO!AH51=0),"",TABLERO!AH51)</f>
        <v/>
      </c>
      <c r="O51" s="562" t="str">
        <f>IF(OR(TABLERO!AI51="",TABLERO!AI51=0),"",TABLERO!AI51)</f>
        <v/>
      </c>
      <c r="P51" s="562" t="str">
        <f>IF(OR(TABLERO!AJ51="",TABLERO!AJ51=0),"",TABLERO!AJ51)</f>
        <v/>
      </c>
      <c r="Q51" s="562" t="str">
        <f>IF(OR(TABLERO!AK51="",TABLERO!AK51=0),"",TABLERO!AK51)</f>
        <v/>
      </c>
      <c r="R51" s="562" t="str">
        <f>IF(OR(TABLERO!AL51="",TABLERO!AL51=0),"",TABLERO!AL51)</f>
        <v/>
      </c>
      <c r="S51" s="562" t="str">
        <f>IF(OR(TABLERO!AM51="",TABLERO!AM51=0),"",TABLERO!AM51)</f>
        <v/>
      </c>
      <c r="T51" s="562" t="str">
        <f>IF(OR(TABLERO!AN51="",TABLERO!AN51=0),"",TABLERO!AN51)</f>
        <v/>
      </c>
      <c r="U51" s="562" t="str">
        <f>IF(OR(TABLERO!AO51="",TABLERO!AO51=0),"",TABLERO!AO51)</f>
        <v/>
      </c>
      <c r="V51" s="562" t="str">
        <f>IF(OR(TABLERO!AP51="",TABLERO!AP51=0),"",TABLERO!AP51)</f>
        <v/>
      </c>
      <c r="W51" s="562" t="str">
        <f>IF(OR(TABLERO!AQ51="",TABLERO!AQ51=0),"",TABLERO!AQ51)</f>
        <v/>
      </c>
      <c r="X51" s="562" t="str">
        <f>IF(OR(TABLERO!AR51="",TABLERO!AR51=0),"",TABLERO!AR51)</f>
        <v/>
      </c>
      <c r="Y51" s="562" t="str">
        <f>IF(OR(TABLERO!AS51="",TABLERO!AS51=0),"",TABLERO!AS51)</f>
        <v/>
      </c>
      <c r="Z51" s="562" t="str">
        <f>IF(OR(TABLERO!AT51="",TABLERO!AT51=0),"",TABLERO!AT51)</f>
        <v/>
      </c>
      <c r="AA51" s="562" t="str">
        <f>IF(OR(TABLERO!AU51="",TABLERO!AU51=0),"",TABLERO!AU51)</f>
        <v/>
      </c>
      <c r="AB51" s="562" t="str">
        <f>IF(OR(TABLERO!AV51="",TABLERO!AV51=0),"",TABLERO!AV51)</f>
        <v/>
      </c>
      <c r="AC51" s="562" t="str">
        <f>IF(OR(TABLERO!AW51="",TABLERO!AW51=0),"",TABLERO!AW51)</f>
        <v/>
      </c>
      <c r="AD51" s="562" t="str">
        <f>IF(OR(TABLERO!AX51="",TABLERO!AX51=0),"",TABLERO!AX51)</f>
        <v/>
      </c>
      <c r="AE51" s="562" t="str">
        <f>IF(OR(TABLERO!AY51="",TABLERO!AY51=0),"",TABLERO!AY51)</f>
        <v/>
      </c>
      <c r="AF51" s="562" t="str">
        <f>IF(OR(TABLERO!AZ51="",TABLERO!AZ51=0),"",TABLERO!AZ51)</f>
        <v/>
      </c>
      <c r="AG51" s="562" t="str">
        <f>IF(OR(TABLERO!BA51="",TABLERO!BA51=0),"",TABLERO!BA51)</f>
        <v/>
      </c>
      <c r="AH51" s="48" t="str">
        <f>IF(TABLERO!BB51=0,"",IF(TABLERO!$F$17&lt;&gt;"KVA",TABLERO!BB51*1000,TABLERO!BB51*1000/TABLERO!DA51))</f>
        <v/>
      </c>
      <c r="AI51" s="48" t="str">
        <f>IF(TABLERO!BB51=0,"",IF(TABLERO!$F$17&lt;&gt;"KVA",TABLERO!BT51*1000,TABLERO!BT51*1000/TABLERO!DA51))</f>
        <v/>
      </c>
      <c r="AJ51" s="44" t="str">
        <f>IF(OR(TABLERO!BU51="",TABLERO!BU51=0),"",TABLERO!BU51)</f>
        <v/>
      </c>
      <c r="AK51" s="562" t="str">
        <f>IF(TABLERO!BB51=0,"",TABLERO!F51)</f>
        <v/>
      </c>
      <c r="AL51" s="562" t="str">
        <f>IF(TABLERO!BB51=0,"",TABLERO!G51)</f>
        <v/>
      </c>
      <c r="AM51" s="562" t="str">
        <f>IF(TABLERO!BB51=0,"",TABLERO!BV51)</f>
        <v/>
      </c>
      <c r="AN51" s="44" t="str">
        <f>IF(TABLERO!BB51=0,"",TABLERO!K51)</f>
        <v/>
      </c>
      <c r="AO51" s="562" t="str">
        <f>IF(TABLERO!BB51=0,"",TABLERO!J51)</f>
        <v/>
      </c>
      <c r="AP51" s="44" t="str">
        <f>IF(TABLERO!BB51=0,"",TABLERO!CT51)</f>
        <v/>
      </c>
      <c r="AQ51" s="44" t="str">
        <f>IF(TABLERO!BB51=0,"",TABLERO!CS51)</f>
        <v/>
      </c>
      <c r="AR51" s="44" t="str">
        <f>IF(TABLERO!BB51=0,"",TABLERO!CY51)</f>
        <v/>
      </c>
      <c r="AS51" s="562" t="str">
        <f>IF(TABLERO!BB51=0,"",TABLERO!N51)</f>
        <v/>
      </c>
      <c r="AT51" s="1079" t="str">
        <f>IF(TABLERO!BB51=0,"",TABLERO!BX51&amp;" "&amp;TABLERO!ED51&amp;", "&amp;TABLERO!I51)</f>
        <v/>
      </c>
      <c r="AU51" s="1080"/>
      <c r="AV51" s="44" t="str">
        <f>IF(TABLERO!BB51=0,"",TABLERO!BZ51)</f>
        <v/>
      </c>
      <c r="AW51" s="562" t="str">
        <f>IF(TABLERO!BB51=0,"",TABLERO!CA51)</f>
        <v/>
      </c>
      <c r="AX51" s="43" t="str">
        <f>IF(TABLERO!BB51=0,"",TABLERO!CB51)</f>
        <v/>
      </c>
      <c r="AY51" s="44" t="str">
        <f>IF(TABLERO!BB51=0,"",TABLERO!DL51)</f>
        <v/>
      </c>
      <c r="AZ51" s="576" t="str">
        <f>IF(OR(TABLERO!BB51=0,TABLERO!H51="RE"),"",TABLERO!F51&amp;"P-"&amp;TABLERO!BW51&amp;"A")</f>
        <v/>
      </c>
      <c r="BA51" s="44" t="str">
        <f>IF(TABLERO!BB51=0,"",TABLERO!CI51)</f>
        <v/>
      </c>
      <c r="BB51" s="44" t="str">
        <f>IF(TABLERO!BB51=0,"",TABLERO!CJ51)</f>
        <v/>
      </c>
      <c r="BC51" s="49" t="str">
        <f>IF(TABLERO!BB51=0,"",TABLERO!CK51)</f>
        <v/>
      </c>
      <c r="BG51" s="46">
        <f>IF(TABLERO!B51="",0,TABLERO!B51)</f>
        <v>0</v>
      </c>
      <c r="BH51" s="46">
        <f>IF(TABLERO!C51="",BG51,TABLERO!C51)</f>
        <v>0</v>
      </c>
      <c r="BI51" s="46">
        <f>IF(TABLERO!D51="",BG51,TABLERO!D51)</f>
        <v>0</v>
      </c>
      <c r="BJ51" s="50">
        <f t="shared" si="1"/>
        <v>0</v>
      </c>
    </row>
    <row r="52" spans="1:62">
      <c r="A52" s="46">
        <f>IF(OR(BG52&gt;TABLERO!$M$19,BH52&gt;TABLERO!$M$19,BI52&gt;TABLERO!$M$19,BG52=0,BH52=0,BI52=0),2,1)</f>
        <v>2</v>
      </c>
      <c r="B52" s="47" t="str">
        <f>TABLERO!B52&amp;IF(TABLERO!C52="","",","&amp;TABLERO!C52)&amp;IF(TABLERO!D52="","",","&amp;TABLERO!D52)</f>
        <v/>
      </c>
      <c r="C52" s="42" t="str">
        <f>IF(TABLERO!E52=0,"",TABLERO!E52)</f>
        <v/>
      </c>
      <c r="D52" s="562" t="str">
        <f>IF(OR(TABLERO!X52="",TABLERO!X52=0),"",TABLERO!X52)</f>
        <v/>
      </c>
      <c r="E52" s="562" t="str">
        <f>IF(OR(TABLERO!Y52="",TABLERO!Y52=0),"",TABLERO!Y52)</f>
        <v/>
      </c>
      <c r="F52" s="562" t="str">
        <f>IF(OR(TABLERO!Z52="",TABLERO!Z52=0),"",TABLERO!Z52)</f>
        <v/>
      </c>
      <c r="G52" s="562" t="str">
        <f>IF(OR(TABLERO!AA52="",TABLERO!AA52=0),"",TABLERO!AA52)</f>
        <v/>
      </c>
      <c r="H52" s="562" t="str">
        <f>IF(OR(TABLERO!AB52="",TABLERO!AB52=0),"",TABLERO!AB52)</f>
        <v/>
      </c>
      <c r="I52" s="562" t="str">
        <f>IF(OR(TABLERO!AC52="",TABLERO!AC52=0),"",TABLERO!AC52)</f>
        <v/>
      </c>
      <c r="J52" s="562" t="str">
        <f>IF(OR(TABLERO!AD52="",TABLERO!AD52=0),"",TABLERO!AD52)</f>
        <v/>
      </c>
      <c r="K52" s="562" t="str">
        <f>IF(OR(TABLERO!AE52="",TABLERO!AE52=0),"",TABLERO!AE52)</f>
        <v/>
      </c>
      <c r="L52" s="562" t="str">
        <f>IF(OR(TABLERO!AF52="",TABLERO!AF52=0),"",TABLERO!AF52)</f>
        <v/>
      </c>
      <c r="M52" s="562" t="str">
        <f>IF(OR(TABLERO!AG52="",TABLERO!AG52=0),"",TABLERO!AG52)</f>
        <v/>
      </c>
      <c r="N52" s="562" t="str">
        <f>IF(OR(TABLERO!AH52="",TABLERO!AH52=0),"",TABLERO!AH52)</f>
        <v/>
      </c>
      <c r="O52" s="562" t="str">
        <f>IF(OR(TABLERO!AI52="",TABLERO!AI52=0),"",TABLERO!AI52)</f>
        <v/>
      </c>
      <c r="P52" s="562" t="str">
        <f>IF(OR(TABLERO!AJ52="",TABLERO!AJ52=0),"",TABLERO!AJ52)</f>
        <v/>
      </c>
      <c r="Q52" s="562" t="str">
        <f>IF(OR(TABLERO!AK52="",TABLERO!AK52=0),"",TABLERO!AK52)</f>
        <v/>
      </c>
      <c r="R52" s="562" t="str">
        <f>IF(OR(TABLERO!AL52="",TABLERO!AL52=0),"",TABLERO!AL52)</f>
        <v/>
      </c>
      <c r="S52" s="562" t="str">
        <f>IF(OR(TABLERO!AM52="",TABLERO!AM52=0),"",TABLERO!AM52)</f>
        <v/>
      </c>
      <c r="T52" s="562" t="str">
        <f>IF(OR(TABLERO!AN52="",TABLERO!AN52=0),"",TABLERO!AN52)</f>
        <v/>
      </c>
      <c r="U52" s="562" t="str">
        <f>IF(OR(TABLERO!AO52="",TABLERO!AO52=0),"",TABLERO!AO52)</f>
        <v/>
      </c>
      <c r="V52" s="562" t="str">
        <f>IF(OR(TABLERO!AP52="",TABLERO!AP52=0),"",TABLERO!AP52)</f>
        <v/>
      </c>
      <c r="W52" s="562" t="str">
        <f>IF(OR(TABLERO!AQ52="",TABLERO!AQ52=0),"",TABLERO!AQ52)</f>
        <v/>
      </c>
      <c r="X52" s="562" t="str">
        <f>IF(OR(TABLERO!AR52="",TABLERO!AR52=0),"",TABLERO!AR52)</f>
        <v/>
      </c>
      <c r="Y52" s="562" t="str">
        <f>IF(OR(TABLERO!AS52="",TABLERO!AS52=0),"",TABLERO!AS52)</f>
        <v/>
      </c>
      <c r="Z52" s="562" t="str">
        <f>IF(OR(TABLERO!AT52="",TABLERO!AT52=0),"",TABLERO!AT52)</f>
        <v/>
      </c>
      <c r="AA52" s="562" t="str">
        <f>IF(OR(TABLERO!AU52="",TABLERO!AU52=0),"",TABLERO!AU52)</f>
        <v/>
      </c>
      <c r="AB52" s="562" t="str">
        <f>IF(OR(TABLERO!AV52="",TABLERO!AV52=0),"",TABLERO!AV52)</f>
        <v/>
      </c>
      <c r="AC52" s="562" t="str">
        <f>IF(OR(TABLERO!AW52="",TABLERO!AW52=0),"",TABLERO!AW52)</f>
        <v/>
      </c>
      <c r="AD52" s="562" t="str">
        <f>IF(OR(TABLERO!AX52="",TABLERO!AX52=0),"",TABLERO!AX52)</f>
        <v/>
      </c>
      <c r="AE52" s="562" t="str">
        <f>IF(OR(TABLERO!AY52="",TABLERO!AY52=0),"",TABLERO!AY52)</f>
        <v/>
      </c>
      <c r="AF52" s="562" t="str">
        <f>IF(OR(TABLERO!AZ52="",TABLERO!AZ52=0),"",TABLERO!AZ52)</f>
        <v/>
      </c>
      <c r="AG52" s="562" t="str">
        <f>IF(OR(TABLERO!BA52="",TABLERO!BA52=0),"",TABLERO!BA52)</f>
        <v/>
      </c>
      <c r="AH52" s="48" t="str">
        <f>IF(TABLERO!BB52=0,"",IF(TABLERO!$F$17&lt;&gt;"KVA",TABLERO!BB52*1000,TABLERO!BB52*1000/TABLERO!DA52))</f>
        <v/>
      </c>
      <c r="AI52" s="48" t="str">
        <f>IF(TABLERO!BB52=0,"",IF(TABLERO!$F$17&lt;&gt;"KVA",TABLERO!BT52*1000,TABLERO!BT52*1000/TABLERO!DA52))</f>
        <v/>
      </c>
      <c r="AJ52" s="44" t="str">
        <f>IF(OR(TABLERO!BU52="",TABLERO!BU52=0),"",TABLERO!BU52)</f>
        <v/>
      </c>
      <c r="AK52" s="562" t="str">
        <f>IF(TABLERO!BB52=0,"",TABLERO!F52)</f>
        <v/>
      </c>
      <c r="AL52" s="562" t="str">
        <f>IF(TABLERO!BB52=0,"",TABLERO!G52)</f>
        <v/>
      </c>
      <c r="AM52" s="562" t="str">
        <f>IF(TABLERO!BB52=0,"",TABLERO!BV52)</f>
        <v/>
      </c>
      <c r="AN52" s="44" t="str">
        <f>IF(TABLERO!BB52=0,"",TABLERO!K52)</f>
        <v/>
      </c>
      <c r="AO52" s="562" t="str">
        <f>IF(TABLERO!BB52=0,"",TABLERO!J52)</f>
        <v/>
      </c>
      <c r="AP52" s="44" t="str">
        <f>IF(TABLERO!BB52=0,"",TABLERO!CT52)</f>
        <v/>
      </c>
      <c r="AQ52" s="44" t="str">
        <f>IF(TABLERO!BB52=0,"",TABLERO!CS52)</f>
        <v/>
      </c>
      <c r="AR52" s="44" t="str">
        <f>IF(TABLERO!BB52=0,"",TABLERO!CY52)</f>
        <v/>
      </c>
      <c r="AS52" s="562" t="str">
        <f>IF(TABLERO!BB52=0,"",TABLERO!N52)</f>
        <v/>
      </c>
      <c r="AT52" s="1079" t="str">
        <f>IF(TABLERO!BB52=0,"",TABLERO!BX52&amp;" "&amp;TABLERO!ED52&amp;", "&amp;TABLERO!I52)</f>
        <v/>
      </c>
      <c r="AU52" s="1080"/>
      <c r="AV52" s="44" t="str">
        <f>IF(TABLERO!BB52=0,"",TABLERO!BZ52)</f>
        <v/>
      </c>
      <c r="AW52" s="562" t="str">
        <f>IF(TABLERO!BB52=0,"",TABLERO!CA52)</f>
        <v/>
      </c>
      <c r="AX52" s="43" t="str">
        <f>IF(TABLERO!BB52=0,"",TABLERO!CB52)</f>
        <v/>
      </c>
      <c r="AY52" s="44" t="str">
        <f>IF(TABLERO!BB52=0,"",TABLERO!DL52)</f>
        <v/>
      </c>
      <c r="AZ52" s="576" t="str">
        <f>IF(OR(TABLERO!BB52=0,TABLERO!H52="RE"),"",TABLERO!F52&amp;"P-"&amp;TABLERO!BW52&amp;"A")</f>
        <v/>
      </c>
      <c r="BA52" s="44" t="str">
        <f>IF(TABLERO!BB52=0,"",TABLERO!CI52)</f>
        <v/>
      </c>
      <c r="BB52" s="44" t="str">
        <f>IF(TABLERO!BB52=0,"",TABLERO!CJ52)</f>
        <v/>
      </c>
      <c r="BC52" s="49" t="str">
        <f>IF(TABLERO!BB52=0,"",TABLERO!CK52)</f>
        <v/>
      </c>
      <c r="BG52" s="46">
        <f>IF(TABLERO!B52="",0,TABLERO!B52)</f>
        <v>0</v>
      </c>
      <c r="BH52" s="46">
        <f>IF(TABLERO!C52="",BG52,TABLERO!C52)</f>
        <v>0</v>
      </c>
      <c r="BI52" s="46">
        <f>IF(TABLERO!D52="",BG52,TABLERO!D52)</f>
        <v>0</v>
      </c>
      <c r="BJ52" s="50">
        <f t="shared" si="1"/>
        <v>0</v>
      </c>
    </row>
    <row r="53" spans="1:62">
      <c r="A53" s="46">
        <f>IF(OR(BG53&gt;TABLERO!$M$19,BH53&gt;TABLERO!$M$19,BI53&gt;TABLERO!$M$19,BG53=0,BH53=0,BI53=0),2,1)</f>
        <v>2</v>
      </c>
      <c r="B53" s="47" t="str">
        <f>TABLERO!B53&amp;IF(TABLERO!C53="","",","&amp;TABLERO!C53)&amp;IF(TABLERO!D53="","",","&amp;TABLERO!D53)</f>
        <v/>
      </c>
      <c r="C53" s="42" t="str">
        <f>IF(TABLERO!E53=0,"",TABLERO!E53)</f>
        <v/>
      </c>
      <c r="D53" s="562" t="str">
        <f>IF(OR(TABLERO!X53="",TABLERO!X53=0),"",TABLERO!X53)</f>
        <v/>
      </c>
      <c r="E53" s="562" t="str">
        <f>IF(OR(TABLERO!Y53="",TABLERO!Y53=0),"",TABLERO!Y53)</f>
        <v/>
      </c>
      <c r="F53" s="562" t="str">
        <f>IF(OR(TABLERO!Z53="",TABLERO!Z53=0),"",TABLERO!Z53)</f>
        <v/>
      </c>
      <c r="G53" s="562" t="str">
        <f>IF(OR(TABLERO!AA53="",TABLERO!AA53=0),"",TABLERO!AA53)</f>
        <v/>
      </c>
      <c r="H53" s="562" t="str">
        <f>IF(OR(TABLERO!AB53="",TABLERO!AB53=0),"",TABLERO!AB53)</f>
        <v/>
      </c>
      <c r="I53" s="562" t="str">
        <f>IF(OR(TABLERO!AC53="",TABLERO!AC53=0),"",TABLERO!AC53)</f>
        <v/>
      </c>
      <c r="J53" s="562" t="str">
        <f>IF(OR(TABLERO!AD53="",TABLERO!AD53=0),"",TABLERO!AD53)</f>
        <v/>
      </c>
      <c r="K53" s="562" t="str">
        <f>IF(OR(TABLERO!AE53="",TABLERO!AE53=0),"",TABLERO!AE53)</f>
        <v/>
      </c>
      <c r="L53" s="562" t="str">
        <f>IF(OR(TABLERO!AF53="",TABLERO!AF53=0),"",TABLERO!AF53)</f>
        <v/>
      </c>
      <c r="M53" s="562" t="str">
        <f>IF(OR(TABLERO!AG53="",TABLERO!AG53=0),"",TABLERO!AG53)</f>
        <v/>
      </c>
      <c r="N53" s="562" t="str">
        <f>IF(OR(TABLERO!AH53="",TABLERO!AH53=0),"",TABLERO!AH53)</f>
        <v/>
      </c>
      <c r="O53" s="562" t="str">
        <f>IF(OR(TABLERO!AI53="",TABLERO!AI53=0),"",TABLERO!AI53)</f>
        <v/>
      </c>
      <c r="P53" s="562" t="str">
        <f>IF(OR(TABLERO!AJ53="",TABLERO!AJ53=0),"",TABLERO!AJ53)</f>
        <v/>
      </c>
      <c r="Q53" s="562" t="str">
        <f>IF(OR(TABLERO!AK53="",TABLERO!AK53=0),"",TABLERO!AK53)</f>
        <v/>
      </c>
      <c r="R53" s="562" t="str">
        <f>IF(OR(TABLERO!AL53="",TABLERO!AL53=0),"",TABLERO!AL53)</f>
        <v/>
      </c>
      <c r="S53" s="562" t="str">
        <f>IF(OR(TABLERO!AM53="",TABLERO!AM53=0),"",TABLERO!AM53)</f>
        <v/>
      </c>
      <c r="T53" s="562" t="str">
        <f>IF(OR(TABLERO!AN53="",TABLERO!AN53=0),"",TABLERO!AN53)</f>
        <v/>
      </c>
      <c r="U53" s="562" t="str">
        <f>IF(OR(TABLERO!AO53="",TABLERO!AO53=0),"",TABLERO!AO53)</f>
        <v/>
      </c>
      <c r="V53" s="562" t="str">
        <f>IF(OR(TABLERO!AP53="",TABLERO!AP53=0),"",TABLERO!AP53)</f>
        <v/>
      </c>
      <c r="W53" s="562" t="str">
        <f>IF(OR(TABLERO!AQ53="",TABLERO!AQ53=0),"",TABLERO!AQ53)</f>
        <v/>
      </c>
      <c r="X53" s="562" t="str">
        <f>IF(OR(TABLERO!AR53="",TABLERO!AR53=0),"",TABLERO!AR53)</f>
        <v/>
      </c>
      <c r="Y53" s="562" t="str">
        <f>IF(OR(TABLERO!AS53="",TABLERO!AS53=0),"",TABLERO!AS53)</f>
        <v/>
      </c>
      <c r="Z53" s="562" t="str">
        <f>IF(OR(TABLERO!AT53="",TABLERO!AT53=0),"",TABLERO!AT53)</f>
        <v/>
      </c>
      <c r="AA53" s="562" t="str">
        <f>IF(OR(TABLERO!AU53="",TABLERO!AU53=0),"",TABLERO!AU53)</f>
        <v/>
      </c>
      <c r="AB53" s="562" t="str">
        <f>IF(OR(TABLERO!AV53="",TABLERO!AV53=0),"",TABLERO!AV53)</f>
        <v/>
      </c>
      <c r="AC53" s="562" t="str">
        <f>IF(OR(TABLERO!AW53="",TABLERO!AW53=0),"",TABLERO!AW53)</f>
        <v/>
      </c>
      <c r="AD53" s="562" t="str">
        <f>IF(OR(TABLERO!AX53="",TABLERO!AX53=0),"",TABLERO!AX53)</f>
        <v/>
      </c>
      <c r="AE53" s="562" t="str">
        <f>IF(OR(TABLERO!AY53="",TABLERO!AY53=0),"",TABLERO!AY53)</f>
        <v/>
      </c>
      <c r="AF53" s="562" t="str">
        <f>IF(OR(TABLERO!AZ53="",TABLERO!AZ53=0),"",TABLERO!AZ53)</f>
        <v/>
      </c>
      <c r="AG53" s="562" t="str">
        <f>IF(OR(TABLERO!BA53="",TABLERO!BA53=0),"",TABLERO!BA53)</f>
        <v/>
      </c>
      <c r="AH53" s="48" t="str">
        <f>IF(TABLERO!BB53=0,"",IF(TABLERO!$F$17&lt;&gt;"KVA",TABLERO!BB53*1000,TABLERO!BB53*1000/TABLERO!DA53))</f>
        <v/>
      </c>
      <c r="AI53" s="48" t="str">
        <f>IF(TABLERO!BB53=0,"",IF(TABLERO!$F$17&lt;&gt;"KVA",TABLERO!BT53*1000,TABLERO!BT53*1000/TABLERO!DA53))</f>
        <v/>
      </c>
      <c r="AJ53" s="44" t="str">
        <f>IF(OR(TABLERO!BU53="",TABLERO!BU53=0),"",TABLERO!BU53)</f>
        <v/>
      </c>
      <c r="AK53" s="562" t="str">
        <f>IF(TABLERO!BB53=0,"",TABLERO!F53)</f>
        <v/>
      </c>
      <c r="AL53" s="562" t="str">
        <f>IF(TABLERO!BB53=0,"",TABLERO!G53)</f>
        <v/>
      </c>
      <c r="AM53" s="562" t="str">
        <f>IF(TABLERO!BB53=0,"",TABLERO!BV53)</f>
        <v/>
      </c>
      <c r="AN53" s="44" t="str">
        <f>IF(TABLERO!BB53=0,"",TABLERO!K53)</f>
        <v/>
      </c>
      <c r="AO53" s="562" t="str">
        <f>IF(TABLERO!BB53=0,"",TABLERO!J53)</f>
        <v/>
      </c>
      <c r="AP53" s="44" t="str">
        <f>IF(TABLERO!BB53=0,"",TABLERO!CT53)</f>
        <v/>
      </c>
      <c r="AQ53" s="44" t="str">
        <f>IF(TABLERO!BB53=0,"",TABLERO!CS53)</f>
        <v/>
      </c>
      <c r="AR53" s="44" t="str">
        <f>IF(TABLERO!BB53=0,"",TABLERO!CY53)</f>
        <v/>
      </c>
      <c r="AS53" s="562" t="str">
        <f>IF(TABLERO!BB53=0,"",TABLERO!N53)</f>
        <v/>
      </c>
      <c r="AT53" s="1079" t="str">
        <f>IF(TABLERO!BB53=0,"",TABLERO!BX53&amp;" "&amp;TABLERO!ED53&amp;", "&amp;TABLERO!I53)</f>
        <v/>
      </c>
      <c r="AU53" s="1080"/>
      <c r="AV53" s="44" t="str">
        <f>IF(TABLERO!BB53=0,"",TABLERO!BZ53)</f>
        <v/>
      </c>
      <c r="AW53" s="562" t="str">
        <f>IF(TABLERO!BB53=0,"",TABLERO!CA53)</f>
        <v/>
      </c>
      <c r="AX53" s="43" t="str">
        <f>IF(TABLERO!BB53=0,"",TABLERO!CB53)</f>
        <v/>
      </c>
      <c r="AY53" s="44" t="str">
        <f>IF(TABLERO!BB53=0,"",TABLERO!DL53)</f>
        <v/>
      </c>
      <c r="AZ53" s="576" t="str">
        <f>IF(OR(TABLERO!BB53=0,TABLERO!H53="RE"),"",TABLERO!F53&amp;"P-"&amp;TABLERO!BW53&amp;"A")</f>
        <v/>
      </c>
      <c r="BA53" s="44" t="str">
        <f>IF(TABLERO!BB53=0,"",TABLERO!CI53)</f>
        <v/>
      </c>
      <c r="BB53" s="44" t="str">
        <f>IF(TABLERO!BB53=0,"",TABLERO!CJ53)</f>
        <v/>
      </c>
      <c r="BC53" s="49" t="str">
        <f>IF(TABLERO!BB53=0,"",TABLERO!CK53)</f>
        <v/>
      </c>
      <c r="BG53" s="46">
        <f>IF(TABLERO!B53="",0,TABLERO!B53)</f>
        <v>0</v>
      </c>
      <c r="BH53" s="46">
        <f>IF(TABLERO!C53="",BG53,TABLERO!C53)</f>
        <v>0</v>
      </c>
      <c r="BI53" s="46">
        <f>IF(TABLERO!D53="",BG53,TABLERO!D53)</f>
        <v>0</v>
      </c>
      <c r="BJ53" s="50">
        <f t="shared" si="1"/>
        <v>0</v>
      </c>
    </row>
    <row r="54" spans="1:62">
      <c r="A54" s="46">
        <f>IF(OR(BG54&gt;TABLERO!$M$19,BH54&gt;TABLERO!$M$19,BI54&gt;TABLERO!$M$19,BG54=0,BH54=0,BI54=0),2,1)</f>
        <v>2</v>
      </c>
      <c r="B54" s="47" t="str">
        <f>TABLERO!B54&amp;IF(TABLERO!C54="","",","&amp;TABLERO!C54)&amp;IF(TABLERO!D54="","",","&amp;TABLERO!D54)</f>
        <v/>
      </c>
      <c r="C54" s="42" t="str">
        <f>IF(TABLERO!E54=0,"",TABLERO!E54)</f>
        <v/>
      </c>
      <c r="D54" s="562" t="str">
        <f>IF(OR(TABLERO!X54="",TABLERO!X54=0),"",TABLERO!X54)</f>
        <v/>
      </c>
      <c r="E54" s="562" t="str">
        <f>IF(OR(TABLERO!Y54="",TABLERO!Y54=0),"",TABLERO!Y54)</f>
        <v/>
      </c>
      <c r="F54" s="562" t="str">
        <f>IF(OR(TABLERO!Z54="",TABLERO!Z54=0),"",TABLERO!Z54)</f>
        <v/>
      </c>
      <c r="G54" s="562" t="str">
        <f>IF(OR(TABLERO!AA54="",TABLERO!AA54=0),"",TABLERO!AA54)</f>
        <v/>
      </c>
      <c r="H54" s="562" t="str">
        <f>IF(OR(TABLERO!AB54="",TABLERO!AB54=0),"",TABLERO!AB54)</f>
        <v/>
      </c>
      <c r="I54" s="562" t="str">
        <f>IF(OR(TABLERO!AC54="",TABLERO!AC54=0),"",TABLERO!AC54)</f>
        <v/>
      </c>
      <c r="J54" s="562" t="str">
        <f>IF(OR(TABLERO!AD54="",TABLERO!AD54=0),"",TABLERO!AD54)</f>
        <v/>
      </c>
      <c r="K54" s="562" t="str">
        <f>IF(OR(TABLERO!AE54="",TABLERO!AE54=0),"",TABLERO!AE54)</f>
        <v/>
      </c>
      <c r="L54" s="562" t="str">
        <f>IF(OR(TABLERO!AF54="",TABLERO!AF54=0),"",TABLERO!AF54)</f>
        <v/>
      </c>
      <c r="M54" s="562" t="str">
        <f>IF(OR(TABLERO!AG54="",TABLERO!AG54=0),"",TABLERO!AG54)</f>
        <v/>
      </c>
      <c r="N54" s="562" t="str">
        <f>IF(OR(TABLERO!AH54="",TABLERO!AH54=0),"",TABLERO!AH54)</f>
        <v/>
      </c>
      <c r="O54" s="562" t="str">
        <f>IF(OR(TABLERO!AI54="",TABLERO!AI54=0),"",TABLERO!AI54)</f>
        <v/>
      </c>
      <c r="P54" s="562" t="str">
        <f>IF(OR(TABLERO!AJ54="",TABLERO!AJ54=0),"",TABLERO!AJ54)</f>
        <v/>
      </c>
      <c r="Q54" s="562" t="str">
        <f>IF(OR(TABLERO!AK54="",TABLERO!AK54=0),"",TABLERO!AK54)</f>
        <v/>
      </c>
      <c r="R54" s="562" t="str">
        <f>IF(OR(TABLERO!AL54="",TABLERO!AL54=0),"",TABLERO!AL54)</f>
        <v/>
      </c>
      <c r="S54" s="562" t="str">
        <f>IF(OR(TABLERO!AM54="",TABLERO!AM54=0),"",TABLERO!AM54)</f>
        <v/>
      </c>
      <c r="T54" s="562" t="str">
        <f>IF(OR(TABLERO!AN54="",TABLERO!AN54=0),"",TABLERO!AN54)</f>
        <v/>
      </c>
      <c r="U54" s="562" t="str">
        <f>IF(OR(TABLERO!AO54="",TABLERO!AO54=0),"",TABLERO!AO54)</f>
        <v/>
      </c>
      <c r="V54" s="562" t="str">
        <f>IF(OR(TABLERO!AP54="",TABLERO!AP54=0),"",TABLERO!AP54)</f>
        <v/>
      </c>
      <c r="W54" s="562" t="str">
        <f>IF(OR(TABLERO!AQ54="",TABLERO!AQ54=0),"",TABLERO!AQ54)</f>
        <v/>
      </c>
      <c r="X54" s="562" t="str">
        <f>IF(OR(TABLERO!AR54="",TABLERO!AR54=0),"",TABLERO!AR54)</f>
        <v/>
      </c>
      <c r="Y54" s="562" t="str">
        <f>IF(OR(TABLERO!AS54="",TABLERO!AS54=0),"",TABLERO!AS54)</f>
        <v/>
      </c>
      <c r="Z54" s="562" t="str">
        <f>IF(OR(TABLERO!AT54="",TABLERO!AT54=0),"",TABLERO!AT54)</f>
        <v/>
      </c>
      <c r="AA54" s="562" t="str">
        <f>IF(OR(TABLERO!AU54="",TABLERO!AU54=0),"",TABLERO!AU54)</f>
        <v/>
      </c>
      <c r="AB54" s="562" t="str">
        <f>IF(OR(TABLERO!AV54="",TABLERO!AV54=0),"",TABLERO!AV54)</f>
        <v/>
      </c>
      <c r="AC54" s="562" t="str">
        <f>IF(OR(TABLERO!AW54="",TABLERO!AW54=0),"",TABLERO!AW54)</f>
        <v/>
      </c>
      <c r="AD54" s="562" t="str">
        <f>IF(OR(TABLERO!AX54="",TABLERO!AX54=0),"",TABLERO!AX54)</f>
        <v/>
      </c>
      <c r="AE54" s="562" t="str">
        <f>IF(OR(TABLERO!AY54="",TABLERO!AY54=0),"",TABLERO!AY54)</f>
        <v/>
      </c>
      <c r="AF54" s="562" t="str">
        <f>IF(OR(TABLERO!AZ54="",TABLERO!AZ54=0),"",TABLERO!AZ54)</f>
        <v/>
      </c>
      <c r="AG54" s="562" t="str">
        <f>IF(OR(TABLERO!BA54="",TABLERO!BA54=0),"",TABLERO!BA54)</f>
        <v/>
      </c>
      <c r="AH54" s="48" t="str">
        <f>IF(TABLERO!BB54=0,"",IF(TABLERO!$F$17&lt;&gt;"KVA",TABLERO!BB54*1000,TABLERO!BB54*1000/TABLERO!DA54))</f>
        <v/>
      </c>
      <c r="AI54" s="48" t="str">
        <f>IF(TABLERO!BB54=0,"",IF(TABLERO!$F$17&lt;&gt;"KVA",TABLERO!BT54*1000,TABLERO!BT54*1000/TABLERO!DA54))</f>
        <v/>
      </c>
      <c r="AJ54" s="44" t="str">
        <f>IF(OR(TABLERO!BU54="",TABLERO!BU54=0),"",TABLERO!BU54)</f>
        <v/>
      </c>
      <c r="AK54" s="562" t="str">
        <f>IF(TABLERO!BB54=0,"",TABLERO!F54)</f>
        <v/>
      </c>
      <c r="AL54" s="562" t="str">
        <f>IF(TABLERO!BB54=0,"",TABLERO!G54)</f>
        <v/>
      </c>
      <c r="AM54" s="562" t="str">
        <f>IF(TABLERO!BB54=0,"",TABLERO!BV54)</f>
        <v/>
      </c>
      <c r="AN54" s="44" t="str">
        <f>IF(TABLERO!BB54=0,"",TABLERO!K54)</f>
        <v/>
      </c>
      <c r="AO54" s="562" t="str">
        <f>IF(TABLERO!BB54=0,"",TABLERO!J54)</f>
        <v/>
      </c>
      <c r="AP54" s="44" t="str">
        <f>IF(TABLERO!BB54=0,"",TABLERO!CT54)</f>
        <v/>
      </c>
      <c r="AQ54" s="44" t="str">
        <f>IF(TABLERO!BB54=0,"",TABLERO!CS54)</f>
        <v/>
      </c>
      <c r="AR54" s="44" t="str">
        <f>IF(TABLERO!BB54=0,"",TABLERO!CY54)</f>
        <v/>
      </c>
      <c r="AS54" s="562" t="str">
        <f>IF(TABLERO!BB54=0,"",TABLERO!N54)</f>
        <v/>
      </c>
      <c r="AT54" s="1079" t="str">
        <f>IF(TABLERO!BB54=0,"",TABLERO!BX54&amp;" "&amp;TABLERO!ED54&amp;", "&amp;TABLERO!I54)</f>
        <v/>
      </c>
      <c r="AU54" s="1080"/>
      <c r="AV54" s="44" t="str">
        <f>IF(TABLERO!BB54=0,"",TABLERO!BZ54)</f>
        <v/>
      </c>
      <c r="AW54" s="562" t="str">
        <f>IF(TABLERO!BB54=0,"",TABLERO!CA54)</f>
        <v/>
      </c>
      <c r="AX54" s="43" t="str">
        <f>IF(TABLERO!BB54=0,"",TABLERO!CB54)</f>
        <v/>
      </c>
      <c r="AY54" s="44" t="str">
        <f>IF(TABLERO!BB54=0,"",TABLERO!DL54)</f>
        <v/>
      </c>
      <c r="AZ54" s="576" t="str">
        <f>IF(OR(TABLERO!BB54=0,TABLERO!H54="RE"),"",TABLERO!F54&amp;"P-"&amp;TABLERO!BW54&amp;"A")</f>
        <v/>
      </c>
      <c r="BA54" s="44" t="str">
        <f>IF(TABLERO!BB54=0,"",TABLERO!CI54)</f>
        <v/>
      </c>
      <c r="BB54" s="44" t="str">
        <f>IF(TABLERO!BB54=0,"",TABLERO!CJ54)</f>
        <v/>
      </c>
      <c r="BC54" s="49" t="str">
        <f>IF(TABLERO!BB54=0,"",TABLERO!CK54)</f>
        <v/>
      </c>
      <c r="BG54" s="46">
        <f>IF(TABLERO!B54="",0,TABLERO!B54)</f>
        <v>0</v>
      </c>
      <c r="BH54" s="46">
        <f>IF(TABLERO!C54="",BG54,TABLERO!C54)</f>
        <v>0</v>
      </c>
      <c r="BI54" s="46">
        <f>IF(TABLERO!D54="",BG54,TABLERO!D54)</f>
        <v>0</v>
      </c>
      <c r="BJ54" s="50">
        <f t="shared" si="1"/>
        <v>0</v>
      </c>
    </row>
    <row r="55" spans="1:62">
      <c r="A55" s="46">
        <f>IF(OR(BG55&gt;TABLERO!$M$19,BH55&gt;TABLERO!$M$19,BI55&gt;TABLERO!$M$19,BG55=0,BH55=0,BI55=0),2,1)</f>
        <v>2</v>
      </c>
      <c r="B55" s="47" t="str">
        <f>TABLERO!B55&amp;IF(TABLERO!C55="","",","&amp;TABLERO!C55)&amp;IF(TABLERO!D55="","",","&amp;TABLERO!D55)</f>
        <v/>
      </c>
      <c r="C55" s="42" t="str">
        <f>IF(TABLERO!E55=0,"",TABLERO!E55)</f>
        <v/>
      </c>
      <c r="D55" s="562" t="str">
        <f>IF(OR(TABLERO!X55="",TABLERO!X55=0),"",TABLERO!X55)</f>
        <v/>
      </c>
      <c r="E55" s="562" t="str">
        <f>IF(OR(TABLERO!Y55="",TABLERO!Y55=0),"",TABLERO!Y55)</f>
        <v/>
      </c>
      <c r="F55" s="562" t="str">
        <f>IF(OR(TABLERO!Z55="",TABLERO!Z55=0),"",TABLERO!Z55)</f>
        <v/>
      </c>
      <c r="G55" s="562" t="str">
        <f>IF(OR(TABLERO!AA55="",TABLERO!AA55=0),"",TABLERO!AA55)</f>
        <v/>
      </c>
      <c r="H55" s="562" t="str">
        <f>IF(OR(TABLERO!AB55="",TABLERO!AB55=0),"",TABLERO!AB55)</f>
        <v/>
      </c>
      <c r="I55" s="562" t="str">
        <f>IF(OR(TABLERO!AC55="",TABLERO!AC55=0),"",TABLERO!AC55)</f>
        <v/>
      </c>
      <c r="J55" s="562" t="str">
        <f>IF(OR(TABLERO!AD55="",TABLERO!AD55=0),"",TABLERO!AD55)</f>
        <v/>
      </c>
      <c r="K55" s="562" t="str">
        <f>IF(OR(TABLERO!AE55="",TABLERO!AE55=0),"",TABLERO!AE55)</f>
        <v/>
      </c>
      <c r="L55" s="562" t="str">
        <f>IF(OR(TABLERO!AF55="",TABLERO!AF55=0),"",TABLERO!AF55)</f>
        <v/>
      </c>
      <c r="M55" s="562" t="str">
        <f>IF(OR(TABLERO!AG55="",TABLERO!AG55=0),"",TABLERO!AG55)</f>
        <v/>
      </c>
      <c r="N55" s="562" t="str">
        <f>IF(OR(TABLERO!AH55="",TABLERO!AH55=0),"",TABLERO!AH55)</f>
        <v/>
      </c>
      <c r="O55" s="562" t="str">
        <f>IF(OR(TABLERO!AI55="",TABLERO!AI55=0),"",TABLERO!AI55)</f>
        <v/>
      </c>
      <c r="P55" s="562" t="str">
        <f>IF(OR(TABLERO!AJ55="",TABLERO!AJ55=0),"",TABLERO!AJ55)</f>
        <v/>
      </c>
      <c r="Q55" s="562" t="str">
        <f>IF(OR(TABLERO!AK55="",TABLERO!AK55=0),"",TABLERO!AK55)</f>
        <v/>
      </c>
      <c r="R55" s="562" t="str">
        <f>IF(OR(TABLERO!AL55="",TABLERO!AL55=0),"",TABLERO!AL55)</f>
        <v/>
      </c>
      <c r="S55" s="562" t="str">
        <f>IF(OR(TABLERO!AM55="",TABLERO!AM55=0),"",TABLERO!AM55)</f>
        <v/>
      </c>
      <c r="T55" s="562" t="str">
        <f>IF(OR(TABLERO!AN55="",TABLERO!AN55=0),"",TABLERO!AN55)</f>
        <v/>
      </c>
      <c r="U55" s="562" t="str">
        <f>IF(OR(TABLERO!AO55="",TABLERO!AO55=0),"",TABLERO!AO55)</f>
        <v/>
      </c>
      <c r="V55" s="562" t="str">
        <f>IF(OR(TABLERO!AP55="",TABLERO!AP55=0),"",TABLERO!AP55)</f>
        <v/>
      </c>
      <c r="W55" s="562" t="str">
        <f>IF(OR(TABLERO!AQ55="",TABLERO!AQ55=0),"",TABLERO!AQ55)</f>
        <v/>
      </c>
      <c r="X55" s="562" t="str">
        <f>IF(OR(TABLERO!AR55="",TABLERO!AR55=0),"",TABLERO!AR55)</f>
        <v/>
      </c>
      <c r="Y55" s="562" t="str">
        <f>IF(OR(TABLERO!AS55="",TABLERO!AS55=0),"",TABLERO!AS55)</f>
        <v/>
      </c>
      <c r="Z55" s="562" t="str">
        <f>IF(OR(TABLERO!AT55="",TABLERO!AT55=0),"",TABLERO!AT55)</f>
        <v/>
      </c>
      <c r="AA55" s="562" t="str">
        <f>IF(OR(TABLERO!AU55="",TABLERO!AU55=0),"",TABLERO!AU55)</f>
        <v/>
      </c>
      <c r="AB55" s="562" t="str">
        <f>IF(OR(TABLERO!AV55="",TABLERO!AV55=0),"",TABLERO!AV55)</f>
        <v/>
      </c>
      <c r="AC55" s="562" t="str">
        <f>IF(OR(TABLERO!AW55="",TABLERO!AW55=0),"",TABLERO!AW55)</f>
        <v/>
      </c>
      <c r="AD55" s="562" t="str">
        <f>IF(OR(TABLERO!AX55="",TABLERO!AX55=0),"",TABLERO!AX55)</f>
        <v/>
      </c>
      <c r="AE55" s="562" t="str">
        <f>IF(OR(TABLERO!AY55="",TABLERO!AY55=0),"",TABLERO!AY55)</f>
        <v/>
      </c>
      <c r="AF55" s="562" t="str">
        <f>IF(OR(TABLERO!AZ55="",TABLERO!AZ55=0),"",TABLERO!AZ55)</f>
        <v/>
      </c>
      <c r="AG55" s="562" t="str">
        <f>IF(OR(TABLERO!BA55="",TABLERO!BA55=0),"",TABLERO!BA55)</f>
        <v/>
      </c>
      <c r="AH55" s="48" t="str">
        <f>IF(TABLERO!BB55=0,"",IF(TABLERO!$F$17&lt;&gt;"KVA",TABLERO!BB55*1000,TABLERO!BB55*1000/TABLERO!DA55))</f>
        <v/>
      </c>
      <c r="AI55" s="48" t="str">
        <f>IF(TABLERO!BB55=0,"",IF(TABLERO!$F$17&lt;&gt;"KVA",TABLERO!BT55*1000,TABLERO!BT55*1000/TABLERO!DA55))</f>
        <v/>
      </c>
      <c r="AJ55" s="44" t="str">
        <f>IF(OR(TABLERO!BU55="",TABLERO!BU55=0),"",TABLERO!BU55)</f>
        <v/>
      </c>
      <c r="AK55" s="562" t="str">
        <f>IF(TABLERO!BB55=0,"",TABLERO!F55)</f>
        <v/>
      </c>
      <c r="AL55" s="562" t="str">
        <f>IF(TABLERO!BB55=0,"",TABLERO!G55)</f>
        <v/>
      </c>
      <c r="AM55" s="562" t="str">
        <f>IF(TABLERO!BB55=0,"",TABLERO!BV55)</f>
        <v/>
      </c>
      <c r="AN55" s="44" t="str">
        <f>IF(TABLERO!BB55=0,"",TABLERO!K55)</f>
        <v/>
      </c>
      <c r="AO55" s="562" t="str">
        <f>IF(TABLERO!BB55=0,"",TABLERO!J55)</f>
        <v/>
      </c>
      <c r="AP55" s="44" t="str">
        <f>IF(TABLERO!BB55=0,"",TABLERO!CT55)</f>
        <v/>
      </c>
      <c r="AQ55" s="44" t="str">
        <f>IF(TABLERO!BB55=0,"",TABLERO!CS55)</f>
        <v/>
      </c>
      <c r="AR55" s="44" t="str">
        <f>IF(TABLERO!BB55=0,"",TABLERO!CY55)</f>
        <v/>
      </c>
      <c r="AS55" s="562" t="str">
        <f>IF(TABLERO!BB55=0,"",TABLERO!N55)</f>
        <v/>
      </c>
      <c r="AT55" s="1079" t="str">
        <f>IF(TABLERO!BB55=0,"",TABLERO!BX55&amp;" "&amp;TABLERO!ED55&amp;", "&amp;TABLERO!I55)</f>
        <v/>
      </c>
      <c r="AU55" s="1080"/>
      <c r="AV55" s="44" t="str">
        <f>IF(TABLERO!BB55=0,"",TABLERO!BZ55)</f>
        <v/>
      </c>
      <c r="AW55" s="562" t="str">
        <f>IF(TABLERO!BB55=0,"",TABLERO!CA55)</f>
        <v/>
      </c>
      <c r="AX55" s="43" t="str">
        <f>IF(TABLERO!BB55=0,"",TABLERO!CB55)</f>
        <v/>
      </c>
      <c r="AY55" s="44" t="str">
        <f>IF(TABLERO!BB55=0,"",TABLERO!DL55)</f>
        <v/>
      </c>
      <c r="AZ55" s="576" t="str">
        <f>IF(OR(TABLERO!BB55=0,TABLERO!H55="RE"),"",TABLERO!F55&amp;"P-"&amp;TABLERO!BW55&amp;"A")</f>
        <v/>
      </c>
      <c r="BA55" s="44" t="str">
        <f>IF(TABLERO!BB55=0,"",TABLERO!CI55)</f>
        <v/>
      </c>
      <c r="BB55" s="44" t="str">
        <f>IF(TABLERO!BB55=0,"",TABLERO!CJ55)</f>
        <v/>
      </c>
      <c r="BC55" s="49" t="str">
        <f>IF(TABLERO!BB55=0,"",TABLERO!CK55)</f>
        <v/>
      </c>
      <c r="BG55" s="46">
        <f>IF(TABLERO!B55="",0,TABLERO!B55)</f>
        <v>0</v>
      </c>
      <c r="BH55" s="46">
        <f>IF(TABLERO!C55="",BG55,TABLERO!C55)</f>
        <v>0</v>
      </c>
      <c r="BI55" s="46">
        <f>IF(TABLERO!D55="",BG55,TABLERO!D55)</f>
        <v>0</v>
      </c>
      <c r="BJ55" s="50">
        <f t="shared" si="1"/>
        <v>0</v>
      </c>
    </row>
    <row r="56" spans="1:62" hidden="1">
      <c r="A56" s="46">
        <f>IF(OR(BG56&gt;TABLERO!$M$19,BH56&gt;TABLERO!$M$19,BI56&gt;TABLERO!$M$19,BG56=0,BH56=0,BI56=0),2,1)</f>
        <v>2</v>
      </c>
      <c r="B56" s="47" t="str">
        <f>TABLERO!B56&amp;IF(TABLERO!C56="","",","&amp;TABLERO!C56)&amp;IF(TABLERO!D56="","",","&amp;TABLERO!D56)</f>
        <v/>
      </c>
      <c r="C56" s="42" t="str">
        <f>IF(TABLERO!E56=0,"",TABLERO!E56)</f>
        <v/>
      </c>
      <c r="D56" s="562" t="str">
        <f>IF(OR(TABLERO!X56="",TABLERO!X56=0),"",TABLERO!X56)</f>
        <v/>
      </c>
      <c r="E56" s="562" t="str">
        <f>IF(OR(TABLERO!Y56="",TABLERO!Y56=0),"",TABLERO!Y56)</f>
        <v/>
      </c>
      <c r="F56" s="562" t="str">
        <f>IF(OR(TABLERO!Z56="",TABLERO!Z56=0),"",TABLERO!Z56)</f>
        <v/>
      </c>
      <c r="G56" s="562" t="str">
        <f>IF(OR(TABLERO!AA56="",TABLERO!AA56=0),"",TABLERO!AA56)</f>
        <v/>
      </c>
      <c r="H56" s="562" t="str">
        <f>IF(OR(TABLERO!AB56="",TABLERO!AB56=0),"",TABLERO!AB56)</f>
        <v/>
      </c>
      <c r="I56" s="562" t="str">
        <f>IF(OR(TABLERO!AC56="",TABLERO!AC56=0),"",TABLERO!AC56)</f>
        <v/>
      </c>
      <c r="J56" s="562" t="str">
        <f>IF(OR(TABLERO!AD56="",TABLERO!AD56=0),"",TABLERO!AD56)</f>
        <v/>
      </c>
      <c r="K56" s="562" t="str">
        <f>IF(OR(TABLERO!AE56="",TABLERO!AE56=0),"",TABLERO!AE56)</f>
        <v/>
      </c>
      <c r="L56" s="562" t="str">
        <f>IF(OR(TABLERO!AF56="",TABLERO!AF56=0),"",TABLERO!AF56)</f>
        <v/>
      </c>
      <c r="M56" s="562" t="str">
        <f>IF(OR(TABLERO!AG56="",TABLERO!AG56=0),"",TABLERO!AG56)</f>
        <v/>
      </c>
      <c r="N56" s="562" t="str">
        <f>IF(OR(TABLERO!AH56="",TABLERO!AH56=0),"",TABLERO!AH56)</f>
        <v/>
      </c>
      <c r="O56" s="562" t="str">
        <f>IF(OR(TABLERO!AI56="",TABLERO!AI56=0),"",TABLERO!AI56)</f>
        <v/>
      </c>
      <c r="P56" s="562" t="str">
        <f>IF(OR(TABLERO!AJ56="",TABLERO!AJ56=0),"",TABLERO!AJ56)</f>
        <v/>
      </c>
      <c r="Q56" s="562" t="str">
        <f>IF(OR(TABLERO!AK56="",TABLERO!AK56=0),"",TABLERO!AK56)</f>
        <v/>
      </c>
      <c r="R56" s="562" t="str">
        <f>IF(OR(TABLERO!AL56="",TABLERO!AL56=0),"",TABLERO!AL56)</f>
        <v/>
      </c>
      <c r="S56" s="562" t="str">
        <f>IF(OR(TABLERO!AM56="",TABLERO!AM56=0),"",TABLERO!AM56)</f>
        <v/>
      </c>
      <c r="T56" s="562" t="str">
        <f>IF(OR(TABLERO!AN56="",TABLERO!AN56=0),"",TABLERO!AN56)</f>
        <v/>
      </c>
      <c r="U56" s="562" t="str">
        <f>IF(OR(TABLERO!AO56="",TABLERO!AO56=0),"",TABLERO!AO56)</f>
        <v/>
      </c>
      <c r="V56" s="562" t="str">
        <f>IF(OR(TABLERO!AP56="",TABLERO!AP56=0),"",TABLERO!AP56)</f>
        <v/>
      </c>
      <c r="W56" s="562" t="str">
        <f>IF(OR(TABLERO!AQ56="",TABLERO!AQ56=0),"",TABLERO!AQ56)</f>
        <v/>
      </c>
      <c r="X56" s="562" t="str">
        <f>IF(OR(TABLERO!AR56="",TABLERO!AR56=0),"",TABLERO!AR56)</f>
        <v/>
      </c>
      <c r="Y56" s="562" t="str">
        <f>IF(OR(TABLERO!AS56="",TABLERO!AS56=0),"",TABLERO!AS56)</f>
        <v/>
      </c>
      <c r="Z56" s="562" t="str">
        <f>IF(OR(TABLERO!AT56="",TABLERO!AT56=0),"",TABLERO!AT56)</f>
        <v/>
      </c>
      <c r="AA56" s="562" t="str">
        <f>IF(OR(TABLERO!AU56="",TABLERO!AU56=0),"",TABLERO!AU56)</f>
        <v/>
      </c>
      <c r="AB56" s="562" t="str">
        <f>IF(OR(TABLERO!AV56="",TABLERO!AV56=0),"",TABLERO!AV56)</f>
        <v/>
      </c>
      <c r="AC56" s="562" t="str">
        <f>IF(OR(TABLERO!AW56="",TABLERO!AW56=0),"",TABLERO!AW56)</f>
        <v/>
      </c>
      <c r="AD56" s="562" t="str">
        <f>IF(OR(TABLERO!AX56="",TABLERO!AX56=0),"",TABLERO!AX56)</f>
        <v/>
      </c>
      <c r="AE56" s="562" t="str">
        <f>IF(OR(TABLERO!AY56="",TABLERO!AY56=0),"",TABLERO!AY56)</f>
        <v/>
      </c>
      <c r="AF56" s="562" t="str">
        <f>IF(OR(TABLERO!AZ56="",TABLERO!AZ56=0),"",TABLERO!AZ56)</f>
        <v/>
      </c>
      <c r="AG56" s="562" t="str">
        <f>IF(OR(TABLERO!BA56="",TABLERO!BA56=0),"",TABLERO!BA56)</f>
        <v/>
      </c>
      <c r="AH56" s="48" t="str">
        <f>IF(TABLERO!BB56=0,"",IF(TABLERO!$F$17&lt;&gt;"KVA",TABLERO!BB56*1000,TABLERO!BB56*1000/TABLERO!DA56))</f>
        <v/>
      </c>
      <c r="AI56" s="48" t="str">
        <f>IF(TABLERO!BB56=0,"",IF(TABLERO!$F$17&lt;&gt;"KVA",TABLERO!BT56*1000,TABLERO!BT56*1000/TABLERO!DA56))</f>
        <v/>
      </c>
      <c r="AJ56" s="44" t="str">
        <f>IF(OR(TABLERO!BU56="",TABLERO!BU56=0),"",TABLERO!BU56)</f>
        <v/>
      </c>
      <c r="AK56" s="562" t="str">
        <f>IF(TABLERO!BB56=0,"",TABLERO!F56)</f>
        <v/>
      </c>
      <c r="AL56" s="562" t="str">
        <f>IF(TABLERO!BB56=0,"",TABLERO!G56)</f>
        <v/>
      </c>
      <c r="AM56" s="562" t="str">
        <f>IF(TABLERO!BB56=0,"",TABLERO!BV56)</f>
        <v/>
      </c>
      <c r="AN56" s="44" t="str">
        <f>IF(TABLERO!BB56=0,"",TABLERO!K56)</f>
        <v/>
      </c>
      <c r="AO56" s="562" t="str">
        <f>IF(TABLERO!BB56=0,"",TABLERO!J56)</f>
        <v/>
      </c>
      <c r="AP56" s="44" t="str">
        <f>IF(TABLERO!BB56=0,"",TABLERO!CT56)</f>
        <v/>
      </c>
      <c r="AQ56" s="44" t="str">
        <f>IF(TABLERO!BB56=0,"",TABLERO!CS56)</f>
        <v/>
      </c>
      <c r="AR56" s="44" t="str">
        <f>IF(TABLERO!BB56=0,"",TABLERO!CY56)</f>
        <v/>
      </c>
      <c r="AS56" s="562" t="str">
        <f>IF(TABLERO!BB56=0,"",TABLERO!N56)</f>
        <v/>
      </c>
      <c r="AT56" s="1079" t="str">
        <f>IF(TABLERO!BB56=0,"",TABLERO!BX56&amp;" "&amp;TABLERO!ED56&amp;", "&amp;TABLERO!I56)</f>
        <v/>
      </c>
      <c r="AU56" s="1080"/>
      <c r="AV56" s="44" t="str">
        <f>IF(TABLERO!BB56=0,"",TABLERO!BZ56)</f>
        <v/>
      </c>
      <c r="AW56" s="562" t="str">
        <f>IF(TABLERO!BB56=0,"",TABLERO!CA56)</f>
        <v/>
      </c>
      <c r="AX56" s="43" t="str">
        <f>IF(TABLERO!BB56=0,"",TABLERO!CB56)</f>
        <v/>
      </c>
      <c r="AY56" s="44" t="str">
        <f>IF(TABLERO!BB56=0,"",TABLERO!DL56)</f>
        <v/>
      </c>
      <c r="AZ56" s="576" t="str">
        <f>IF(OR(TABLERO!BB56=0,TABLERO!H56="RE"),"",TABLERO!F56&amp;"P-"&amp;TABLERO!BW56&amp;"A")</f>
        <v/>
      </c>
      <c r="BA56" s="44" t="str">
        <f>IF(TABLERO!BB56=0,"",TABLERO!CI56)</f>
        <v/>
      </c>
      <c r="BB56" s="44" t="str">
        <f>IF(TABLERO!BB56=0,"",TABLERO!CJ56)</f>
        <v/>
      </c>
      <c r="BC56" s="49" t="str">
        <f>IF(TABLERO!BB56=0,"",TABLERO!CK56)</f>
        <v/>
      </c>
      <c r="BG56" s="46">
        <f>IF(TABLERO!B56="",0,TABLERO!B56)</f>
        <v>0</v>
      </c>
      <c r="BH56" s="46">
        <f>IF(TABLERO!C56="",BG56,TABLERO!C56)</f>
        <v>0</v>
      </c>
      <c r="BI56" s="46">
        <f>IF(TABLERO!D56="",BG56,TABLERO!D56)</f>
        <v>0</v>
      </c>
      <c r="BJ56" s="50">
        <f t="shared" si="1"/>
        <v>0</v>
      </c>
    </row>
    <row r="57" spans="1:62" hidden="1">
      <c r="A57" s="46">
        <f>IF(OR(BG57&gt;TABLERO!$M$19,BH57&gt;TABLERO!$M$19,BI57&gt;TABLERO!$M$19,BG57=0,BH57=0,BI57=0),2,1)</f>
        <v>2</v>
      </c>
      <c r="B57" s="47" t="str">
        <f>TABLERO!B57&amp;IF(TABLERO!C57="","",","&amp;TABLERO!C57)&amp;IF(TABLERO!D57="","",","&amp;TABLERO!D57)</f>
        <v/>
      </c>
      <c r="C57" s="42" t="str">
        <f>IF(TABLERO!E57=0,"",TABLERO!E57)</f>
        <v/>
      </c>
      <c r="D57" s="562" t="str">
        <f>IF(OR(TABLERO!X57="",TABLERO!X57=0),"",TABLERO!X57)</f>
        <v/>
      </c>
      <c r="E57" s="562" t="str">
        <f>IF(OR(TABLERO!Y57="",TABLERO!Y57=0),"",TABLERO!Y57)</f>
        <v/>
      </c>
      <c r="F57" s="562" t="str">
        <f>IF(OR(TABLERO!Z57="",TABLERO!Z57=0),"",TABLERO!Z57)</f>
        <v/>
      </c>
      <c r="G57" s="562" t="str">
        <f>IF(OR(TABLERO!AA57="",TABLERO!AA57=0),"",TABLERO!AA57)</f>
        <v/>
      </c>
      <c r="H57" s="562" t="str">
        <f>IF(OR(TABLERO!AB57="",TABLERO!AB57=0),"",TABLERO!AB57)</f>
        <v/>
      </c>
      <c r="I57" s="562" t="str">
        <f>IF(OR(TABLERO!AC57="",TABLERO!AC57=0),"",TABLERO!AC57)</f>
        <v/>
      </c>
      <c r="J57" s="562" t="str">
        <f>IF(OR(TABLERO!AD57="",TABLERO!AD57=0),"",TABLERO!AD57)</f>
        <v/>
      </c>
      <c r="K57" s="562" t="str">
        <f>IF(OR(TABLERO!AE57="",TABLERO!AE57=0),"",TABLERO!AE57)</f>
        <v/>
      </c>
      <c r="L57" s="562" t="str">
        <f>IF(OR(TABLERO!AF57="",TABLERO!AF57=0),"",TABLERO!AF57)</f>
        <v/>
      </c>
      <c r="M57" s="562" t="str">
        <f>IF(OR(TABLERO!AG57="",TABLERO!AG57=0),"",TABLERO!AG57)</f>
        <v/>
      </c>
      <c r="N57" s="562" t="str">
        <f>IF(OR(TABLERO!AH57="",TABLERO!AH57=0),"",TABLERO!AH57)</f>
        <v/>
      </c>
      <c r="O57" s="562" t="str">
        <f>IF(OR(TABLERO!AI57="",TABLERO!AI57=0),"",TABLERO!AI57)</f>
        <v/>
      </c>
      <c r="P57" s="562" t="str">
        <f>IF(OR(TABLERO!AJ57="",TABLERO!AJ57=0),"",TABLERO!AJ57)</f>
        <v/>
      </c>
      <c r="Q57" s="562" t="str">
        <f>IF(OR(TABLERO!AK57="",TABLERO!AK57=0),"",TABLERO!AK57)</f>
        <v/>
      </c>
      <c r="R57" s="562" t="str">
        <f>IF(OR(TABLERO!AL57="",TABLERO!AL57=0),"",TABLERO!AL57)</f>
        <v/>
      </c>
      <c r="S57" s="562" t="str">
        <f>IF(OR(TABLERO!AM57="",TABLERO!AM57=0),"",TABLERO!AM57)</f>
        <v/>
      </c>
      <c r="T57" s="562" t="str">
        <f>IF(OR(TABLERO!AN57="",TABLERO!AN57=0),"",TABLERO!AN57)</f>
        <v/>
      </c>
      <c r="U57" s="562" t="str">
        <f>IF(OR(TABLERO!AO57="",TABLERO!AO57=0),"",TABLERO!AO57)</f>
        <v/>
      </c>
      <c r="V57" s="562" t="str">
        <f>IF(OR(TABLERO!AP57="",TABLERO!AP57=0),"",TABLERO!AP57)</f>
        <v/>
      </c>
      <c r="W57" s="562" t="str">
        <f>IF(OR(TABLERO!AQ57="",TABLERO!AQ57=0),"",TABLERO!AQ57)</f>
        <v/>
      </c>
      <c r="X57" s="562" t="str">
        <f>IF(OR(TABLERO!AR57="",TABLERO!AR57=0),"",TABLERO!AR57)</f>
        <v/>
      </c>
      <c r="Y57" s="562" t="str">
        <f>IF(OR(TABLERO!AS57="",TABLERO!AS57=0),"",TABLERO!AS57)</f>
        <v/>
      </c>
      <c r="Z57" s="562" t="str">
        <f>IF(OR(TABLERO!AT57="",TABLERO!AT57=0),"",TABLERO!AT57)</f>
        <v/>
      </c>
      <c r="AA57" s="562" t="str">
        <f>IF(OR(TABLERO!AU57="",TABLERO!AU57=0),"",TABLERO!AU57)</f>
        <v/>
      </c>
      <c r="AB57" s="562" t="str">
        <f>IF(OR(TABLERO!AV57="",TABLERO!AV57=0),"",TABLERO!AV57)</f>
        <v/>
      </c>
      <c r="AC57" s="562" t="str">
        <f>IF(OR(TABLERO!AW57="",TABLERO!AW57=0),"",TABLERO!AW57)</f>
        <v/>
      </c>
      <c r="AD57" s="562" t="str">
        <f>IF(OR(TABLERO!AX57="",TABLERO!AX57=0),"",TABLERO!AX57)</f>
        <v/>
      </c>
      <c r="AE57" s="562" t="str">
        <f>IF(OR(TABLERO!AY57="",TABLERO!AY57=0),"",TABLERO!AY57)</f>
        <v/>
      </c>
      <c r="AF57" s="562" t="str">
        <f>IF(OR(TABLERO!AZ57="",TABLERO!AZ57=0),"",TABLERO!AZ57)</f>
        <v/>
      </c>
      <c r="AG57" s="562" t="str">
        <f>IF(OR(TABLERO!BA57="",TABLERO!BA57=0),"",TABLERO!BA57)</f>
        <v/>
      </c>
      <c r="AH57" s="48" t="str">
        <f>IF(TABLERO!BB57=0,"",IF(TABLERO!$F$17&lt;&gt;"KVA",TABLERO!BB57*1000,TABLERO!BB57*1000/TABLERO!DA57))</f>
        <v/>
      </c>
      <c r="AI57" s="48" t="str">
        <f>IF(TABLERO!BB57=0,"",IF(TABLERO!$F$17&lt;&gt;"KVA",TABLERO!BT57*1000,TABLERO!BT57*1000/TABLERO!DA57))</f>
        <v/>
      </c>
      <c r="AJ57" s="44" t="str">
        <f>IF(OR(TABLERO!BU57="",TABLERO!BU57=0),"",TABLERO!BU57)</f>
        <v/>
      </c>
      <c r="AK57" s="562" t="str">
        <f>IF(TABLERO!BB57=0,"",TABLERO!F57)</f>
        <v/>
      </c>
      <c r="AL57" s="562" t="str">
        <f>IF(TABLERO!BB57=0,"",TABLERO!G57)</f>
        <v/>
      </c>
      <c r="AM57" s="562" t="str">
        <f>IF(TABLERO!BB57=0,"",TABLERO!BV57)</f>
        <v/>
      </c>
      <c r="AN57" s="44" t="str">
        <f>IF(TABLERO!BB57=0,"",TABLERO!K57)</f>
        <v/>
      </c>
      <c r="AO57" s="562" t="str">
        <f>IF(TABLERO!BB57=0,"",TABLERO!J57)</f>
        <v/>
      </c>
      <c r="AP57" s="44" t="str">
        <f>IF(TABLERO!BB57=0,"",TABLERO!CT57)</f>
        <v/>
      </c>
      <c r="AQ57" s="44" t="str">
        <f>IF(TABLERO!BB57=0,"",TABLERO!CS57)</f>
        <v/>
      </c>
      <c r="AR57" s="44" t="str">
        <f>IF(TABLERO!BB57=0,"",TABLERO!CY57)</f>
        <v/>
      </c>
      <c r="AS57" s="562" t="str">
        <f>IF(TABLERO!BB57=0,"",TABLERO!N57)</f>
        <v/>
      </c>
      <c r="AT57" s="1079" t="str">
        <f>IF(TABLERO!BB57=0,"",TABLERO!BX57&amp;" "&amp;TABLERO!ED57&amp;", "&amp;TABLERO!I57)</f>
        <v/>
      </c>
      <c r="AU57" s="1080"/>
      <c r="AV57" s="44" t="str">
        <f>IF(TABLERO!BB57=0,"",TABLERO!BZ57)</f>
        <v/>
      </c>
      <c r="AW57" s="562" t="str">
        <f>IF(TABLERO!BB57=0,"",TABLERO!CA57)</f>
        <v/>
      </c>
      <c r="AX57" s="43" t="str">
        <f>IF(TABLERO!BB57=0,"",TABLERO!CB57)</f>
        <v/>
      </c>
      <c r="AY57" s="44" t="str">
        <f>IF(TABLERO!BB57=0,"",TABLERO!DL57)</f>
        <v/>
      </c>
      <c r="AZ57" s="576" t="str">
        <f>IF(OR(TABLERO!BB57=0,TABLERO!H57="RE"),"",TABLERO!F57&amp;"P-"&amp;TABLERO!BW57&amp;"A")</f>
        <v/>
      </c>
      <c r="BA57" s="44" t="str">
        <f>IF(TABLERO!BB57=0,"",TABLERO!CI57)</f>
        <v/>
      </c>
      <c r="BB57" s="44" t="str">
        <f>IF(TABLERO!BB57=0,"",TABLERO!CJ57)</f>
        <v/>
      </c>
      <c r="BC57" s="49" t="str">
        <f>IF(TABLERO!BB57=0,"",TABLERO!CK57)</f>
        <v/>
      </c>
      <c r="BG57" s="46">
        <f>IF(TABLERO!B57="",0,TABLERO!B57)</f>
        <v>0</v>
      </c>
      <c r="BH57" s="46">
        <f>IF(TABLERO!C57="",BG57,TABLERO!C57)</f>
        <v>0</v>
      </c>
      <c r="BI57" s="46">
        <f>IF(TABLERO!D57="",BG57,TABLERO!D57)</f>
        <v>0</v>
      </c>
      <c r="BJ57" s="50">
        <f t="shared" si="1"/>
        <v>0</v>
      </c>
    </row>
    <row r="58" spans="1:62" hidden="1">
      <c r="A58" s="46">
        <f>IF(OR(BG58&gt;TABLERO!$M$19,BH58&gt;TABLERO!$M$19,BI58&gt;TABLERO!$M$19,BG58=0,BH58=0,BI58=0),2,1)</f>
        <v>2</v>
      </c>
      <c r="B58" s="47" t="str">
        <f>TABLERO!B58&amp;IF(TABLERO!C58="","",","&amp;TABLERO!C58)&amp;IF(TABLERO!D58="","",","&amp;TABLERO!D58)</f>
        <v/>
      </c>
      <c r="C58" s="42" t="str">
        <f>IF(TABLERO!E58=0,"",TABLERO!E58)</f>
        <v/>
      </c>
      <c r="D58" s="562" t="str">
        <f>IF(OR(TABLERO!X58="",TABLERO!X58=0),"",TABLERO!X58)</f>
        <v/>
      </c>
      <c r="E58" s="562" t="str">
        <f>IF(OR(TABLERO!Y58="",TABLERO!Y58=0),"",TABLERO!Y58)</f>
        <v/>
      </c>
      <c r="F58" s="562" t="str">
        <f>IF(OR(TABLERO!Z58="",TABLERO!Z58=0),"",TABLERO!Z58)</f>
        <v/>
      </c>
      <c r="G58" s="562" t="str">
        <f>IF(OR(TABLERO!AA58="",TABLERO!AA58=0),"",TABLERO!AA58)</f>
        <v/>
      </c>
      <c r="H58" s="562" t="str">
        <f>IF(OR(TABLERO!AB58="",TABLERO!AB58=0),"",TABLERO!AB58)</f>
        <v/>
      </c>
      <c r="I58" s="562" t="str">
        <f>IF(OR(TABLERO!AC58="",TABLERO!AC58=0),"",TABLERO!AC58)</f>
        <v/>
      </c>
      <c r="J58" s="562" t="str">
        <f>IF(OR(TABLERO!AD58="",TABLERO!AD58=0),"",TABLERO!AD58)</f>
        <v/>
      </c>
      <c r="K58" s="562" t="str">
        <f>IF(OR(TABLERO!AE58="",TABLERO!AE58=0),"",TABLERO!AE58)</f>
        <v/>
      </c>
      <c r="L58" s="562" t="str">
        <f>IF(OR(TABLERO!AF58="",TABLERO!AF58=0),"",TABLERO!AF58)</f>
        <v/>
      </c>
      <c r="M58" s="562" t="str">
        <f>IF(OR(TABLERO!AG58="",TABLERO!AG58=0),"",TABLERO!AG58)</f>
        <v/>
      </c>
      <c r="N58" s="562" t="str">
        <f>IF(OR(TABLERO!AH58="",TABLERO!AH58=0),"",TABLERO!AH58)</f>
        <v/>
      </c>
      <c r="O58" s="562" t="str">
        <f>IF(OR(TABLERO!AI58="",TABLERO!AI58=0),"",TABLERO!AI58)</f>
        <v/>
      </c>
      <c r="P58" s="562" t="str">
        <f>IF(OR(TABLERO!AJ58="",TABLERO!AJ58=0),"",TABLERO!AJ58)</f>
        <v/>
      </c>
      <c r="Q58" s="562" t="str">
        <f>IF(OR(TABLERO!AK58="",TABLERO!AK58=0),"",TABLERO!AK58)</f>
        <v/>
      </c>
      <c r="R58" s="562" t="str">
        <f>IF(OR(TABLERO!AL58="",TABLERO!AL58=0),"",TABLERO!AL58)</f>
        <v/>
      </c>
      <c r="S58" s="562" t="str">
        <f>IF(OR(TABLERO!AM58="",TABLERO!AM58=0),"",TABLERO!AM58)</f>
        <v/>
      </c>
      <c r="T58" s="562" t="str">
        <f>IF(OR(TABLERO!AN58="",TABLERO!AN58=0),"",TABLERO!AN58)</f>
        <v/>
      </c>
      <c r="U58" s="562" t="str">
        <f>IF(OR(TABLERO!AO58="",TABLERO!AO58=0),"",TABLERO!AO58)</f>
        <v/>
      </c>
      <c r="V58" s="562" t="str">
        <f>IF(OR(TABLERO!AP58="",TABLERO!AP58=0),"",TABLERO!AP58)</f>
        <v/>
      </c>
      <c r="W58" s="562" t="str">
        <f>IF(OR(TABLERO!AQ58="",TABLERO!AQ58=0),"",TABLERO!AQ58)</f>
        <v/>
      </c>
      <c r="X58" s="562" t="str">
        <f>IF(OR(TABLERO!AR58="",TABLERO!AR58=0),"",TABLERO!AR58)</f>
        <v/>
      </c>
      <c r="Y58" s="562" t="str">
        <f>IF(OR(TABLERO!AS58="",TABLERO!AS58=0),"",TABLERO!AS58)</f>
        <v/>
      </c>
      <c r="Z58" s="562" t="str">
        <f>IF(OR(TABLERO!AT58="",TABLERO!AT58=0),"",TABLERO!AT58)</f>
        <v/>
      </c>
      <c r="AA58" s="562" t="str">
        <f>IF(OR(TABLERO!AU58="",TABLERO!AU58=0),"",TABLERO!AU58)</f>
        <v/>
      </c>
      <c r="AB58" s="562" t="str">
        <f>IF(OR(TABLERO!AV58="",TABLERO!AV58=0),"",TABLERO!AV58)</f>
        <v/>
      </c>
      <c r="AC58" s="562" t="str">
        <f>IF(OR(TABLERO!AW58="",TABLERO!AW58=0),"",TABLERO!AW58)</f>
        <v/>
      </c>
      <c r="AD58" s="562" t="str">
        <f>IF(OR(TABLERO!AX58="",TABLERO!AX58=0),"",TABLERO!AX58)</f>
        <v/>
      </c>
      <c r="AE58" s="562" t="str">
        <f>IF(OR(TABLERO!AY58="",TABLERO!AY58=0),"",TABLERO!AY58)</f>
        <v/>
      </c>
      <c r="AF58" s="562" t="str">
        <f>IF(OR(TABLERO!AZ58="",TABLERO!AZ58=0),"",TABLERO!AZ58)</f>
        <v/>
      </c>
      <c r="AG58" s="562" t="str">
        <f>IF(OR(TABLERO!BA58="",TABLERO!BA58=0),"",TABLERO!BA58)</f>
        <v/>
      </c>
      <c r="AH58" s="48" t="str">
        <f>IF(TABLERO!BB58=0,"",IF(TABLERO!$F$17&lt;&gt;"KVA",TABLERO!BB58*1000,TABLERO!BB58*1000/TABLERO!DA58))</f>
        <v/>
      </c>
      <c r="AI58" s="48" t="str">
        <f>IF(TABLERO!BB58=0,"",IF(TABLERO!$F$17&lt;&gt;"KVA",TABLERO!BT58*1000,TABLERO!BT58*1000/TABLERO!DA58))</f>
        <v/>
      </c>
      <c r="AJ58" s="44" t="str">
        <f>IF(OR(TABLERO!BU58="",TABLERO!BU58=0),"",TABLERO!BU58)</f>
        <v/>
      </c>
      <c r="AK58" s="562" t="str">
        <f>IF(TABLERO!BB58=0,"",TABLERO!F58)</f>
        <v/>
      </c>
      <c r="AL58" s="562" t="str">
        <f>IF(TABLERO!BB58=0,"",TABLERO!G58)</f>
        <v/>
      </c>
      <c r="AM58" s="562" t="str">
        <f>IF(TABLERO!BB58=0,"",TABLERO!BV58)</f>
        <v/>
      </c>
      <c r="AN58" s="44" t="str">
        <f>IF(TABLERO!BB58=0,"",TABLERO!K58)</f>
        <v/>
      </c>
      <c r="AO58" s="562" t="str">
        <f>IF(TABLERO!BB58=0,"",TABLERO!J58)</f>
        <v/>
      </c>
      <c r="AP58" s="44" t="str">
        <f>IF(TABLERO!BB58=0,"",TABLERO!CT58)</f>
        <v/>
      </c>
      <c r="AQ58" s="44" t="str">
        <f>IF(TABLERO!BB58=0,"",TABLERO!CS58)</f>
        <v/>
      </c>
      <c r="AR58" s="44" t="str">
        <f>IF(TABLERO!BB58=0,"",TABLERO!CY58)</f>
        <v/>
      </c>
      <c r="AS58" s="562" t="str">
        <f>IF(TABLERO!BB58=0,"",TABLERO!N58)</f>
        <v/>
      </c>
      <c r="AT58" s="1079" t="str">
        <f>IF(TABLERO!BB58=0,"",TABLERO!BX58&amp;" "&amp;TABLERO!ED58&amp;", "&amp;TABLERO!I58)</f>
        <v/>
      </c>
      <c r="AU58" s="1080"/>
      <c r="AV58" s="44" t="str">
        <f>IF(TABLERO!BB58=0,"",TABLERO!BZ58)</f>
        <v/>
      </c>
      <c r="AW58" s="562" t="str">
        <f>IF(TABLERO!BB58=0,"",TABLERO!CA58)</f>
        <v/>
      </c>
      <c r="AX58" s="43" t="str">
        <f>IF(TABLERO!BB58=0,"",TABLERO!CB58)</f>
        <v/>
      </c>
      <c r="AY58" s="44" t="str">
        <f>IF(TABLERO!BB58=0,"",TABLERO!DL58)</f>
        <v/>
      </c>
      <c r="AZ58" s="576" t="str">
        <f>IF(OR(TABLERO!BB58=0,TABLERO!H58="RE"),"",TABLERO!F58&amp;"P-"&amp;TABLERO!BW58&amp;"A")</f>
        <v/>
      </c>
      <c r="BA58" s="44" t="str">
        <f>IF(TABLERO!BB58=0,"",TABLERO!CI58)</f>
        <v/>
      </c>
      <c r="BB58" s="44" t="str">
        <f>IF(TABLERO!BB58=0,"",TABLERO!CJ58)</f>
        <v/>
      </c>
      <c r="BC58" s="49" t="str">
        <f>IF(TABLERO!BB58=0,"",TABLERO!CK58)</f>
        <v/>
      </c>
      <c r="BG58" s="46">
        <f>IF(TABLERO!B58="",0,TABLERO!B58)</f>
        <v>0</v>
      </c>
      <c r="BH58" s="46">
        <f>IF(TABLERO!C58="",BG58,TABLERO!C58)</f>
        <v>0</v>
      </c>
      <c r="BI58" s="46">
        <f>IF(TABLERO!D58="",BG58,TABLERO!D58)</f>
        <v>0</v>
      </c>
      <c r="BJ58" s="50">
        <f t="shared" si="1"/>
        <v>0</v>
      </c>
    </row>
    <row r="59" spans="1:62" hidden="1">
      <c r="A59" s="46">
        <f>IF(OR(BG59&gt;TABLERO!$M$19,BH59&gt;TABLERO!$M$19,BI59&gt;TABLERO!$M$19,BG59=0,BH59=0,BI59=0),2,1)</f>
        <v>2</v>
      </c>
      <c r="B59" s="47" t="str">
        <f>TABLERO!B59&amp;IF(TABLERO!C59="","",","&amp;TABLERO!C59)&amp;IF(TABLERO!D59="","",","&amp;TABLERO!D59)</f>
        <v/>
      </c>
      <c r="C59" s="42" t="str">
        <f>IF(TABLERO!E59=0,"",TABLERO!E59)</f>
        <v/>
      </c>
      <c r="D59" s="562" t="str">
        <f>IF(OR(TABLERO!X59="",TABLERO!X59=0),"",TABLERO!X59)</f>
        <v/>
      </c>
      <c r="E59" s="562" t="str">
        <f>IF(OR(TABLERO!Y59="",TABLERO!Y59=0),"",TABLERO!Y59)</f>
        <v/>
      </c>
      <c r="F59" s="562" t="str">
        <f>IF(OR(TABLERO!Z59="",TABLERO!Z59=0),"",TABLERO!Z59)</f>
        <v/>
      </c>
      <c r="G59" s="562" t="str">
        <f>IF(OR(TABLERO!AA59="",TABLERO!AA59=0),"",TABLERO!AA59)</f>
        <v/>
      </c>
      <c r="H59" s="562" t="str">
        <f>IF(OR(TABLERO!AB59="",TABLERO!AB59=0),"",TABLERO!AB59)</f>
        <v/>
      </c>
      <c r="I59" s="562" t="str">
        <f>IF(OR(TABLERO!AC59="",TABLERO!AC59=0),"",TABLERO!AC59)</f>
        <v/>
      </c>
      <c r="J59" s="562" t="str">
        <f>IF(OR(TABLERO!AD59="",TABLERO!AD59=0),"",TABLERO!AD59)</f>
        <v/>
      </c>
      <c r="K59" s="562" t="str">
        <f>IF(OR(TABLERO!AE59="",TABLERO!AE59=0),"",TABLERO!AE59)</f>
        <v/>
      </c>
      <c r="L59" s="562" t="str">
        <f>IF(OR(TABLERO!AF59="",TABLERO!AF59=0),"",TABLERO!AF59)</f>
        <v/>
      </c>
      <c r="M59" s="562" t="str">
        <f>IF(OR(TABLERO!AG59="",TABLERO!AG59=0),"",TABLERO!AG59)</f>
        <v/>
      </c>
      <c r="N59" s="562" t="str">
        <f>IF(OR(TABLERO!AH59="",TABLERO!AH59=0),"",TABLERO!AH59)</f>
        <v/>
      </c>
      <c r="O59" s="562" t="str">
        <f>IF(OR(TABLERO!AI59="",TABLERO!AI59=0),"",TABLERO!AI59)</f>
        <v/>
      </c>
      <c r="P59" s="562" t="str">
        <f>IF(OR(TABLERO!AJ59="",TABLERO!AJ59=0),"",TABLERO!AJ59)</f>
        <v/>
      </c>
      <c r="Q59" s="562" t="str">
        <f>IF(OR(TABLERO!AK59="",TABLERO!AK59=0),"",TABLERO!AK59)</f>
        <v/>
      </c>
      <c r="R59" s="562" t="str">
        <f>IF(OR(TABLERO!AL59="",TABLERO!AL59=0),"",TABLERO!AL59)</f>
        <v/>
      </c>
      <c r="S59" s="562" t="str">
        <f>IF(OR(TABLERO!AM59="",TABLERO!AM59=0),"",TABLERO!AM59)</f>
        <v/>
      </c>
      <c r="T59" s="562" t="str">
        <f>IF(OR(TABLERO!AN59="",TABLERO!AN59=0),"",TABLERO!AN59)</f>
        <v/>
      </c>
      <c r="U59" s="562" t="str">
        <f>IF(OR(TABLERO!AO59="",TABLERO!AO59=0),"",TABLERO!AO59)</f>
        <v/>
      </c>
      <c r="V59" s="562" t="str">
        <f>IF(OR(TABLERO!AP59="",TABLERO!AP59=0),"",TABLERO!AP59)</f>
        <v/>
      </c>
      <c r="W59" s="562" t="str">
        <f>IF(OR(TABLERO!AQ59="",TABLERO!AQ59=0),"",TABLERO!AQ59)</f>
        <v/>
      </c>
      <c r="X59" s="562" t="str">
        <f>IF(OR(TABLERO!AR59="",TABLERO!AR59=0),"",TABLERO!AR59)</f>
        <v/>
      </c>
      <c r="Y59" s="562" t="str">
        <f>IF(OR(TABLERO!AS59="",TABLERO!AS59=0),"",TABLERO!AS59)</f>
        <v/>
      </c>
      <c r="Z59" s="562" t="str">
        <f>IF(OR(TABLERO!AT59="",TABLERO!AT59=0),"",TABLERO!AT59)</f>
        <v/>
      </c>
      <c r="AA59" s="562" t="str">
        <f>IF(OR(TABLERO!AU59="",TABLERO!AU59=0),"",TABLERO!AU59)</f>
        <v/>
      </c>
      <c r="AB59" s="562" t="str">
        <f>IF(OR(TABLERO!AV59="",TABLERO!AV59=0),"",TABLERO!AV59)</f>
        <v/>
      </c>
      <c r="AC59" s="562" t="str">
        <f>IF(OR(TABLERO!AW59="",TABLERO!AW59=0),"",TABLERO!AW59)</f>
        <v/>
      </c>
      <c r="AD59" s="562" t="str">
        <f>IF(OR(TABLERO!AX59="",TABLERO!AX59=0),"",TABLERO!AX59)</f>
        <v/>
      </c>
      <c r="AE59" s="562" t="str">
        <f>IF(OR(TABLERO!AY59="",TABLERO!AY59=0),"",TABLERO!AY59)</f>
        <v/>
      </c>
      <c r="AF59" s="562" t="str">
        <f>IF(OR(TABLERO!AZ59="",TABLERO!AZ59=0),"",TABLERO!AZ59)</f>
        <v/>
      </c>
      <c r="AG59" s="562" t="str">
        <f>IF(OR(TABLERO!BA59="",TABLERO!BA59=0),"",TABLERO!BA59)</f>
        <v/>
      </c>
      <c r="AH59" s="48" t="str">
        <f>IF(TABLERO!BB59=0,"",IF(TABLERO!$F$17&lt;&gt;"KVA",TABLERO!BB59*1000,TABLERO!BB59*1000/TABLERO!DA59))</f>
        <v/>
      </c>
      <c r="AI59" s="48" t="str">
        <f>IF(TABLERO!BB59=0,"",IF(TABLERO!$F$17&lt;&gt;"KVA",TABLERO!BT59*1000,TABLERO!BT59*1000/TABLERO!DA59))</f>
        <v/>
      </c>
      <c r="AJ59" s="44" t="str">
        <f>IF(OR(TABLERO!BU59="",TABLERO!BU59=0),"",TABLERO!BU59)</f>
        <v/>
      </c>
      <c r="AK59" s="562" t="str">
        <f>IF(TABLERO!BB59=0,"",TABLERO!F59)</f>
        <v/>
      </c>
      <c r="AL59" s="562" t="str">
        <f>IF(TABLERO!BB59=0,"",TABLERO!G59)</f>
        <v/>
      </c>
      <c r="AM59" s="562" t="str">
        <f>IF(TABLERO!BB59=0,"",TABLERO!BV59)</f>
        <v/>
      </c>
      <c r="AN59" s="44" t="str">
        <f>IF(TABLERO!BB59=0,"",TABLERO!K59)</f>
        <v/>
      </c>
      <c r="AO59" s="562" t="str">
        <f>IF(TABLERO!BB59=0,"",TABLERO!J59)</f>
        <v/>
      </c>
      <c r="AP59" s="44" t="str">
        <f>IF(TABLERO!BB59=0,"",TABLERO!CT59)</f>
        <v/>
      </c>
      <c r="AQ59" s="44" t="str">
        <f>IF(TABLERO!BB59=0,"",TABLERO!CS59)</f>
        <v/>
      </c>
      <c r="AR59" s="44" t="str">
        <f>IF(TABLERO!BB59=0,"",TABLERO!CY59)</f>
        <v/>
      </c>
      <c r="AS59" s="562" t="str">
        <f>IF(TABLERO!BB59=0,"",TABLERO!N59)</f>
        <v/>
      </c>
      <c r="AT59" s="1079" t="str">
        <f>IF(TABLERO!BB59=0,"",TABLERO!BX59&amp;" "&amp;TABLERO!ED59&amp;", "&amp;TABLERO!I59)</f>
        <v/>
      </c>
      <c r="AU59" s="1080"/>
      <c r="AV59" s="44" t="str">
        <f>IF(TABLERO!BB59=0,"",TABLERO!BZ59)</f>
        <v/>
      </c>
      <c r="AW59" s="562" t="str">
        <f>IF(TABLERO!BB59=0,"",TABLERO!CA59)</f>
        <v/>
      </c>
      <c r="AX59" s="43" t="str">
        <f>IF(TABLERO!BB59=0,"",TABLERO!CB59)</f>
        <v/>
      </c>
      <c r="AY59" s="44" t="str">
        <f>IF(TABLERO!BB59=0,"",TABLERO!DL59)</f>
        <v/>
      </c>
      <c r="AZ59" s="576" t="str">
        <f>IF(OR(TABLERO!BB59=0,TABLERO!H59="RE"),"",TABLERO!F59&amp;"P-"&amp;TABLERO!BW59&amp;"A")</f>
        <v/>
      </c>
      <c r="BA59" s="44" t="str">
        <f>IF(TABLERO!BB59=0,"",TABLERO!CI59)</f>
        <v/>
      </c>
      <c r="BB59" s="44" t="str">
        <f>IF(TABLERO!BB59=0,"",TABLERO!CJ59)</f>
        <v/>
      </c>
      <c r="BC59" s="49" t="str">
        <f>IF(TABLERO!BB59=0,"",TABLERO!CK59)</f>
        <v/>
      </c>
      <c r="BG59" s="46">
        <f>IF(TABLERO!B59="",0,TABLERO!B59)</f>
        <v>0</v>
      </c>
      <c r="BH59" s="46">
        <f>IF(TABLERO!C59="",BG59,TABLERO!C59)</f>
        <v>0</v>
      </c>
      <c r="BI59" s="46">
        <f>IF(TABLERO!D59="",BG59,TABLERO!D59)</f>
        <v>0</v>
      </c>
      <c r="BJ59" s="50">
        <f t="shared" si="1"/>
        <v>0</v>
      </c>
    </row>
    <row r="60" spans="1:62" hidden="1">
      <c r="A60" s="46">
        <f>IF(OR(BG60&gt;TABLERO!$M$19,BH60&gt;TABLERO!$M$19,BI60&gt;TABLERO!$M$19,BG60=0,BH60=0,BI60=0),2,1)</f>
        <v>2</v>
      </c>
      <c r="B60" s="47" t="str">
        <f>TABLERO!B60&amp;IF(TABLERO!C60="","",","&amp;TABLERO!C60)&amp;IF(TABLERO!D60="","",","&amp;TABLERO!D60)</f>
        <v/>
      </c>
      <c r="C60" s="42" t="str">
        <f>IF(TABLERO!E60=0,"",TABLERO!E60)</f>
        <v/>
      </c>
      <c r="D60" s="562" t="str">
        <f>IF(OR(TABLERO!X60="",TABLERO!X60=0),"",TABLERO!X60)</f>
        <v/>
      </c>
      <c r="E60" s="562" t="str">
        <f>IF(OR(TABLERO!Y60="",TABLERO!Y60=0),"",TABLERO!Y60)</f>
        <v/>
      </c>
      <c r="F60" s="562" t="str">
        <f>IF(OR(TABLERO!Z60="",TABLERO!Z60=0),"",TABLERO!Z60)</f>
        <v/>
      </c>
      <c r="G60" s="562" t="str">
        <f>IF(OR(TABLERO!AA60="",TABLERO!AA60=0),"",TABLERO!AA60)</f>
        <v/>
      </c>
      <c r="H60" s="562" t="str">
        <f>IF(OR(TABLERO!AB60="",TABLERO!AB60=0),"",TABLERO!AB60)</f>
        <v/>
      </c>
      <c r="I60" s="562" t="str">
        <f>IF(OR(TABLERO!AC60="",TABLERO!AC60=0),"",TABLERO!AC60)</f>
        <v/>
      </c>
      <c r="J60" s="562" t="str">
        <f>IF(OR(TABLERO!AD60="",TABLERO!AD60=0),"",TABLERO!AD60)</f>
        <v/>
      </c>
      <c r="K60" s="562" t="str">
        <f>IF(OR(TABLERO!AE60="",TABLERO!AE60=0),"",TABLERO!AE60)</f>
        <v/>
      </c>
      <c r="L60" s="562" t="str">
        <f>IF(OR(TABLERO!AF60="",TABLERO!AF60=0),"",TABLERO!AF60)</f>
        <v/>
      </c>
      <c r="M60" s="562" t="str">
        <f>IF(OR(TABLERO!AG60="",TABLERO!AG60=0),"",TABLERO!AG60)</f>
        <v/>
      </c>
      <c r="N60" s="562" t="str">
        <f>IF(OR(TABLERO!AH60="",TABLERO!AH60=0),"",TABLERO!AH60)</f>
        <v/>
      </c>
      <c r="O60" s="562" t="str">
        <f>IF(OR(TABLERO!AI60="",TABLERO!AI60=0),"",TABLERO!AI60)</f>
        <v/>
      </c>
      <c r="P60" s="562" t="str">
        <f>IF(OR(TABLERO!AJ60="",TABLERO!AJ60=0),"",TABLERO!AJ60)</f>
        <v/>
      </c>
      <c r="Q60" s="562" t="str">
        <f>IF(OR(TABLERO!AK60="",TABLERO!AK60=0),"",TABLERO!AK60)</f>
        <v/>
      </c>
      <c r="R60" s="562" t="str">
        <f>IF(OR(TABLERO!AL60="",TABLERO!AL60=0),"",TABLERO!AL60)</f>
        <v/>
      </c>
      <c r="S60" s="562" t="str">
        <f>IF(OR(TABLERO!AM60="",TABLERO!AM60=0),"",TABLERO!AM60)</f>
        <v/>
      </c>
      <c r="T60" s="562" t="str">
        <f>IF(OR(TABLERO!AN60="",TABLERO!AN60=0),"",TABLERO!AN60)</f>
        <v/>
      </c>
      <c r="U60" s="562" t="str">
        <f>IF(OR(TABLERO!AO60="",TABLERO!AO60=0),"",TABLERO!AO60)</f>
        <v/>
      </c>
      <c r="V60" s="562" t="str">
        <f>IF(OR(TABLERO!AP60="",TABLERO!AP60=0),"",TABLERO!AP60)</f>
        <v/>
      </c>
      <c r="W60" s="562" t="str">
        <f>IF(OR(TABLERO!AQ60="",TABLERO!AQ60=0),"",TABLERO!AQ60)</f>
        <v/>
      </c>
      <c r="X60" s="562" t="str">
        <f>IF(OR(TABLERO!AR60="",TABLERO!AR60=0),"",TABLERO!AR60)</f>
        <v/>
      </c>
      <c r="Y60" s="562" t="str">
        <f>IF(OR(TABLERO!AS60="",TABLERO!AS60=0),"",TABLERO!AS60)</f>
        <v/>
      </c>
      <c r="Z60" s="562" t="str">
        <f>IF(OR(TABLERO!AT60="",TABLERO!AT60=0),"",TABLERO!AT60)</f>
        <v/>
      </c>
      <c r="AA60" s="562" t="str">
        <f>IF(OR(TABLERO!AU60="",TABLERO!AU60=0),"",TABLERO!AU60)</f>
        <v/>
      </c>
      <c r="AB60" s="562" t="str">
        <f>IF(OR(TABLERO!AV60="",TABLERO!AV60=0),"",TABLERO!AV60)</f>
        <v/>
      </c>
      <c r="AC60" s="562" t="str">
        <f>IF(OR(TABLERO!AW60="",TABLERO!AW60=0),"",TABLERO!AW60)</f>
        <v/>
      </c>
      <c r="AD60" s="562" t="str">
        <f>IF(OR(TABLERO!AX60="",TABLERO!AX60=0),"",TABLERO!AX60)</f>
        <v/>
      </c>
      <c r="AE60" s="562" t="str">
        <f>IF(OR(TABLERO!AY60="",TABLERO!AY60=0),"",TABLERO!AY60)</f>
        <v/>
      </c>
      <c r="AF60" s="562" t="str">
        <f>IF(OR(TABLERO!AZ60="",TABLERO!AZ60=0),"",TABLERO!AZ60)</f>
        <v/>
      </c>
      <c r="AG60" s="562" t="str">
        <f>IF(OR(TABLERO!BA60="",TABLERO!BA60=0),"",TABLERO!BA60)</f>
        <v/>
      </c>
      <c r="AH60" s="48" t="str">
        <f>IF(TABLERO!BB60=0,"",IF(TABLERO!$F$17&lt;&gt;"KVA",TABLERO!BB60*1000,TABLERO!BB60*1000/TABLERO!DA60))</f>
        <v/>
      </c>
      <c r="AI60" s="48" t="str">
        <f>IF(TABLERO!BB60=0,"",IF(TABLERO!$F$17&lt;&gt;"KVA",TABLERO!BT60*1000,TABLERO!BT60*1000/TABLERO!DA60))</f>
        <v/>
      </c>
      <c r="AJ60" s="44" t="str">
        <f>IF(OR(TABLERO!BU60="",TABLERO!BU60=0),"",TABLERO!BU60)</f>
        <v/>
      </c>
      <c r="AK60" s="562" t="str">
        <f>IF(TABLERO!BB60=0,"",TABLERO!F60)</f>
        <v/>
      </c>
      <c r="AL60" s="562" t="str">
        <f>IF(TABLERO!BB60=0,"",TABLERO!G60)</f>
        <v/>
      </c>
      <c r="AM60" s="562" t="str">
        <f>IF(TABLERO!BB60=0,"",TABLERO!BV60)</f>
        <v/>
      </c>
      <c r="AN60" s="44" t="str">
        <f>IF(TABLERO!BB60=0,"",TABLERO!K60)</f>
        <v/>
      </c>
      <c r="AO60" s="562" t="str">
        <f>IF(TABLERO!BB60=0,"",TABLERO!J60)</f>
        <v/>
      </c>
      <c r="AP60" s="44" t="str">
        <f>IF(TABLERO!BB60=0,"",TABLERO!CT60)</f>
        <v/>
      </c>
      <c r="AQ60" s="44" t="str">
        <f>IF(TABLERO!BB60=0,"",TABLERO!CS60)</f>
        <v/>
      </c>
      <c r="AR60" s="44" t="str">
        <f>IF(TABLERO!BB60=0,"",TABLERO!CY60)</f>
        <v/>
      </c>
      <c r="AS60" s="562" t="str">
        <f>IF(TABLERO!BB60=0,"",TABLERO!N60)</f>
        <v/>
      </c>
      <c r="AT60" s="1079" t="str">
        <f>IF(TABLERO!BB60=0,"",TABLERO!BX60&amp;" "&amp;TABLERO!ED60&amp;", "&amp;TABLERO!I60)</f>
        <v/>
      </c>
      <c r="AU60" s="1080"/>
      <c r="AV60" s="44" t="str">
        <f>IF(TABLERO!BB60=0,"",TABLERO!BZ60)</f>
        <v/>
      </c>
      <c r="AW60" s="562" t="str">
        <f>IF(TABLERO!BB60=0,"",TABLERO!CA60)</f>
        <v/>
      </c>
      <c r="AX60" s="43" t="str">
        <f>IF(TABLERO!BB60=0,"",TABLERO!CB60)</f>
        <v/>
      </c>
      <c r="AY60" s="44" t="str">
        <f>IF(TABLERO!BB60=0,"",TABLERO!DL60)</f>
        <v/>
      </c>
      <c r="AZ60" s="576" t="str">
        <f>IF(OR(TABLERO!BB60=0,TABLERO!H60="RE"),"",TABLERO!F60&amp;"P-"&amp;TABLERO!BW60&amp;"A")</f>
        <v/>
      </c>
      <c r="BA60" s="44" t="str">
        <f>IF(TABLERO!BB60=0,"",TABLERO!CI60)</f>
        <v/>
      </c>
      <c r="BB60" s="44" t="str">
        <f>IF(TABLERO!BB60=0,"",TABLERO!CJ60)</f>
        <v/>
      </c>
      <c r="BC60" s="49" t="str">
        <f>IF(TABLERO!BB60=0,"",TABLERO!CK60)</f>
        <v/>
      </c>
      <c r="BG60" s="46">
        <f>IF(TABLERO!B60="",0,TABLERO!B60)</f>
        <v>0</v>
      </c>
      <c r="BH60" s="46">
        <f>IF(TABLERO!C60="",BG60,TABLERO!C60)</f>
        <v>0</v>
      </c>
      <c r="BI60" s="46">
        <f>IF(TABLERO!D60="",BG60,TABLERO!D60)</f>
        <v>0</v>
      </c>
      <c r="BJ60" s="50">
        <f t="shared" si="1"/>
        <v>0</v>
      </c>
    </row>
    <row r="61" spans="1:62" hidden="1">
      <c r="A61" s="46">
        <f>IF(OR(BG61&gt;TABLERO!$M$19,BH61&gt;TABLERO!$M$19,BI61&gt;TABLERO!$M$19,BG61=0,BH61=0,BI61=0),2,1)</f>
        <v>2</v>
      </c>
      <c r="B61" s="47" t="str">
        <f>TABLERO!B61&amp;IF(TABLERO!C61="","",","&amp;TABLERO!C61)&amp;IF(TABLERO!D61="","",","&amp;TABLERO!D61)</f>
        <v>31</v>
      </c>
      <c r="C61" s="42" t="str">
        <f>IF(TABLERO!E61=0,"",TABLERO!E61)</f>
        <v/>
      </c>
      <c r="D61" s="562" t="str">
        <f>IF(OR(TABLERO!X61="",TABLERO!X61=0),"",TABLERO!X61)</f>
        <v/>
      </c>
      <c r="E61" s="562" t="str">
        <f>IF(OR(TABLERO!Y61="",TABLERO!Y61=0),"",TABLERO!Y61)</f>
        <v/>
      </c>
      <c r="F61" s="562" t="str">
        <f>IF(OR(TABLERO!Z61="",TABLERO!Z61=0),"",TABLERO!Z61)</f>
        <v/>
      </c>
      <c r="G61" s="562" t="str">
        <f>IF(OR(TABLERO!AA61="",TABLERO!AA61=0),"",TABLERO!AA61)</f>
        <v/>
      </c>
      <c r="H61" s="562" t="str">
        <f>IF(OR(TABLERO!AB61="",TABLERO!AB61=0),"",TABLERO!AB61)</f>
        <v/>
      </c>
      <c r="I61" s="562" t="str">
        <f>IF(OR(TABLERO!AC61="",TABLERO!AC61=0),"",TABLERO!AC61)</f>
        <v/>
      </c>
      <c r="J61" s="562" t="str">
        <f>IF(OR(TABLERO!AD61="",TABLERO!AD61=0),"",TABLERO!AD61)</f>
        <v/>
      </c>
      <c r="K61" s="562" t="str">
        <f>IF(OR(TABLERO!AE61="",TABLERO!AE61=0),"",TABLERO!AE61)</f>
        <v/>
      </c>
      <c r="L61" s="562" t="str">
        <f>IF(OR(TABLERO!AF61="",TABLERO!AF61=0),"",TABLERO!AF61)</f>
        <v/>
      </c>
      <c r="M61" s="562" t="str">
        <f>IF(OR(TABLERO!AG61="",TABLERO!AG61=0),"",TABLERO!AG61)</f>
        <v/>
      </c>
      <c r="N61" s="562" t="str">
        <f>IF(OR(TABLERO!AH61="",TABLERO!AH61=0),"",TABLERO!AH61)</f>
        <v/>
      </c>
      <c r="O61" s="562" t="str">
        <f>IF(OR(TABLERO!AI61="",TABLERO!AI61=0),"",TABLERO!AI61)</f>
        <v/>
      </c>
      <c r="P61" s="562" t="str">
        <f>IF(OR(TABLERO!AJ61="",TABLERO!AJ61=0),"",TABLERO!AJ61)</f>
        <v/>
      </c>
      <c r="Q61" s="562" t="str">
        <f>IF(OR(TABLERO!AK61="",TABLERO!AK61=0),"",TABLERO!AK61)</f>
        <v/>
      </c>
      <c r="R61" s="562" t="str">
        <f>IF(OR(TABLERO!AL61="",TABLERO!AL61=0),"",TABLERO!AL61)</f>
        <v/>
      </c>
      <c r="S61" s="562" t="str">
        <f>IF(OR(TABLERO!AM61="",TABLERO!AM61=0),"",TABLERO!AM61)</f>
        <v/>
      </c>
      <c r="T61" s="562" t="str">
        <f>IF(OR(TABLERO!AN61="",TABLERO!AN61=0),"",TABLERO!AN61)</f>
        <v/>
      </c>
      <c r="U61" s="562" t="str">
        <f>IF(OR(TABLERO!AO61="",TABLERO!AO61=0),"",TABLERO!AO61)</f>
        <v/>
      </c>
      <c r="V61" s="562" t="str">
        <f>IF(OR(TABLERO!AP61="",TABLERO!AP61=0),"",TABLERO!AP61)</f>
        <v/>
      </c>
      <c r="W61" s="562" t="str">
        <f>IF(OR(TABLERO!AQ61="",TABLERO!AQ61=0),"",TABLERO!AQ61)</f>
        <v/>
      </c>
      <c r="X61" s="562" t="str">
        <f>IF(OR(TABLERO!AR61="",TABLERO!AR61=0),"",TABLERO!AR61)</f>
        <v/>
      </c>
      <c r="Y61" s="562" t="str">
        <f>IF(OR(TABLERO!AS61="",TABLERO!AS61=0),"",TABLERO!AS61)</f>
        <v/>
      </c>
      <c r="Z61" s="562" t="str">
        <f>IF(OR(TABLERO!AT61="",TABLERO!AT61=0),"",TABLERO!AT61)</f>
        <v/>
      </c>
      <c r="AA61" s="562" t="str">
        <f>IF(OR(TABLERO!AU61="",TABLERO!AU61=0),"",TABLERO!AU61)</f>
        <v/>
      </c>
      <c r="AB61" s="562" t="str">
        <f>IF(OR(TABLERO!AV61="",TABLERO!AV61=0),"",TABLERO!AV61)</f>
        <v/>
      </c>
      <c r="AC61" s="562" t="str">
        <f>IF(OR(TABLERO!AW61="",TABLERO!AW61=0),"",TABLERO!AW61)</f>
        <v/>
      </c>
      <c r="AD61" s="562" t="str">
        <f>IF(OR(TABLERO!AX61="",TABLERO!AX61=0),"",TABLERO!AX61)</f>
        <v/>
      </c>
      <c r="AE61" s="562" t="str">
        <f>IF(OR(TABLERO!AY61="",TABLERO!AY61=0),"",TABLERO!AY61)</f>
        <v/>
      </c>
      <c r="AF61" s="562" t="str">
        <f>IF(OR(TABLERO!AZ61="",TABLERO!AZ61=0),"",TABLERO!AZ61)</f>
        <v/>
      </c>
      <c r="AG61" s="562" t="str">
        <f>IF(OR(TABLERO!BA61="",TABLERO!BA61=0),"",TABLERO!BA61)</f>
        <v/>
      </c>
      <c r="AH61" s="48" t="str">
        <f>IF(TABLERO!BB61=0,"",IF(TABLERO!$F$17&lt;&gt;"KVA",TABLERO!BB61*1000,TABLERO!BB61*1000/TABLERO!DA61))</f>
        <v/>
      </c>
      <c r="AI61" s="48" t="str">
        <f>IF(TABLERO!BB61=0,"",IF(TABLERO!$F$17&lt;&gt;"KVA",TABLERO!BT61*1000,TABLERO!BT61*1000/TABLERO!DA61))</f>
        <v/>
      </c>
      <c r="AJ61" s="44" t="str">
        <f>IF(OR(TABLERO!BU61="",TABLERO!BU61=0),"",TABLERO!BU61)</f>
        <v/>
      </c>
      <c r="AK61" s="562" t="str">
        <f>IF(TABLERO!BB61=0,"",TABLERO!F61)</f>
        <v/>
      </c>
      <c r="AL61" s="562" t="str">
        <f>IF(TABLERO!BB61=0,"",TABLERO!G61)</f>
        <v/>
      </c>
      <c r="AM61" s="562" t="str">
        <f>IF(TABLERO!BB61=0,"",TABLERO!BV61)</f>
        <v/>
      </c>
      <c r="AN61" s="44" t="str">
        <f>IF(TABLERO!BB61=0,"",TABLERO!K61)</f>
        <v/>
      </c>
      <c r="AO61" s="562" t="str">
        <f>IF(TABLERO!BB61=0,"",TABLERO!J61)</f>
        <v/>
      </c>
      <c r="AP61" s="44" t="str">
        <f>IF(TABLERO!BB61=0,"",TABLERO!CT61)</f>
        <v/>
      </c>
      <c r="AQ61" s="44" t="str">
        <f>IF(TABLERO!BB61=0,"",TABLERO!CS61)</f>
        <v/>
      </c>
      <c r="AR61" s="44" t="str">
        <f>IF(TABLERO!BB61=0,"",TABLERO!CY61)</f>
        <v/>
      </c>
      <c r="AS61" s="562" t="str">
        <f>IF(TABLERO!BB61=0,"",TABLERO!N61)</f>
        <v/>
      </c>
      <c r="AT61" s="1079" t="str">
        <f>IF(TABLERO!BB61=0,"",TABLERO!BX61&amp;" "&amp;TABLERO!ED61&amp;", "&amp;TABLERO!I61)</f>
        <v/>
      </c>
      <c r="AU61" s="1080"/>
      <c r="AV61" s="44" t="str">
        <f>IF(TABLERO!BB61=0,"",TABLERO!BZ61)</f>
        <v/>
      </c>
      <c r="AW61" s="562" t="str">
        <f>IF(TABLERO!BB61=0,"",TABLERO!CA61)</f>
        <v/>
      </c>
      <c r="AX61" s="43" t="str">
        <f>IF(TABLERO!BB61=0,"",TABLERO!CB61)</f>
        <v/>
      </c>
      <c r="AY61" s="44" t="str">
        <f>IF(TABLERO!BB61=0,"",TABLERO!DL61)</f>
        <v/>
      </c>
      <c r="AZ61" s="576" t="str">
        <f>IF(OR(TABLERO!BB61=0,TABLERO!H61="RE"),"",TABLERO!F61&amp;"P-"&amp;TABLERO!BW61&amp;"A")</f>
        <v/>
      </c>
      <c r="BA61" s="44" t="str">
        <f>IF(TABLERO!BB61=0,"",TABLERO!CI61)</f>
        <v/>
      </c>
      <c r="BB61" s="44" t="str">
        <f>IF(TABLERO!BB61=0,"",TABLERO!CJ61)</f>
        <v/>
      </c>
      <c r="BC61" s="49" t="str">
        <f>IF(TABLERO!BB61=0,"",TABLERO!CK61)</f>
        <v/>
      </c>
      <c r="BG61" s="46">
        <f>IF(TABLERO!B61="",0,TABLERO!B61)</f>
        <v>31</v>
      </c>
      <c r="BH61" s="46">
        <f>IF(TABLERO!C61="",BG61,TABLERO!C61)</f>
        <v>31</v>
      </c>
      <c r="BI61" s="46">
        <f>IF(TABLERO!D61="",BG61,TABLERO!D61)</f>
        <v>31</v>
      </c>
      <c r="BJ61" s="50">
        <f t="shared" si="1"/>
        <v>0</v>
      </c>
    </row>
    <row r="62" spans="1:62" hidden="1">
      <c r="A62" s="46">
        <f>IF(OR(BG62&gt;TABLERO!$M$19,BH62&gt;TABLERO!$M$19,BI62&gt;TABLERO!$M$19,BG62=0,BH62=0,BI62=0),2,1)</f>
        <v>2</v>
      </c>
      <c r="B62" s="47" t="str">
        <f>TABLERO!B62&amp;IF(TABLERO!C62="","",","&amp;TABLERO!C62)&amp;IF(TABLERO!D62="","",","&amp;TABLERO!D62)</f>
        <v>32</v>
      </c>
      <c r="C62" s="42" t="str">
        <f>IF(TABLERO!E62=0,"",TABLERO!E62)</f>
        <v/>
      </c>
      <c r="D62" s="562" t="str">
        <f>IF(OR(TABLERO!X62="",TABLERO!X62=0),"",TABLERO!X62)</f>
        <v/>
      </c>
      <c r="E62" s="562" t="str">
        <f>IF(OR(TABLERO!Y62="",TABLERO!Y62=0),"",TABLERO!Y62)</f>
        <v/>
      </c>
      <c r="F62" s="562" t="str">
        <f>IF(OR(TABLERO!Z62="",TABLERO!Z62=0),"",TABLERO!Z62)</f>
        <v/>
      </c>
      <c r="G62" s="562" t="str">
        <f>IF(OR(TABLERO!AA62="",TABLERO!AA62=0),"",TABLERO!AA62)</f>
        <v/>
      </c>
      <c r="H62" s="562" t="str">
        <f>IF(OR(TABLERO!AB62="",TABLERO!AB62=0),"",TABLERO!AB62)</f>
        <v/>
      </c>
      <c r="I62" s="562" t="str">
        <f>IF(OR(TABLERO!AC62="",TABLERO!AC62=0),"",TABLERO!AC62)</f>
        <v/>
      </c>
      <c r="J62" s="562" t="str">
        <f>IF(OR(TABLERO!AD62="",TABLERO!AD62=0),"",TABLERO!AD62)</f>
        <v/>
      </c>
      <c r="K62" s="562" t="str">
        <f>IF(OR(TABLERO!AE62="",TABLERO!AE62=0),"",TABLERO!AE62)</f>
        <v/>
      </c>
      <c r="L62" s="562" t="str">
        <f>IF(OR(TABLERO!AF62="",TABLERO!AF62=0),"",TABLERO!AF62)</f>
        <v/>
      </c>
      <c r="M62" s="562" t="str">
        <f>IF(OR(TABLERO!AG62="",TABLERO!AG62=0),"",TABLERO!AG62)</f>
        <v/>
      </c>
      <c r="N62" s="562" t="str">
        <f>IF(OR(TABLERO!AH62="",TABLERO!AH62=0),"",TABLERO!AH62)</f>
        <v/>
      </c>
      <c r="O62" s="562" t="str">
        <f>IF(OR(TABLERO!AI62="",TABLERO!AI62=0),"",TABLERO!AI62)</f>
        <v/>
      </c>
      <c r="P62" s="562" t="str">
        <f>IF(OR(TABLERO!AJ62="",TABLERO!AJ62=0),"",TABLERO!AJ62)</f>
        <v/>
      </c>
      <c r="Q62" s="562" t="str">
        <f>IF(OR(TABLERO!AK62="",TABLERO!AK62=0),"",TABLERO!AK62)</f>
        <v/>
      </c>
      <c r="R62" s="562" t="str">
        <f>IF(OR(TABLERO!AL62="",TABLERO!AL62=0),"",TABLERO!AL62)</f>
        <v/>
      </c>
      <c r="S62" s="562" t="str">
        <f>IF(OR(TABLERO!AM62="",TABLERO!AM62=0),"",TABLERO!AM62)</f>
        <v/>
      </c>
      <c r="T62" s="562" t="str">
        <f>IF(OR(TABLERO!AN62="",TABLERO!AN62=0),"",TABLERO!AN62)</f>
        <v/>
      </c>
      <c r="U62" s="562" t="str">
        <f>IF(OR(TABLERO!AO62="",TABLERO!AO62=0),"",TABLERO!AO62)</f>
        <v/>
      </c>
      <c r="V62" s="562" t="str">
        <f>IF(OR(TABLERO!AP62="",TABLERO!AP62=0),"",TABLERO!AP62)</f>
        <v/>
      </c>
      <c r="W62" s="562" t="str">
        <f>IF(OR(TABLERO!AQ62="",TABLERO!AQ62=0),"",TABLERO!AQ62)</f>
        <v/>
      </c>
      <c r="X62" s="562" t="str">
        <f>IF(OR(TABLERO!AR62="",TABLERO!AR62=0),"",TABLERO!AR62)</f>
        <v/>
      </c>
      <c r="Y62" s="562" t="str">
        <f>IF(OR(TABLERO!AS62="",TABLERO!AS62=0),"",TABLERO!AS62)</f>
        <v/>
      </c>
      <c r="Z62" s="562" t="str">
        <f>IF(OR(TABLERO!AT62="",TABLERO!AT62=0),"",TABLERO!AT62)</f>
        <v/>
      </c>
      <c r="AA62" s="562" t="str">
        <f>IF(OR(TABLERO!AU62="",TABLERO!AU62=0),"",TABLERO!AU62)</f>
        <v/>
      </c>
      <c r="AB62" s="562" t="str">
        <f>IF(OR(TABLERO!AV62="",TABLERO!AV62=0),"",TABLERO!AV62)</f>
        <v/>
      </c>
      <c r="AC62" s="562" t="str">
        <f>IF(OR(TABLERO!AW62="",TABLERO!AW62=0),"",TABLERO!AW62)</f>
        <v/>
      </c>
      <c r="AD62" s="562" t="str">
        <f>IF(OR(TABLERO!AX62="",TABLERO!AX62=0),"",TABLERO!AX62)</f>
        <v/>
      </c>
      <c r="AE62" s="562" t="str">
        <f>IF(OR(TABLERO!AY62="",TABLERO!AY62=0),"",TABLERO!AY62)</f>
        <v/>
      </c>
      <c r="AF62" s="562" t="str">
        <f>IF(OR(TABLERO!AZ62="",TABLERO!AZ62=0),"",TABLERO!AZ62)</f>
        <v/>
      </c>
      <c r="AG62" s="562" t="str">
        <f>IF(OR(TABLERO!BA62="",TABLERO!BA62=0),"",TABLERO!BA62)</f>
        <v/>
      </c>
      <c r="AH62" s="48" t="str">
        <f>IF(TABLERO!BB62=0,"",IF(TABLERO!$F$17&lt;&gt;"KVA",TABLERO!BB62*1000,TABLERO!BB62*1000/TABLERO!DA62))</f>
        <v/>
      </c>
      <c r="AI62" s="48" t="str">
        <f>IF(TABLERO!BB62=0,"",IF(TABLERO!$F$17&lt;&gt;"KVA",TABLERO!BT62*1000,TABLERO!BT62*1000/TABLERO!DA62))</f>
        <v/>
      </c>
      <c r="AJ62" s="44" t="str">
        <f>IF(OR(TABLERO!BU62="",TABLERO!BU62=0),"",TABLERO!BU62)</f>
        <v/>
      </c>
      <c r="AK62" s="562" t="str">
        <f>IF(TABLERO!BB62=0,"",TABLERO!F62)</f>
        <v/>
      </c>
      <c r="AL62" s="562" t="str">
        <f>IF(TABLERO!BB62=0,"",TABLERO!G62)</f>
        <v/>
      </c>
      <c r="AM62" s="562" t="str">
        <f>IF(TABLERO!BB62=0,"",TABLERO!BV62)</f>
        <v/>
      </c>
      <c r="AN62" s="44" t="str">
        <f>IF(TABLERO!BB62=0,"",TABLERO!K62)</f>
        <v/>
      </c>
      <c r="AO62" s="562" t="str">
        <f>IF(TABLERO!BB62=0,"",TABLERO!J62)</f>
        <v/>
      </c>
      <c r="AP62" s="44" t="str">
        <f>IF(TABLERO!BB62=0,"",TABLERO!CT62)</f>
        <v/>
      </c>
      <c r="AQ62" s="44" t="str">
        <f>IF(TABLERO!BB62=0,"",TABLERO!CS62)</f>
        <v/>
      </c>
      <c r="AR62" s="44" t="str">
        <f>IF(TABLERO!BB62=0,"",TABLERO!CY62)</f>
        <v/>
      </c>
      <c r="AS62" s="562" t="str">
        <f>IF(TABLERO!BB62=0,"",TABLERO!N62)</f>
        <v/>
      </c>
      <c r="AT62" s="1079" t="str">
        <f>IF(TABLERO!BB62=0,"",TABLERO!BX62&amp;" "&amp;TABLERO!ED62&amp;", "&amp;TABLERO!I62)</f>
        <v/>
      </c>
      <c r="AU62" s="1080"/>
      <c r="AV62" s="44" t="str">
        <f>IF(TABLERO!BB62=0,"",TABLERO!BZ62)</f>
        <v/>
      </c>
      <c r="AW62" s="562" t="str">
        <f>IF(TABLERO!BB62=0,"",TABLERO!CA62)</f>
        <v/>
      </c>
      <c r="AX62" s="43" t="str">
        <f>IF(TABLERO!BB62=0,"",TABLERO!CB62)</f>
        <v/>
      </c>
      <c r="AY62" s="44" t="str">
        <f>IF(TABLERO!BB62=0,"",TABLERO!DL62)</f>
        <v/>
      </c>
      <c r="AZ62" s="576" t="str">
        <f>IF(OR(TABLERO!BB62=0,TABLERO!H62="RE"),"",TABLERO!F62&amp;"P-"&amp;TABLERO!BW62&amp;"A")</f>
        <v/>
      </c>
      <c r="BA62" s="44" t="str">
        <f>IF(TABLERO!BB62=0,"",TABLERO!CI62)</f>
        <v/>
      </c>
      <c r="BB62" s="44" t="str">
        <f>IF(TABLERO!BB62=0,"",TABLERO!CJ62)</f>
        <v/>
      </c>
      <c r="BC62" s="49" t="str">
        <f>IF(TABLERO!BB62=0,"",TABLERO!CK62)</f>
        <v/>
      </c>
      <c r="BG62" s="46">
        <f>IF(TABLERO!B62="",0,TABLERO!B62)</f>
        <v>32</v>
      </c>
      <c r="BH62" s="46">
        <f>IF(TABLERO!C62="",BG62,TABLERO!C62)</f>
        <v>32</v>
      </c>
      <c r="BI62" s="46">
        <f>IF(TABLERO!D62="",BG62,TABLERO!D62)</f>
        <v>32</v>
      </c>
      <c r="BJ62" s="50">
        <f t="shared" si="1"/>
        <v>0</v>
      </c>
    </row>
    <row r="63" spans="1:62" hidden="1">
      <c r="A63" s="46">
        <f>IF(OR(BG63&gt;TABLERO!$M$19,BH63&gt;TABLERO!$M$19,BI63&gt;TABLERO!$M$19,BG63=0,BH63=0,BI63=0),2,1)</f>
        <v>2</v>
      </c>
      <c r="B63" s="47" t="str">
        <f>TABLERO!B63&amp;IF(TABLERO!C63="","",","&amp;TABLERO!C63)&amp;IF(TABLERO!D63="","",","&amp;TABLERO!D63)</f>
        <v>33</v>
      </c>
      <c r="C63" s="42" t="str">
        <f>IF(TABLERO!E63=0,"",TABLERO!E63)</f>
        <v/>
      </c>
      <c r="D63" s="562" t="str">
        <f>IF(OR(TABLERO!X63="",TABLERO!X63=0),"",TABLERO!X63)</f>
        <v/>
      </c>
      <c r="E63" s="562" t="str">
        <f>IF(OR(TABLERO!Y63="",TABLERO!Y63=0),"",TABLERO!Y63)</f>
        <v/>
      </c>
      <c r="F63" s="562" t="str">
        <f>IF(OR(TABLERO!Z63="",TABLERO!Z63=0),"",TABLERO!Z63)</f>
        <v/>
      </c>
      <c r="G63" s="562" t="str">
        <f>IF(OR(TABLERO!AA63="",TABLERO!AA63=0),"",TABLERO!AA63)</f>
        <v/>
      </c>
      <c r="H63" s="562" t="str">
        <f>IF(OR(TABLERO!AB63="",TABLERO!AB63=0),"",TABLERO!AB63)</f>
        <v/>
      </c>
      <c r="I63" s="562" t="str">
        <f>IF(OR(TABLERO!AC63="",TABLERO!AC63=0),"",TABLERO!AC63)</f>
        <v/>
      </c>
      <c r="J63" s="562" t="str">
        <f>IF(OR(TABLERO!AD63="",TABLERO!AD63=0),"",TABLERO!AD63)</f>
        <v/>
      </c>
      <c r="K63" s="562" t="str">
        <f>IF(OR(TABLERO!AE63="",TABLERO!AE63=0),"",TABLERO!AE63)</f>
        <v/>
      </c>
      <c r="L63" s="562" t="str">
        <f>IF(OR(TABLERO!AF63="",TABLERO!AF63=0),"",TABLERO!AF63)</f>
        <v/>
      </c>
      <c r="M63" s="562" t="str">
        <f>IF(OR(TABLERO!AG63="",TABLERO!AG63=0),"",TABLERO!AG63)</f>
        <v/>
      </c>
      <c r="N63" s="562" t="str">
        <f>IF(OR(TABLERO!AH63="",TABLERO!AH63=0),"",TABLERO!AH63)</f>
        <v/>
      </c>
      <c r="O63" s="562" t="str">
        <f>IF(OR(TABLERO!AI63="",TABLERO!AI63=0),"",TABLERO!AI63)</f>
        <v/>
      </c>
      <c r="P63" s="562" t="str">
        <f>IF(OR(TABLERO!AJ63="",TABLERO!AJ63=0),"",TABLERO!AJ63)</f>
        <v/>
      </c>
      <c r="Q63" s="562" t="str">
        <f>IF(OR(TABLERO!AK63="",TABLERO!AK63=0),"",TABLERO!AK63)</f>
        <v/>
      </c>
      <c r="R63" s="562" t="str">
        <f>IF(OR(TABLERO!AL63="",TABLERO!AL63=0),"",TABLERO!AL63)</f>
        <v/>
      </c>
      <c r="S63" s="562" t="str">
        <f>IF(OR(TABLERO!AM63="",TABLERO!AM63=0),"",TABLERO!AM63)</f>
        <v/>
      </c>
      <c r="T63" s="562" t="str">
        <f>IF(OR(TABLERO!AN63="",TABLERO!AN63=0),"",TABLERO!AN63)</f>
        <v/>
      </c>
      <c r="U63" s="562" t="str">
        <f>IF(OR(TABLERO!AO63="",TABLERO!AO63=0),"",TABLERO!AO63)</f>
        <v/>
      </c>
      <c r="V63" s="562" t="str">
        <f>IF(OR(TABLERO!AP63="",TABLERO!AP63=0),"",TABLERO!AP63)</f>
        <v/>
      </c>
      <c r="W63" s="562" t="str">
        <f>IF(OR(TABLERO!AQ63="",TABLERO!AQ63=0),"",TABLERO!AQ63)</f>
        <v/>
      </c>
      <c r="X63" s="562" t="str">
        <f>IF(OR(TABLERO!AR63="",TABLERO!AR63=0),"",TABLERO!AR63)</f>
        <v/>
      </c>
      <c r="Y63" s="562" t="str">
        <f>IF(OR(TABLERO!AS63="",TABLERO!AS63=0),"",TABLERO!AS63)</f>
        <v/>
      </c>
      <c r="Z63" s="562" t="str">
        <f>IF(OR(TABLERO!AT63="",TABLERO!AT63=0),"",TABLERO!AT63)</f>
        <v/>
      </c>
      <c r="AA63" s="562" t="str">
        <f>IF(OR(TABLERO!AU63="",TABLERO!AU63=0),"",TABLERO!AU63)</f>
        <v/>
      </c>
      <c r="AB63" s="562" t="str">
        <f>IF(OR(TABLERO!AV63="",TABLERO!AV63=0),"",TABLERO!AV63)</f>
        <v/>
      </c>
      <c r="AC63" s="562" t="str">
        <f>IF(OR(TABLERO!AW63="",TABLERO!AW63=0),"",TABLERO!AW63)</f>
        <v/>
      </c>
      <c r="AD63" s="562" t="str">
        <f>IF(OR(TABLERO!AX63="",TABLERO!AX63=0),"",TABLERO!AX63)</f>
        <v/>
      </c>
      <c r="AE63" s="562" t="str">
        <f>IF(OR(TABLERO!AY63="",TABLERO!AY63=0),"",TABLERO!AY63)</f>
        <v/>
      </c>
      <c r="AF63" s="562" t="str">
        <f>IF(OR(TABLERO!AZ63="",TABLERO!AZ63=0),"",TABLERO!AZ63)</f>
        <v/>
      </c>
      <c r="AG63" s="562" t="str">
        <f>IF(OR(TABLERO!BA63="",TABLERO!BA63=0),"",TABLERO!BA63)</f>
        <v/>
      </c>
      <c r="AH63" s="48" t="str">
        <f>IF(TABLERO!BB63=0,"",IF(TABLERO!$F$17&lt;&gt;"KVA",TABLERO!BB63*1000,TABLERO!BB63*1000/TABLERO!DA63))</f>
        <v/>
      </c>
      <c r="AI63" s="48" t="str">
        <f>IF(TABLERO!BB63=0,"",IF(TABLERO!$F$17&lt;&gt;"KVA",TABLERO!BT63*1000,TABLERO!BT63*1000/TABLERO!DA63))</f>
        <v/>
      </c>
      <c r="AJ63" s="44" t="str">
        <f>IF(OR(TABLERO!BU63="",TABLERO!BU63=0),"",TABLERO!BU63)</f>
        <v/>
      </c>
      <c r="AK63" s="562" t="str">
        <f>IF(TABLERO!BB63=0,"",TABLERO!F63)</f>
        <v/>
      </c>
      <c r="AL63" s="562" t="str">
        <f>IF(TABLERO!BB63=0,"",TABLERO!G63)</f>
        <v/>
      </c>
      <c r="AM63" s="562" t="str">
        <f>IF(TABLERO!BB63=0,"",TABLERO!BV63)</f>
        <v/>
      </c>
      <c r="AN63" s="44" t="str">
        <f>IF(TABLERO!BB63=0,"",TABLERO!K63)</f>
        <v/>
      </c>
      <c r="AO63" s="562" t="str">
        <f>IF(TABLERO!BB63=0,"",TABLERO!J63)</f>
        <v/>
      </c>
      <c r="AP63" s="44" t="str">
        <f>IF(TABLERO!BB63=0,"",TABLERO!CT63)</f>
        <v/>
      </c>
      <c r="AQ63" s="44" t="str">
        <f>IF(TABLERO!BB63=0,"",TABLERO!CS63)</f>
        <v/>
      </c>
      <c r="AR63" s="44" t="str">
        <f>IF(TABLERO!BB63=0,"",TABLERO!CY63)</f>
        <v/>
      </c>
      <c r="AS63" s="562" t="str">
        <f>IF(TABLERO!BB63=0,"",TABLERO!N63)</f>
        <v/>
      </c>
      <c r="AT63" s="1079" t="str">
        <f>IF(TABLERO!BB63=0,"",TABLERO!BX63&amp;" "&amp;TABLERO!ED63&amp;", "&amp;TABLERO!I63)</f>
        <v/>
      </c>
      <c r="AU63" s="1080"/>
      <c r="AV63" s="44" t="str">
        <f>IF(TABLERO!BB63=0,"",TABLERO!BZ63)</f>
        <v/>
      </c>
      <c r="AW63" s="562" t="str">
        <f>IF(TABLERO!BB63=0,"",TABLERO!CA63)</f>
        <v/>
      </c>
      <c r="AX63" s="43" t="str">
        <f>IF(TABLERO!BB63=0,"",TABLERO!CB63)</f>
        <v/>
      </c>
      <c r="AY63" s="44" t="str">
        <f>IF(TABLERO!BB63=0,"",TABLERO!DL63)</f>
        <v/>
      </c>
      <c r="AZ63" s="576" t="str">
        <f>IF(OR(TABLERO!BB63=0,TABLERO!H63="RE"),"",TABLERO!F63&amp;"P-"&amp;TABLERO!BW63&amp;"A")</f>
        <v/>
      </c>
      <c r="BA63" s="44" t="str">
        <f>IF(TABLERO!BB63=0,"",TABLERO!CI63)</f>
        <v/>
      </c>
      <c r="BB63" s="44" t="str">
        <f>IF(TABLERO!BB63=0,"",TABLERO!CJ63)</f>
        <v/>
      </c>
      <c r="BC63" s="49" t="str">
        <f>IF(TABLERO!BB63=0,"",TABLERO!CK63)</f>
        <v/>
      </c>
      <c r="BG63" s="46">
        <f>IF(TABLERO!B63="",0,TABLERO!B63)</f>
        <v>33</v>
      </c>
      <c r="BH63" s="46">
        <f>IF(TABLERO!C63="",BG63,TABLERO!C63)</f>
        <v>33</v>
      </c>
      <c r="BI63" s="46">
        <f>IF(TABLERO!D63="",BG63,TABLERO!D63)</f>
        <v>33</v>
      </c>
      <c r="BJ63" s="50">
        <f t="shared" si="1"/>
        <v>0</v>
      </c>
    </row>
    <row r="64" spans="1:62" hidden="1">
      <c r="A64" s="46">
        <f>IF(OR(BG64&gt;TABLERO!$M$19,BH64&gt;TABLERO!$M$19,BI64&gt;TABLERO!$M$19,BG64=0,BH64=0,BI64=0),2,1)</f>
        <v>2</v>
      </c>
      <c r="B64" s="47" t="str">
        <f>TABLERO!B64&amp;IF(TABLERO!C64="","",","&amp;TABLERO!C64)&amp;IF(TABLERO!D64="","",","&amp;TABLERO!D64)</f>
        <v>34</v>
      </c>
      <c r="C64" s="42" t="str">
        <f>IF(TABLERO!E64=0,"",TABLERO!E64)</f>
        <v/>
      </c>
      <c r="D64" s="562" t="str">
        <f>IF(OR(TABLERO!X64="",TABLERO!X64=0),"",TABLERO!X64)</f>
        <v/>
      </c>
      <c r="E64" s="562" t="str">
        <f>IF(OR(TABLERO!Y64="",TABLERO!Y64=0),"",TABLERO!Y64)</f>
        <v/>
      </c>
      <c r="F64" s="562" t="str">
        <f>IF(OR(TABLERO!Z64="",TABLERO!Z64=0),"",TABLERO!Z64)</f>
        <v/>
      </c>
      <c r="G64" s="562" t="str">
        <f>IF(OR(TABLERO!AA64="",TABLERO!AA64=0),"",TABLERO!AA64)</f>
        <v/>
      </c>
      <c r="H64" s="562" t="str">
        <f>IF(OR(TABLERO!AB64="",TABLERO!AB64=0),"",TABLERO!AB64)</f>
        <v/>
      </c>
      <c r="I64" s="562" t="str">
        <f>IF(OR(TABLERO!AC64="",TABLERO!AC64=0),"",TABLERO!AC64)</f>
        <v/>
      </c>
      <c r="J64" s="562" t="str">
        <f>IF(OR(TABLERO!AD64="",TABLERO!AD64=0),"",TABLERO!AD64)</f>
        <v/>
      </c>
      <c r="K64" s="562" t="str">
        <f>IF(OR(TABLERO!AE64="",TABLERO!AE64=0),"",TABLERO!AE64)</f>
        <v/>
      </c>
      <c r="L64" s="562" t="str">
        <f>IF(OR(TABLERO!AF64="",TABLERO!AF64=0),"",TABLERO!AF64)</f>
        <v/>
      </c>
      <c r="M64" s="562" t="str">
        <f>IF(OR(TABLERO!AG64="",TABLERO!AG64=0),"",TABLERO!AG64)</f>
        <v/>
      </c>
      <c r="N64" s="562" t="str">
        <f>IF(OR(TABLERO!AH64="",TABLERO!AH64=0),"",TABLERO!AH64)</f>
        <v/>
      </c>
      <c r="O64" s="562" t="str">
        <f>IF(OR(TABLERO!AI64="",TABLERO!AI64=0),"",TABLERO!AI64)</f>
        <v/>
      </c>
      <c r="P64" s="562" t="str">
        <f>IF(OR(TABLERO!AJ64="",TABLERO!AJ64=0),"",TABLERO!AJ64)</f>
        <v/>
      </c>
      <c r="Q64" s="562" t="str">
        <f>IF(OR(TABLERO!AK64="",TABLERO!AK64=0),"",TABLERO!AK64)</f>
        <v/>
      </c>
      <c r="R64" s="562" t="str">
        <f>IF(OR(TABLERO!AL64="",TABLERO!AL64=0),"",TABLERO!AL64)</f>
        <v/>
      </c>
      <c r="S64" s="562" t="str">
        <f>IF(OR(TABLERO!AM64="",TABLERO!AM64=0),"",TABLERO!AM64)</f>
        <v/>
      </c>
      <c r="T64" s="562" t="str">
        <f>IF(OR(TABLERO!AN64="",TABLERO!AN64=0),"",TABLERO!AN64)</f>
        <v/>
      </c>
      <c r="U64" s="562" t="str">
        <f>IF(OR(TABLERO!AO64="",TABLERO!AO64=0),"",TABLERO!AO64)</f>
        <v/>
      </c>
      <c r="V64" s="562" t="str">
        <f>IF(OR(TABLERO!AP64="",TABLERO!AP64=0),"",TABLERO!AP64)</f>
        <v/>
      </c>
      <c r="W64" s="562" t="str">
        <f>IF(OR(TABLERO!AQ64="",TABLERO!AQ64=0),"",TABLERO!AQ64)</f>
        <v/>
      </c>
      <c r="X64" s="562" t="str">
        <f>IF(OR(TABLERO!AR64="",TABLERO!AR64=0),"",TABLERO!AR64)</f>
        <v/>
      </c>
      <c r="Y64" s="562" t="str">
        <f>IF(OR(TABLERO!AS64="",TABLERO!AS64=0),"",TABLERO!AS64)</f>
        <v/>
      </c>
      <c r="Z64" s="562" t="str">
        <f>IF(OR(TABLERO!AT64="",TABLERO!AT64=0),"",TABLERO!AT64)</f>
        <v/>
      </c>
      <c r="AA64" s="562" t="str">
        <f>IF(OR(TABLERO!AU64="",TABLERO!AU64=0),"",TABLERO!AU64)</f>
        <v/>
      </c>
      <c r="AB64" s="562" t="str">
        <f>IF(OR(TABLERO!AV64="",TABLERO!AV64=0),"",TABLERO!AV64)</f>
        <v/>
      </c>
      <c r="AC64" s="562" t="str">
        <f>IF(OR(TABLERO!AW64="",TABLERO!AW64=0),"",TABLERO!AW64)</f>
        <v/>
      </c>
      <c r="AD64" s="562" t="str">
        <f>IF(OR(TABLERO!AX64="",TABLERO!AX64=0),"",TABLERO!AX64)</f>
        <v/>
      </c>
      <c r="AE64" s="562" t="str">
        <f>IF(OR(TABLERO!AY64="",TABLERO!AY64=0),"",TABLERO!AY64)</f>
        <v/>
      </c>
      <c r="AF64" s="562" t="str">
        <f>IF(OR(TABLERO!AZ64="",TABLERO!AZ64=0),"",TABLERO!AZ64)</f>
        <v/>
      </c>
      <c r="AG64" s="562" t="str">
        <f>IF(OR(TABLERO!BA64="",TABLERO!BA64=0),"",TABLERO!BA64)</f>
        <v/>
      </c>
      <c r="AH64" s="48" t="str">
        <f>IF(TABLERO!BB64=0,"",IF(TABLERO!$F$17&lt;&gt;"KVA",TABLERO!BB64*1000,TABLERO!BB64*1000/TABLERO!DA64))</f>
        <v/>
      </c>
      <c r="AI64" s="48" t="str">
        <f>IF(TABLERO!BB64=0,"",IF(TABLERO!$F$17&lt;&gt;"KVA",TABLERO!BT64*1000,TABLERO!BT64*1000/TABLERO!DA64))</f>
        <v/>
      </c>
      <c r="AJ64" s="44" t="str">
        <f>IF(OR(TABLERO!BU64="",TABLERO!BU64=0),"",TABLERO!BU64)</f>
        <v/>
      </c>
      <c r="AK64" s="562" t="str">
        <f>IF(TABLERO!BB64=0,"",TABLERO!F64)</f>
        <v/>
      </c>
      <c r="AL64" s="562" t="str">
        <f>IF(TABLERO!BB64=0,"",TABLERO!G64)</f>
        <v/>
      </c>
      <c r="AM64" s="562" t="str">
        <f>IF(TABLERO!BB64=0,"",TABLERO!BV64)</f>
        <v/>
      </c>
      <c r="AN64" s="44" t="str">
        <f>IF(TABLERO!BB64=0,"",TABLERO!K64)</f>
        <v/>
      </c>
      <c r="AO64" s="562" t="str">
        <f>IF(TABLERO!BB64=0,"",TABLERO!J64)</f>
        <v/>
      </c>
      <c r="AP64" s="44" t="str">
        <f>IF(TABLERO!BB64=0,"",TABLERO!CT64)</f>
        <v/>
      </c>
      <c r="AQ64" s="44" t="str">
        <f>IF(TABLERO!BB64=0,"",TABLERO!CS64)</f>
        <v/>
      </c>
      <c r="AR64" s="44" t="str">
        <f>IF(TABLERO!BB64=0,"",TABLERO!CY64)</f>
        <v/>
      </c>
      <c r="AS64" s="562" t="str">
        <f>IF(TABLERO!BB64=0,"",TABLERO!N64)</f>
        <v/>
      </c>
      <c r="AT64" s="1079" t="str">
        <f>IF(TABLERO!BB64=0,"",TABLERO!BX64&amp;" "&amp;TABLERO!ED64&amp;", "&amp;TABLERO!I64)</f>
        <v/>
      </c>
      <c r="AU64" s="1080"/>
      <c r="AV64" s="44" t="str">
        <f>IF(TABLERO!BB64=0,"",TABLERO!BZ64)</f>
        <v/>
      </c>
      <c r="AW64" s="562" t="str">
        <f>IF(TABLERO!BB64=0,"",TABLERO!CA64)</f>
        <v/>
      </c>
      <c r="AX64" s="43" t="str">
        <f>IF(TABLERO!BB64=0,"",TABLERO!CB64)</f>
        <v/>
      </c>
      <c r="AY64" s="44" t="str">
        <f>IF(TABLERO!BB64=0,"",TABLERO!DL64)</f>
        <v/>
      </c>
      <c r="AZ64" s="576" t="str">
        <f>IF(OR(TABLERO!BB64=0,TABLERO!H64="RE"),"",TABLERO!F64&amp;"P-"&amp;TABLERO!BW64&amp;"A")</f>
        <v/>
      </c>
      <c r="BA64" s="44" t="str">
        <f>IF(TABLERO!BB64=0,"",TABLERO!CI64)</f>
        <v/>
      </c>
      <c r="BB64" s="44" t="str">
        <f>IF(TABLERO!BB64=0,"",TABLERO!CJ64)</f>
        <v/>
      </c>
      <c r="BC64" s="49" t="str">
        <f>IF(TABLERO!BB64=0,"",TABLERO!CK64)</f>
        <v/>
      </c>
      <c r="BG64" s="46">
        <f>IF(TABLERO!B64="",0,TABLERO!B64)</f>
        <v>34</v>
      </c>
      <c r="BH64" s="46">
        <f>IF(TABLERO!C64="",BG64,TABLERO!C64)</f>
        <v>34</v>
      </c>
      <c r="BI64" s="46">
        <f>IF(TABLERO!D64="",BG64,TABLERO!D64)</f>
        <v>34</v>
      </c>
      <c r="BJ64" s="50">
        <f t="shared" si="1"/>
        <v>0</v>
      </c>
    </row>
    <row r="65" spans="1:62" hidden="1">
      <c r="A65" s="46">
        <f>IF(OR(BG65&gt;TABLERO!$M$19,BH65&gt;TABLERO!$M$19,BI65&gt;TABLERO!$M$19,BG65=0,BH65=0,BI65=0),2,1)</f>
        <v>2</v>
      </c>
      <c r="B65" s="47" t="str">
        <f>TABLERO!B65&amp;IF(TABLERO!C65="","",","&amp;TABLERO!C65)&amp;IF(TABLERO!D65="","",","&amp;TABLERO!D65)</f>
        <v>35</v>
      </c>
      <c r="C65" s="42" t="str">
        <f>IF(TABLERO!E65=0,"",TABLERO!E65)</f>
        <v/>
      </c>
      <c r="D65" s="562" t="str">
        <f>IF(OR(TABLERO!X65="",TABLERO!X65=0),"",TABLERO!X65)</f>
        <v/>
      </c>
      <c r="E65" s="562" t="str">
        <f>IF(OR(TABLERO!Y65="",TABLERO!Y65=0),"",TABLERO!Y65)</f>
        <v/>
      </c>
      <c r="F65" s="562" t="str">
        <f>IF(OR(TABLERO!Z65="",TABLERO!Z65=0),"",TABLERO!Z65)</f>
        <v/>
      </c>
      <c r="G65" s="562" t="str">
        <f>IF(OR(TABLERO!AA65="",TABLERO!AA65=0),"",TABLERO!AA65)</f>
        <v/>
      </c>
      <c r="H65" s="562" t="str">
        <f>IF(OR(TABLERO!AB65="",TABLERO!AB65=0),"",TABLERO!AB65)</f>
        <v/>
      </c>
      <c r="I65" s="562" t="str">
        <f>IF(OR(TABLERO!AC65="",TABLERO!AC65=0),"",TABLERO!AC65)</f>
        <v/>
      </c>
      <c r="J65" s="562" t="str">
        <f>IF(OR(TABLERO!AD65="",TABLERO!AD65=0),"",TABLERO!AD65)</f>
        <v/>
      </c>
      <c r="K65" s="562" t="str">
        <f>IF(OR(TABLERO!AE65="",TABLERO!AE65=0),"",TABLERO!AE65)</f>
        <v/>
      </c>
      <c r="L65" s="562" t="str">
        <f>IF(OR(TABLERO!AF65="",TABLERO!AF65=0),"",TABLERO!AF65)</f>
        <v/>
      </c>
      <c r="M65" s="562" t="str">
        <f>IF(OR(TABLERO!AG65="",TABLERO!AG65=0),"",TABLERO!AG65)</f>
        <v/>
      </c>
      <c r="N65" s="562" t="str">
        <f>IF(OR(TABLERO!AH65="",TABLERO!AH65=0),"",TABLERO!AH65)</f>
        <v/>
      </c>
      <c r="O65" s="562" t="str">
        <f>IF(OR(TABLERO!AI65="",TABLERO!AI65=0),"",TABLERO!AI65)</f>
        <v/>
      </c>
      <c r="P65" s="562" t="str">
        <f>IF(OR(TABLERO!AJ65="",TABLERO!AJ65=0),"",TABLERO!AJ65)</f>
        <v/>
      </c>
      <c r="Q65" s="562" t="str">
        <f>IF(OR(TABLERO!AK65="",TABLERO!AK65=0),"",TABLERO!AK65)</f>
        <v/>
      </c>
      <c r="R65" s="562" t="str">
        <f>IF(OR(TABLERO!AL65="",TABLERO!AL65=0),"",TABLERO!AL65)</f>
        <v/>
      </c>
      <c r="S65" s="562" t="str">
        <f>IF(OR(TABLERO!AM65="",TABLERO!AM65=0),"",TABLERO!AM65)</f>
        <v/>
      </c>
      <c r="T65" s="562" t="str">
        <f>IF(OR(TABLERO!AN65="",TABLERO!AN65=0),"",TABLERO!AN65)</f>
        <v/>
      </c>
      <c r="U65" s="562" t="str">
        <f>IF(OR(TABLERO!AO65="",TABLERO!AO65=0),"",TABLERO!AO65)</f>
        <v/>
      </c>
      <c r="V65" s="562" t="str">
        <f>IF(OR(TABLERO!AP65="",TABLERO!AP65=0),"",TABLERO!AP65)</f>
        <v/>
      </c>
      <c r="W65" s="562" t="str">
        <f>IF(OR(TABLERO!AQ65="",TABLERO!AQ65=0),"",TABLERO!AQ65)</f>
        <v/>
      </c>
      <c r="X65" s="562" t="str">
        <f>IF(OR(TABLERO!AR65="",TABLERO!AR65=0),"",TABLERO!AR65)</f>
        <v/>
      </c>
      <c r="Y65" s="562" t="str">
        <f>IF(OR(TABLERO!AS65="",TABLERO!AS65=0),"",TABLERO!AS65)</f>
        <v/>
      </c>
      <c r="Z65" s="562" t="str">
        <f>IF(OR(TABLERO!AT65="",TABLERO!AT65=0),"",TABLERO!AT65)</f>
        <v/>
      </c>
      <c r="AA65" s="562" t="str">
        <f>IF(OR(TABLERO!AU65="",TABLERO!AU65=0),"",TABLERO!AU65)</f>
        <v/>
      </c>
      <c r="AB65" s="562" t="str">
        <f>IF(OR(TABLERO!AV65="",TABLERO!AV65=0),"",TABLERO!AV65)</f>
        <v/>
      </c>
      <c r="AC65" s="562" t="str">
        <f>IF(OR(TABLERO!AW65="",TABLERO!AW65=0),"",TABLERO!AW65)</f>
        <v/>
      </c>
      <c r="AD65" s="562" t="str">
        <f>IF(OR(TABLERO!AX65="",TABLERO!AX65=0),"",TABLERO!AX65)</f>
        <v/>
      </c>
      <c r="AE65" s="562" t="str">
        <f>IF(OR(TABLERO!AY65="",TABLERO!AY65=0),"",TABLERO!AY65)</f>
        <v/>
      </c>
      <c r="AF65" s="562" t="str">
        <f>IF(OR(TABLERO!AZ65="",TABLERO!AZ65=0),"",TABLERO!AZ65)</f>
        <v/>
      </c>
      <c r="AG65" s="562" t="str">
        <f>IF(OR(TABLERO!BA65="",TABLERO!BA65=0),"",TABLERO!BA65)</f>
        <v/>
      </c>
      <c r="AH65" s="48" t="str">
        <f>IF(TABLERO!BB65=0,"",IF(TABLERO!$F$17&lt;&gt;"KVA",TABLERO!BB65*1000,TABLERO!BB65*1000/TABLERO!DA65))</f>
        <v/>
      </c>
      <c r="AI65" s="48" t="str">
        <f>IF(TABLERO!BB65=0,"",IF(TABLERO!$F$17&lt;&gt;"KVA",TABLERO!BT65*1000,TABLERO!BT65*1000/TABLERO!DA65))</f>
        <v/>
      </c>
      <c r="AJ65" s="44" t="str">
        <f>IF(OR(TABLERO!BU65="",TABLERO!BU65=0),"",TABLERO!BU65)</f>
        <v/>
      </c>
      <c r="AK65" s="562" t="str">
        <f>IF(TABLERO!BB65=0,"",TABLERO!F65)</f>
        <v/>
      </c>
      <c r="AL65" s="562" t="str">
        <f>IF(TABLERO!BB65=0,"",TABLERO!G65)</f>
        <v/>
      </c>
      <c r="AM65" s="562" t="str">
        <f>IF(TABLERO!BB65=0,"",TABLERO!BV65)</f>
        <v/>
      </c>
      <c r="AN65" s="44" t="str">
        <f>IF(TABLERO!BB65=0,"",TABLERO!K65)</f>
        <v/>
      </c>
      <c r="AO65" s="562" t="str">
        <f>IF(TABLERO!BB65=0,"",TABLERO!J65)</f>
        <v/>
      </c>
      <c r="AP65" s="44" t="str">
        <f>IF(TABLERO!BB65=0,"",TABLERO!CT65)</f>
        <v/>
      </c>
      <c r="AQ65" s="44" t="str">
        <f>IF(TABLERO!BB65=0,"",TABLERO!CS65)</f>
        <v/>
      </c>
      <c r="AR65" s="44" t="str">
        <f>IF(TABLERO!BB65=0,"",TABLERO!CY65)</f>
        <v/>
      </c>
      <c r="AS65" s="562" t="str">
        <f>IF(TABLERO!BB65=0,"",TABLERO!N65)</f>
        <v/>
      </c>
      <c r="AT65" s="1079" t="str">
        <f>IF(TABLERO!BB65=0,"",TABLERO!BX65&amp;" "&amp;TABLERO!ED65&amp;", "&amp;TABLERO!I65)</f>
        <v/>
      </c>
      <c r="AU65" s="1080"/>
      <c r="AV65" s="44" t="str">
        <f>IF(TABLERO!BB65=0,"",TABLERO!BZ65)</f>
        <v/>
      </c>
      <c r="AW65" s="562" t="str">
        <f>IF(TABLERO!BB65=0,"",TABLERO!CA65)</f>
        <v/>
      </c>
      <c r="AX65" s="43" t="str">
        <f>IF(TABLERO!BB65=0,"",TABLERO!CB65)</f>
        <v/>
      </c>
      <c r="AY65" s="44" t="str">
        <f>IF(TABLERO!BB65=0,"",TABLERO!DL65)</f>
        <v/>
      </c>
      <c r="AZ65" s="576" t="str">
        <f>IF(OR(TABLERO!BB65=0,TABLERO!H65="RE"),"",TABLERO!F65&amp;"P-"&amp;TABLERO!BW65&amp;"A")</f>
        <v/>
      </c>
      <c r="BA65" s="44" t="str">
        <f>IF(TABLERO!BB65=0,"",TABLERO!CI65)</f>
        <v/>
      </c>
      <c r="BB65" s="44" t="str">
        <f>IF(TABLERO!BB65=0,"",TABLERO!CJ65)</f>
        <v/>
      </c>
      <c r="BC65" s="49" t="str">
        <f>IF(TABLERO!BB65=0,"",TABLERO!CK65)</f>
        <v/>
      </c>
      <c r="BG65" s="46">
        <f>IF(TABLERO!B65="",0,TABLERO!B65)</f>
        <v>35</v>
      </c>
      <c r="BH65" s="46">
        <f>IF(TABLERO!C65="",BG65,TABLERO!C65)</f>
        <v>35</v>
      </c>
      <c r="BI65" s="46">
        <f>IF(TABLERO!D65="",BG65,TABLERO!D65)</f>
        <v>35</v>
      </c>
      <c r="BJ65" s="50">
        <f t="shared" si="1"/>
        <v>0</v>
      </c>
    </row>
    <row r="66" spans="1:62" hidden="1">
      <c r="A66" s="46">
        <f>IF(OR(BG66&gt;TABLERO!$M$19,BH66&gt;TABLERO!$M$19,BI66&gt;TABLERO!$M$19,BG66=0,BH66=0,BI66=0),2,1)</f>
        <v>2</v>
      </c>
      <c r="B66" s="47" t="str">
        <f>TABLERO!B66&amp;IF(TABLERO!C66="","",","&amp;TABLERO!C66)&amp;IF(TABLERO!D66="","",","&amp;TABLERO!D66)</f>
        <v>36</v>
      </c>
      <c r="C66" s="42" t="str">
        <f>IF(TABLERO!E66=0,"",TABLERO!E66)</f>
        <v/>
      </c>
      <c r="D66" s="562" t="str">
        <f>IF(OR(TABLERO!X66="",TABLERO!X66=0),"",TABLERO!X66)</f>
        <v/>
      </c>
      <c r="E66" s="562" t="str">
        <f>IF(OR(TABLERO!Y66="",TABLERO!Y66=0),"",TABLERO!Y66)</f>
        <v/>
      </c>
      <c r="F66" s="562" t="str">
        <f>IF(OR(TABLERO!Z66="",TABLERO!Z66=0),"",TABLERO!Z66)</f>
        <v/>
      </c>
      <c r="G66" s="562" t="str">
        <f>IF(OR(TABLERO!AA66="",TABLERO!AA66=0),"",TABLERO!AA66)</f>
        <v/>
      </c>
      <c r="H66" s="562" t="str">
        <f>IF(OR(TABLERO!AB66="",TABLERO!AB66=0),"",TABLERO!AB66)</f>
        <v/>
      </c>
      <c r="I66" s="562" t="str">
        <f>IF(OR(TABLERO!AC66="",TABLERO!AC66=0),"",TABLERO!AC66)</f>
        <v/>
      </c>
      <c r="J66" s="562" t="str">
        <f>IF(OR(TABLERO!AD66="",TABLERO!AD66=0),"",TABLERO!AD66)</f>
        <v/>
      </c>
      <c r="K66" s="562" t="str">
        <f>IF(OR(TABLERO!AE66="",TABLERO!AE66=0),"",TABLERO!AE66)</f>
        <v/>
      </c>
      <c r="L66" s="562" t="str">
        <f>IF(OR(TABLERO!AF66="",TABLERO!AF66=0),"",TABLERO!AF66)</f>
        <v/>
      </c>
      <c r="M66" s="562" t="str">
        <f>IF(OR(TABLERO!AG66="",TABLERO!AG66=0),"",TABLERO!AG66)</f>
        <v/>
      </c>
      <c r="N66" s="562" t="str">
        <f>IF(OR(TABLERO!AH66="",TABLERO!AH66=0),"",TABLERO!AH66)</f>
        <v/>
      </c>
      <c r="O66" s="562" t="str">
        <f>IF(OR(TABLERO!AI66="",TABLERO!AI66=0),"",TABLERO!AI66)</f>
        <v/>
      </c>
      <c r="P66" s="562" t="str">
        <f>IF(OR(TABLERO!AJ66="",TABLERO!AJ66=0),"",TABLERO!AJ66)</f>
        <v/>
      </c>
      <c r="Q66" s="562" t="str">
        <f>IF(OR(TABLERO!AK66="",TABLERO!AK66=0),"",TABLERO!AK66)</f>
        <v/>
      </c>
      <c r="R66" s="562" t="str">
        <f>IF(OR(TABLERO!AL66="",TABLERO!AL66=0),"",TABLERO!AL66)</f>
        <v/>
      </c>
      <c r="S66" s="562" t="str">
        <f>IF(OR(TABLERO!AM66="",TABLERO!AM66=0),"",TABLERO!AM66)</f>
        <v/>
      </c>
      <c r="T66" s="562" t="str">
        <f>IF(OR(TABLERO!AN66="",TABLERO!AN66=0),"",TABLERO!AN66)</f>
        <v/>
      </c>
      <c r="U66" s="562" t="str">
        <f>IF(OR(TABLERO!AO66="",TABLERO!AO66=0),"",TABLERO!AO66)</f>
        <v/>
      </c>
      <c r="V66" s="562" t="str">
        <f>IF(OR(TABLERO!AP66="",TABLERO!AP66=0),"",TABLERO!AP66)</f>
        <v/>
      </c>
      <c r="W66" s="562" t="str">
        <f>IF(OR(TABLERO!AQ66="",TABLERO!AQ66=0),"",TABLERO!AQ66)</f>
        <v/>
      </c>
      <c r="X66" s="562" t="str">
        <f>IF(OR(TABLERO!AR66="",TABLERO!AR66=0),"",TABLERO!AR66)</f>
        <v/>
      </c>
      <c r="Y66" s="562" t="str">
        <f>IF(OR(TABLERO!AS66="",TABLERO!AS66=0),"",TABLERO!AS66)</f>
        <v/>
      </c>
      <c r="Z66" s="562" t="str">
        <f>IF(OR(TABLERO!AT66="",TABLERO!AT66=0),"",TABLERO!AT66)</f>
        <v/>
      </c>
      <c r="AA66" s="562" t="str">
        <f>IF(OR(TABLERO!AU66="",TABLERO!AU66=0),"",TABLERO!AU66)</f>
        <v/>
      </c>
      <c r="AB66" s="562" t="str">
        <f>IF(OR(TABLERO!AV66="",TABLERO!AV66=0),"",TABLERO!AV66)</f>
        <v/>
      </c>
      <c r="AC66" s="562" t="str">
        <f>IF(OR(TABLERO!AW66="",TABLERO!AW66=0),"",TABLERO!AW66)</f>
        <v/>
      </c>
      <c r="AD66" s="562" t="str">
        <f>IF(OR(TABLERO!AX66="",TABLERO!AX66=0),"",TABLERO!AX66)</f>
        <v/>
      </c>
      <c r="AE66" s="562" t="str">
        <f>IF(OR(TABLERO!AY66="",TABLERO!AY66=0),"",TABLERO!AY66)</f>
        <v/>
      </c>
      <c r="AF66" s="562" t="str">
        <f>IF(OR(TABLERO!AZ66="",TABLERO!AZ66=0),"",TABLERO!AZ66)</f>
        <v/>
      </c>
      <c r="AG66" s="562" t="str">
        <f>IF(OR(TABLERO!BA66="",TABLERO!BA66=0),"",TABLERO!BA66)</f>
        <v/>
      </c>
      <c r="AH66" s="48" t="str">
        <f>IF(TABLERO!BB66=0,"",IF(TABLERO!$F$17&lt;&gt;"KVA",TABLERO!BB66*1000,TABLERO!BB66*1000/TABLERO!DA66))</f>
        <v/>
      </c>
      <c r="AI66" s="48" t="str">
        <f>IF(TABLERO!BB66=0,"",IF(TABLERO!$F$17&lt;&gt;"KVA",TABLERO!BT66*1000,TABLERO!BT66*1000/TABLERO!DA66))</f>
        <v/>
      </c>
      <c r="AJ66" s="44" t="str">
        <f>IF(OR(TABLERO!BU66="",TABLERO!BU66=0),"",TABLERO!BU66)</f>
        <v/>
      </c>
      <c r="AK66" s="562" t="str">
        <f>IF(TABLERO!BB66=0,"",TABLERO!F66)</f>
        <v/>
      </c>
      <c r="AL66" s="562" t="str">
        <f>IF(TABLERO!BB66=0,"",TABLERO!G66)</f>
        <v/>
      </c>
      <c r="AM66" s="562" t="str">
        <f>IF(TABLERO!BB66=0,"",TABLERO!BV66)</f>
        <v/>
      </c>
      <c r="AN66" s="44" t="str">
        <f>IF(TABLERO!BB66=0,"",TABLERO!K66)</f>
        <v/>
      </c>
      <c r="AO66" s="562" t="str">
        <f>IF(TABLERO!BB66=0,"",TABLERO!J66)</f>
        <v/>
      </c>
      <c r="AP66" s="44" t="str">
        <f>IF(TABLERO!BB66=0,"",TABLERO!CT66)</f>
        <v/>
      </c>
      <c r="AQ66" s="44" t="str">
        <f>IF(TABLERO!BB66=0,"",TABLERO!CS66)</f>
        <v/>
      </c>
      <c r="AR66" s="44" t="str">
        <f>IF(TABLERO!BB66=0,"",TABLERO!CY66)</f>
        <v/>
      </c>
      <c r="AS66" s="562" t="str">
        <f>IF(TABLERO!BB66=0,"",TABLERO!N66)</f>
        <v/>
      </c>
      <c r="AT66" s="1079" t="str">
        <f>IF(TABLERO!BB66=0,"",TABLERO!BX66&amp;" "&amp;TABLERO!ED66&amp;", "&amp;TABLERO!I66)</f>
        <v/>
      </c>
      <c r="AU66" s="1080"/>
      <c r="AV66" s="44" t="str">
        <f>IF(TABLERO!BB66=0,"",TABLERO!BZ66)</f>
        <v/>
      </c>
      <c r="AW66" s="562" t="str">
        <f>IF(TABLERO!BB66=0,"",TABLERO!CA66)</f>
        <v/>
      </c>
      <c r="AX66" s="43" t="str">
        <f>IF(TABLERO!BB66=0,"",TABLERO!CB66)</f>
        <v/>
      </c>
      <c r="AY66" s="44" t="str">
        <f>IF(TABLERO!BB66=0,"",TABLERO!DL66)</f>
        <v/>
      </c>
      <c r="AZ66" s="576" t="str">
        <f>IF(OR(TABLERO!BB66=0,TABLERO!H66="RE"),"",TABLERO!F66&amp;"P-"&amp;TABLERO!BW66&amp;"A")</f>
        <v/>
      </c>
      <c r="BA66" s="44" t="str">
        <f>IF(TABLERO!BB66=0,"",TABLERO!CI66)</f>
        <v/>
      </c>
      <c r="BB66" s="44" t="str">
        <f>IF(TABLERO!BB66=0,"",TABLERO!CJ66)</f>
        <v/>
      </c>
      <c r="BC66" s="49" t="str">
        <f>IF(TABLERO!BB66=0,"",TABLERO!CK66)</f>
        <v/>
      </c>
      <c r="BG66" s="46">
        <f>IF(TABLERO!B66="",0,TABLERO!B66)</f>
        <v>36</v>
      </c>
      <c r="BH66" s="46">
        <f>IF(TABLERO!C66="",BG66,TABLERO!C66)</f>
        <v>36</v>
      </c>
      <c r="BI66" s="46">
        <f>IF(TABLERO!D66="",BG66,TABLERO!D66)</f>
        <v>36</v>
      </c>
      <c r="BJ66" s="50">
        <f t="shared" si="1"/>
        <v>0</v>
      </c>
    </row>
    <row r="67" spans="1:62" hidden="1">
      <c r="A67" s="46">
        <f>IF(OR(BG67&gt;TABLERO!$M$19,BH67&gt;TABLERO!$M$19,BI67&gt;TABLERO!$M$19,BG67=0,BH67=0,BI67=0),2,1)</f>
        <v>2</v>
      </c>
      <c r="B67" s="47" t="str">
        <f>TABLERO!B67&amp;IF(TABLERO!C67="","",","&amp;TABLERO!C67)&amp;IF(TABLERO!D67="","",","&amp;TABLERO!D67)</f>
        <v>37</v>
      </c>
      <c r="C67" s="42" t="str">
        <f>IF(TABLERO!E67=0,"",TABLERO!E67)</f>
        <v/>
      </c>
      <c r="D67" s="562" t="str">
        <f>IF(OR(TABLERO!X67="",TABLERO!X67=0),"",TABLERO!X67)</f>
        <v/>
      </c>
      <c r="E67" s="562" t="str">
        <f>IF(OR(TABLERO!Y67="",TABLERO!Y67=0),"",TABLERO!Y67)</f>
        <v/>
      </c>
      <c r="F67" s="562" t="str">
        <f>IF(OR(TABLERO!Z67="",TABLERO!Z67=0),"",TABLERO!Z67)</f>
        <v/>
      </c>
      <c r="G67" s="562" t="str">
        <f>IF(OR(TABLERO!AA67="",TABLERO!AA67=0),"",TABLERO!AA67)</f>
        <v/>
      </c>
      <c r="H67" s="562" t="str">
        <f>IF(OR(TABLERO!AB67="",TABLERO!AB67=0),"",TABLERO!AB67)</f>
        <v/>
      </c>
      <c r="I67" s="562" t="str">
        <f>IF(OR(TABLERO!AC67="",TABLERO!AC67=0),"",TABLERO!AC67)</f>
        <v/>
      </c>
      <c r="J67" s="562" t="str">
        <f>IF(OR(TABLERO!AD67="",TABLERO!AD67=0),"",TABLERO!AD67)</f>
        <v/>
      </c>
      <c r="K67" s="562" t="str">
        <f>IF(OR(TABLERO!AE67="",TABLERO!AE67=0),"",TABLERO!AE67)</f>
        <v/>
      </c>
      <c r="L67" s="562" t="str">
        <f>IF(OR(TABLERO!AF67="",TABLERO!AF67=0),"",TABLERO!AF67)</f>
        <v/>
      </c>
      <c r="M67" s="562" t="str">
        <f>IF(OR(TABLERO!AG67="",TABLERO!AG67=0),"",TABLERO!AG67)</f>
        <v/>
      </c>
      <c r="N67" s="562" t="str">
        <f>IF(OR(TABLERO!AH67="",TABLERO!AH67=0),"",TABLERO!AH67)</f>
        <v/>
      </c>
      <c r="O67" s="562" t="str">
        <f>IF(OR(TABLERO!AI67="",TABLERO!AI67=0),"",TABLERO!AI67)</f>
        <v/>
      </c>
      <c r="P67" s="562" t="str">
        <f>IF(OR(TABLERO!AJ67="",TABLERO!AJ67=0),"",TABLERO!AJ67)</f>
        <v/>
      </c>
      <c r="Q67" s="562" t="str">
        <f>IF(OR(TABLERO!AK67="",TABLERO!AK67=0),"",TABLERO!AK67)</f>
        <v/>
      </c>
      <c r="R67" s="562" t="str">
        <f>IF(OR(TABLERO!AL67="",TABLERO!AL67=0),"",TABLERO!AL67)</f>
        <v/>
      </c>
      <c r="S67" s="562" t="str">
        <f>IF(OR(TABLERO!AM67="",TABLERO!AM67=0),"",TABLERO!AM67)</f>
        <v/>
      </c>
      <c r="T67" s="562" t="str">
        <f>IF(OR(TABLERO!AN67="",TABLERO!AN67=0),"",TABLERO!AN67)</f>
        <v/>
      </c>
      <c r="U67" s="562" t="str">
        <f>IF(OR(TABLERO!AO67="",TABLERO!AO67=0),"",TABLERO!AO67)</f>
        <v/>
      </c>
      <c r="V67" s="562" t="str">
        <f>IF(OR(TABLERO!AP67="",TABLERO!AP67=0),"",TABLERO!AP67)</f>
        <v/>
      </c>
      <c r="W67" s="562" t="str">
        <f>IF(OR(TABLERO!AQ67="",TABLERO!AQ67=0),"",TABLERO!AQ67)</f>
        <v/>
      </c>
      <c r="X67" s="562" t="str">
        <f>IF(OR(TABLERO!AR67="",TABLERO!AR67=0),"",TABLERO!AR67)</f>
        <v/>
      </c>
      <c r="Y67" s="562" t="str">
        <f>IF(OR(TABLERO!AS67="",TABLERO!AS67=0),"",TABLERO!AS67)</f>
        <v/>
      </c>
      <c r="Z67" s="562" t="str">
        <f>IF(OR(TABLERO!AT67="",TABLERO!AT67=0),"",TABLERO!AT67)</f>
        <v/>
      </c>
      <c r="AA67" s="562" t="str">
        <f>IF(OR(TABLERO!AU67="",TABLERO!AU67=0),"",TABLERO!AU67)</f>
        <v/>
      </c>
      <c r="AB67" s="562" t="str">
        <f>IF(OR(TABLERO!AV67="",TABLERO!AV67=0),"",TABLERO!AV67)</f>
        <v/>
      </c>
      <c r="AC67" s="562" t="str">
        <f>IF(OR(TABLERO!AW67="",TABLERO!AW67=0),"",TABLERO!AW67)</f>
        <v/>
      </c>
      <c r="AD67" s="562" t="str">
        <f>IF(OR(TABLERO!AX67="",TABLERO!AX67=0),"",TABLERO!AX67)</f>
        <v/>
      </c>
      <c r="AE67" s="562" t="str">
        <f>IF(OR(TABLERO!AY67="",TABLERO!AY67=0),"",TABLERO!AY67)</f>
        <v/>
      </c>
      <c r="AF67" s="562" t="str">
        <f>IF(OR(TABLERO!AZ67="",TABLERO!AZ67=0),"",TABLERO!AZ67)</f>
        <v/>
      </c>
      <c r="AG67" s="562" t="str">
        <f>IF(OR(TABLERO!BA67="",TABLERO!BA67=0),"",TABLERO!BA67)</f>
        <v/>
      </c>
      <c r="AH67" s="48" t="str">
        <f>IF(TABLERO!BB67=0,"",IF(TABLERO!$F$17&lt;&gt;"KVA",TABLERO!BB67*1000,TABLERO!BB67*1000/TABLERO!DA67))</f>
        <v/>
      </c>
      <c r="AI67" s="48" t="str">
        <f>IF(TABLERO!BB67=0,"",IF(TABLERO!$F$17&lt;&gt;"KVA",TABLERO!BT67*1000,TABLERO!BT67*1000/TABLERO!DA67))</f>
        <v/>
      </c>
      <c r="AJ67" s="44" t="str">
        <f>IF(OR(TABLERO!BU67="",TABLERO!BU67=0),"",TABLERO!BU67)</f>
        <v/>
      </c>
      <c r="AK67" s="562" t="str">
        <f>IF(TABLERO!BB67=0,"",TABLERO!F67)</f>
        <v/>
      </c>
      <c r="AL67" s="562" t="str">
        <f>IF(TABLERO!BB67=0,"",TABLERO!G67)</f>
        <v/>
      </c>
      <c r="AM67" s="562" t="str">
        <f>IF(TABLERO!BB67=0,"",TABLERO!BV67)</f>
        <v/>
      </c>
      <c r="AN67" s="44" t="str">
        <f>IF(TABLERO!BB67=0,"",TABLERO!K67)</f>
        <v/>
      </c>
      <c r="AO67" s="562" t="str">
        <f>IF(TABLERO!BB67=0,"",TABLERO!J67)</f>
        <v/>
      </c>
      <c r="AP67" s="44" t="str">
        <f>IF(TABLERO!BB67=0,"",TABLERO!CT67)</f>
        <v/>
      </c>
      <c r="AQ67" s="44" t="str">
        <f>IF(TABLERO!BB67=0,"",TABLERO!CS67)</f>
        <v/>
      </c>
      <c r="AR67" s="44" t="str">
        <f>IF(TABLERO!BB67=0,"",TABLERO!CY67)</f>
        <v/>
      </c>
      <c r="AS67" s="562" t="str">
        <f>IF(TABLERO!BB67=0,"",TABLERO!N67)</f>
        <v/>
      </c>
      <c r="AT67" s="1079" t="str">
        <f>IF(TABLERO!BB67=0,"",TABLERO!BX67&amp;" "&amp;TABLERO!ED67&amp;", "&amp;TABLERO!I67)</f>
        <v/>
      </c>
      <c r="AU67" s="1080"/>
      <c r="AV67" s="44" t="str">
        <f>IF(TABLERO!BB67=0,"",TABLERO!BZ67)</f>
        <v/>
      </c>
      <c r="AW67" s="562" t="str">
        <f>IF(TABLERO!BB67=0,"",TABLERO!CA67)</f>
        <v/>
      </c>
      <c r="AX67" s="43" t="str">
        <f>IF(TABLERO!BB67=0,"",TABLERO!CB67)</f>
        <v/>
      </c>
      <c r="AY67" s="44" t="str">
        <f>IF(TABLERO!BB67=0,"",TABLERO!DL67)</f>
        <v/>
      </c>
      <c r="AZ67" s="576" t="str">
        <f>IF(OR(TABLERO!BB67=0,TABLERO!H67="RE"),"",TABLERO!F67&amp;"P-"&amp;TABLERO!BW67&amp;"A")</f>
        <v/>
      </c>
      <c r="BA67" s="44" t="str">
        <f>IF(TABLERO!BB67=0,"",TABLERO!CI67)</f>
        <v/>
      </c>
      <c r="BB67" s="44" t="str">
        <f>IF(TABLERO!BB67=0,"",TABLERO!CJ67)</f>
        <v/>
      </c>
      <c r="BC67" s="49" t="str">
        <f>IF(TABLERO!BB67=0,"",TABLERO!CK67)</f>
        <v/>
      </c>
      <c r="BG67" s="46">
        <f>IF(TABLERO!B67="",0,TABLERO!B67)</f>
        <v>37</v>
      </c>
      <c r="BH67" s="46">
        <f>IF(TABLERO!C67="",BG67,TABLERO!C67)</f>
        <v>37</v>
      </c>
      <c r="BI67" s="46">
        <f>IF(TABLERO!D67="",BG67,TABLERO!D67)</f>
        <v>37</v>
      </c>
      <c r="BJ67" s="50">
        <f t="shared" si="1"/>
        <v>0</v>
      </c>
    </row>
    <row r="68" spans="1:62" hidden="1">
      <c r="A68" s="46">
        <f>IF(OR(BG68&gt;TABLERO!$M$19,BH68&gt;TABLERO!$M$19,BI68&gt;TABLERO!$M$19,BG68=0,BH68=0,BI68=0),2,1)</f>
        <v>2</v>
      </c>
      <c r="B68" s="47" t="str">
        <f>TABLERO!B68&amp;IF(TABLERO!C68="","",","&amp;TABLERO!C68)&amp;IF(TABLERO!D68="","",","&amp;TABLERO!D68)</f>
        <v>38</v>
      </c>
      <c r="C68" s="42" t="str">
        <f>IF(TABLERO!E68=0,"",TABLERO!E68)</f>
        <v/>
      </c>
      <c r="D68" s="562" t="str">
        <f>IF(OR(TABLERO!X68="",TABLERO!X68=0),"",TABLERO!X68)</f>
        <v/>
      </c>
      <c r="E68" s="562" t="str">
        <f>IF(OR(TABLERO!Y68="",TABLERO!Y68=0),"",TABLERO!Y68)</f>
        <v/>
      </c>
      <c r="F68" s="562" t="str">
        <f>IF(OR(TABLERO!Z68="",TABLERO!Z68=0),"",TABLERO!Z68)</f>
        <v/>
      </c>
      <c r="G68" s="562" t="str">
        <f>IF(OR(TABLERO!AA68="",TABLERO!AA68=0),"",TABLERO!AA68)</f>
        <v/>
      </c>
      <c r="H68" s="562" t="str">
        <f>IF(OR(TABLERO!AB68="",TABLERO!AB68=0),"",TABLERO!AB68)</f>
        <v/>
      </c>
      <c r="I68" s="562" t="str">
        <f>IF(OR(TABLERO!AC68="",TABLERO!AC68=0),"",TABLERO!AC68)</f>
        <v/>
      </c>
      <c r="J68" s="562" t="str">
        <f>IF(OR(TABLERO!AD68="",TABLERO!AD68=0),"",TABLERO!AD68)</f>
        <v/>
      </c>
      <c r="K68" s="562" t="str">
        <f>IF(OR(TABLERO!AE68="",TABLERO!AE68=0),"",TABLERO!AE68)</f>
        <v/>
      </c>
      <c r="L68" s="562" t="str">
        <f>IF(OR(TABLERO!AF68="",TABLERO!AF68=0),"",TABLERO!AF68)</f>
        <v/>
      </c>
      <c r="M68" s="562" t="str">
        <f>IF(OR(TABLERO!AG68="",TABLERO!AG68=0),"",TABLERO!AG68)</f>
        <v/>
      </c>
      <c r="N68" s="562" t="str">
        <f>IF(OR(TABLERO!AH68="",TABLERO!AH68=0),"",TABLERO!AH68)</f>
        <v/>
      </c>
      <c r="O68" s="562" t="str">
        <f>IF(OR(TABLERO!AI68="",TABLERO!AI68=0),"",TABLERO!AI68)</f>
        <v/>
      </c>
      <c r="P68" s="562" t="str">
        <f>IF(OR(TABLERO!AJ68="",TABLERO!AJ68=0),"",TABLERO!AJ68)</f>
        <v/>
      </c>
      <c r="Q68" s="562" t="str">
        <f>IF(OR(TABLERO!AK68="",TABLERO!AK68=0),"",TABLERO!AK68)</f>
        <v/>
      </c>
      <c r="R68" s="562" t="str">
        <f>IF(OR(TABLERO!AL68="",TABLERO!AL68=0),"",TABLERO!AL68)</f>
        <v/>
      </c>
      <c r="S68" s="562" t="str">
        <f>IF(OR(TABLERO!AM68="",TABLERO!AM68=0),"",TABLERO!AM68)</f>
        <v/>
      </c>
      <c r="T68" s="562" t="str">
        <f>IF(OR(TABLERO!AN68="",TABLERO!AN68=0),"",TABLERO!AN68)</f>
        <v/>
      </c>
      <c r="U68" s="562" t="str">
        <f>IF(OR(TABLERO!AO68="",TABLERO!AO68=0),"",TABLERO!AO68)</f>
        <v/>
      </c>
      <c r="V68" s="562" t="str">
        <f>IF(OR(TABLERO!AP68="",TABLERO!AP68=0),"",TABLERO!AP68)</f>
        <v/>
      </c>
      <c r="W68" s="562" t="str">
        <f>IF(OR(TABLERO!AQ68="",TABLERO!AQ68=0),"",TABLERO!AQ68)</f>
        <v/>
      </c>
      <c r="X68" s="562" t="str">
        <f>IF(OR(TABLERO!AR68="",TABLERO!AR68=0),"",TABLERO!AR68)</f>
        <v/>
      </c>
      <c r="Y68" s="562" t="str">
        <f>IF(OR(TABLERO!AS68="",TABLERO!AS68=0),"",TABLERO!AS68)</f>
        <v/>
      </c>
      <c r="Z68" s="562" t="str">
        <f>IF(OR(TABLERO!AT68="",TABLERO!AT68=0),"",TABLERO!AT68)</f>
        <v/>
      </c>
      <c r="AA68" s="562" t="str">
        <f>IF(OR(TABLERO!AU68="",TABLERO!AU68=0),"",TABLERO!AU68)</f>
        <v/>
      </c>
      <c r="AB68" s="562" t="str">
        <f>IF(OR(TABLERO!AV68="",TABLERO!AV68=0),"",TABLERO!AV68)</f>
        <v/>
      </c>
      <c r="AC68" s="562" t="str">
        <f>IF(OR(TABLERO!AW68="",TABLERO!AW68=0),"",TABLERO!AW68)</f>
        <v/>
      </c>
      <c r="AD68" s="562" t="str">
        <f>IF(OR(TABLERO!AX68="",TABLERO!AX68=0),"",TABLERO!AX68)</f>
        <v/>
      </c>
      <c r="AE68" s="562" t="str">
        <f>IF(OR(TABLERO!AY68="",TABLERO!AY68=0),"",TABLERO!AY68)</f>
        <v/>
      </c>
      <c r="AF68" s="562" t="str">
        <f>IF(OR(TABLERO!AZ68="",TABLERO!AZ68=0),"",TABLERO!AZ68)</f>
        <v/>
      </c>
      <c r="AG68" s="562" t="str">
        <f>IF(OR(TABLERO!BA68="",TABLERO!BA68=0),"",TABLERO!BA68)</f>
        <v/>
      </c>
      <c r="AH68" s="48" t="str">
        <f>IF(TABLERO!BB68=0,"",IF(TABLERO!$F$17&lt;&gt;"KVA",TABLERO!BB68*1000,TABLERO!BB68*1000/TABLERO!DA68))</f>
        <v/>
      </c>
      <c r="AI68" s="48" t="str">
        <f>IF(TABLERO!BB68=0,"",IF(TABLERO!$F$17&lt;&gt;"KVA",TABLERO!BT68*1000,TABLERO!BT68*1000/TABLERO!DA68))</f>
        <v/>
      </c>
      <c r="AJ68" s="44" t="str">
        <f>IF(OR(TABLERO!BU68="",TABLERO!BU68=0),"",TABLERO!BU68)</f>
        <v/>
      </c>
      <c r="AK68" s="562" t="str">
        <f>IF(TABLERO!BB68=0,"",TABLERO!F68)</f>
        <v/>
      </c>
      <c r="AL68" s="562" t="str">
        <f>IF(TABLERO!BB68=0,"",TABLERO!G68)</f>
        <v/>
      </c>
      <c r="AM68" s="562" t="str">
        <f>IF(TABLERO!BB68=0,"",TABLERO!BV68)</f>
        <v/>
      </c>
      <c r="AN68" s="44" t="str">
        <f>IF(TABLERO!BB68=0,"",TABLERO!K68)</f>
        <v/>
      </c>
      <c r="AO68" s="562" t="str">
        <f>IF(TABLERO!BB68=0,"",TABLERO!J68)</f>
        <v/>
      </c>
      <c r="AP68" s="44" t="str">
        <f>IF(TABLERO!BB68=0,"",TABLERO!CT68)</f>
        <v/>
      </c>
      <c r="AQ68" s="44" t="str">
        <f>IF(TABLERO!BB68=0,"",TABLERO!CS68)</f>
        <v/>
      </c>
      <c r="AR68" s="44" t="str">
        <f>IF(TABLERO!BB68=0,"",TABLERO!CY68)</f>
        <v/>
      </c>
      <c r="AS68" s="562" t="str">
        <f>IF(TABLERO!BB68=0,"",TABLERO!N68)</f>
        <v/>
      </c>
      <c r="AT68" s="1079" t="str">
        <f>IF(TABLERO!BB68=0,"",TABLERO!BX68&amp;" "&amp;TABLERO!ED68&amp;", "&amp;TABLERO!I68)</f>
        <v/>
      </c>
      <c r="AU68" s="1080"/>
      <c r="AV68" s="44" t="str">
        <f>IF(TABLERO!BB68=0,"",TABLERO!BZ68)</f>
        <v/>
      </c>
      <c r="AW68" s="562" t="str">
        <f>IF(TABLERO!BB68=0,"",TABLERO!CA68)</f>
        <v/>
      </c>
      <c r="AX68" s="43" t="str">
        <f>IF(TABLERO!BB68=0,"",TABLERO!CB68)</f>
        <v/>
      </c>
      <c r="AY68" s="44" t="str">
        <f>IF(TABLERO!BB68=0,"",TABLERO!DL68)</f>
        <v/>
      </c>
      <c r="AZ68" s="576" t="str">
        <f>IF(OR(TABLERO!BB68=0,TABLERO!H68="RE"),"",TABLERO!F68&amp;"P-"&amp;TABLERO!BW68&amp;"A")</f>
        <v/>
      </c>
      <c r="BA68" s="44" t="str">
        <f>IF(TABLERO!BB68=0,"",TABLERO!CI68)</f>
        <v/>
      </c>
      <c r="BB68" s="44" t="str">
        <f>IF(TABLERO!BB68=0,"",TABLERO!CJ68)</f>
        <v/>
      </c>
      <c r="BC68" s="49" t="str">
        <f>IF(TABLERO!BB68=0,"",TABLERO!CK68)</f>
        <v/>
      </c>
      <c r="BG68" s="46">
        <f>IF(TABLERO!B68="",0,TABLERO!B68)</f>
        <v>38</v>
      </c>
      <c r="BH68" s="46">
        <f>IF(TABLERO!C68="",BG68,TABLERO!C68)</f>
        <v>38</v>
      </c>
      <c r="BI68" s="46">
        <f>IF(TABLERO!D68="",BG68,TABLERO!D68)</f>
        <v>38</v>
      </c>
      <c r="BJ68" s="50">
        <f t="shared" si="1"/>
        <v>0</v>
      </c>
    </row>
    <row r="69" spans="1:62" hidden="1">
      <c r="A69" s="46">
        <f>IF(OR(BG69&gt;TABLERO!$M$19,BH69&gt;TABLERO!$M$19,BI69&gt;TABLERO!$M$19,BG69=0,BH69=0,BI69=0),2,1)</f>
        <v>2</v>
      </c>
      <c r="B69" s="47" t="str">
        <f>TABLERO!B69&amp;IF(TABLERO!C69="","",","&amp;TABLERO!C69)&amp;IF(TABLERO!D69="","",","&amp;TABLERO!D69)</f>
        <v>39</v>
      </c>
      <c r="C69" s="42" t="str">
        <f>IF(TABLERO!E69=0,"",TABLERO!E69)</f>
        <v/>
      </c>
      <c r="D69" s="562" t="str">
        <f>IF(OR(TABLERO!X69="",TABLERO!X69=0),"",TABLERO!X69)</f>
        <v/>
      </c>
      <c r="E69" s="562" t="str">
        <f>IF(OR(TABLERO!Y69="",TABLERO!Y69=0),"",TABLERO!Y69)</f>
        <v/>
      </c>
      <c r="F69" s="562" t="str">
        <f>IF(OR(TABLERO!Z69="",TABLERO!Z69=0),"",TABLERO!Z69)</f>
        <v/>
      </c>
      <c r="G69" s="562" t="str">
        <f>IF(OR(TABLERO!AA69="",TABLERO!AA69=0),"",TABLERO!AA69)</f>
        <v/>
      </c>
      <c r="H69" s="562" t="str">
        <f>IF(OR(TABLERO!AB69="",TABLERO!AB69=0),"",TABLERO!AB69)</f>
        <v/>
      </c>
      <c r="I69" s="562" t="str">
        <f>IF(OR(TABLERO!AC69="",TABLERO!AC69=0),"",TABLERO!AC69)</f>
        <v/>
      </c>
      <c r="J69" s="562" t="str">
        <f>IF(OR(TABLERO!AD69="",TABLERO!AD69=0),"",TABLERO!AD69)</f>
        <v/>
      </c>
      <c r="K69" s="562" t="str">
        <f>IF(OR(TABLERO!AE69="",TABLERO!AE69=0),"",TABLERO!AE69)</f>
        <v/>
      </c>
      <c r="L69" s="562" t="str">
        <f>IF(OR(TABLERO!AF69="",TABLERO!AF69=0),"",TABLERO!AF69)</f>
        <v/>
      </c>
      <c r="M69" s="562" t="str">
        <f>IF(OR(TABLERO!AG69="",TABLERO!AG69=0),"",TABLERO!AG69)</f>
        <v/>
      </c>
      <c r="N69" s="562" t="str">
        <f>IF(OR(TABLERO!AH69="",TABLERO!AH69=0),"",TABLERO!AH69)</f>
        <v/>
      </c>
      <c r="O69" s="562" t="str">
        <f>IF(OR(TABLERO!AI69="",TABLERO!AI69=0),"",TABLERO!AI69)</f>
        <v/>
      </c>
      <c r="P69" s="562" t="str">
        <f>IF(OR(TABLERO!AJ69="",TABLERO!AJ69=0),"",TABLERO!AJ69)</f>
        <v/>
      </c>
      <c r="Q69" s="562" t="str">
        <f>IF(OR(TABLERO!AK69="",TABLERO!AK69=0),"",TABLERO!AK69)</f>
        <v/>
      </c>
      <c r="R69" s="562" t="str">
        <f>IF(OR(TABLERO!AL69="",TABLERO!AL69=0),"",TABLERO!AL69)</f>
        <v/>
      </c>
      <c r="S69" s="562" t="str">
        <f>IF(OR(TABLERO!AM69="",TABLERO!AM69=0),"",TABLERO!AM69)</f>
        <v/>
      </c>
      <c r="T69" s="562" t="str">
        <f>IF(OR(TABLERO!AN69="",TABLERO!AN69=0),"",TABLERO!AN69)</f>
        <v/>
      </c>
      <c r="U69" s="562" t="str">
        <f>IF(OR(TABLERO!AO69="",TABLERO!AO69=0),"",TABLERO!AO69)</f>
        <v/>
      </c>
      <c r="V69" s="562" t="str">
        <f>IF(OR(TABLERO!AP69="",TABLERO!AP69=0),"",TABLERO!AP69)</f>
        <v/>
      </c>
      <c r="W69" s="562" t="str">
        <f>IF(OR(TABLERO!AQ69="",TABLERO!AQ69=0),"",TABLERO!AQ69)</f>
        <v/>
      </c>
      <c r="X69" s="562" t="str">
        <f>IF(OR(TABLERO!AR69="",TABLERO!AR69=0),"",TABLERO!AR69)</f>
        <v/>
      </c>
      <c r="Y69" s="562" t="str">
        <f>IF(OR(TABLERO!AS69="",TABLERO!AS69=0),"",TABLERO!AS69)</f>
        <v/>
      </c>
      <c r="Z69" s="562" t="str">
        <f>IF(OR(TABLERO!AT69="",TABLERO!AT69=0),"",TABLERO!AT69)</f>
        <v/>
      </c>
      <c r="AA69" s="562" t="str">
        <f>IF(OR(TABLERO!AU69="",TABLERO!AU69=0),"",TABLERO!AU69)</f>
        <v/>
      </c>
      <c r="AB69" s="562" t="str">
        <f>IF(OR(TABLERO!AV69="",TABLERO!AV69=0),"",TABLERO!AV69)</f>
        <v/>
      </c>
      <c r="AC69" s="562" t="str">
        <f>IF(OR(TABLERO!AW69="",TABLERO!AW69=0),"",TABLERO!AW69)</f>
        <v/>
      </c>
      <c r="AD69" s="562" t="str">
        <f>IF(OR(TABLERO!AX69="",TABLERO!AX69=0),"",TABLERO!AX69)</f>
        <v/>
      </c>
      <c r="AE69" s="562" t="str">
        <f>IF(OR(TABLERO!AY69="",TABLERO!AY69=0),"",TABLERO!AY69)</f>
        <v/>
      </c>
      <c r="AF69" s="562" t="str">
        <f>IF(OR(TABLERO!AZ69="",TABLERO!AZ69=0),"",TABLERO!AZ69)</f>
        <v/>
      </c>
      <c r="AG69" s="562" t="str">
        <f>IF(OR(TABLERO!BA69="",TABLERO!BA69=0),"",TABLERO!BA69)</f>
        <v/>
      </c>
      <c r="AH69" s="48" t="str">
        <f>IF(TABLERO!BB69=0,"",IF(TABLERO!$F$17&lt;&gt;"KVA",TABLERO!BB69*1000,TABLERO!BB69*1000/TABLERO!DA69))</f>
        <v/>
      </c>
      <c r="AI69" s="48" t="str">
        <f>IF(TABLERO!BB69=0,"",IF(TABLERO!$F$17&lt;&gt;"KVA",TABLERO!BT69*1000,TABLERO!BT69*1000/TABLERO!DA69))</f>
        <v/>
      </c>
      <c r="AJ69" s="44" t="str">
        <f>IF(OR(TABLERO!BU69="",TABLERO!BU69=0),"",TABLERO!BU69)</f>
        <v/>
      </c>
      <c r="AK69" s="562" t="str">
        <f>IF(TABLERO!BB69=0,"",TABLERO!F69)</f>
        <v/>
      </c>
      <c r="AL69" s="562" t="str">
        <f>IF(TABLERO!BB69=0,"",TABLERO!G69)</f>
        <v/>
      </c>
      <c r="AM69" s="562" t="str">
        <f>IF(TABLERO!BB69=0,"",TABLERO!BV69)</f>
        <v/>
      </c>
      <c r="AN69" s="44" t="str">
        <f>IF(TABLERO!BB69=0,"",TABLERO!K69)</f>
        <v/>
      </c>
      <c r="AO69" s="562" t="str">
        <f>IF(TABLERO!BB69=0,"",TABLERO!J69)</f>
        <v/>
      </c>
      <c r="AP69" s="44" t="str">
        <f>IF(TABLERO!BB69=0,"",TABLERO!CT69)</f>
        <v/>
      </c>
      <c r="AQ69" s="44" t="str">
        <f>IF(TABLERO!BB69=0,"",TABLERO!CS69)</f>
        <v/>
      </c>
      <c r="AR69" s="44" t="str">
        <f>IF(TABLERO!BB69=0,"",TABLERO!CY69)</f>
        <v/>
      </c>
      <c r="AS69" s="562" t="str">
        <f>IF(TABLERO!BB69=0,"",TABLERO!N69)</f>
        <v/>
      </c>
      <c r="AT69" s="1079" t="str">
        <f>IF(TABLERO!BB69=0,"",TABLERO!BX69&amp;" "&amp;TABLERO!ED69&amp;", "&amp;TABLERO!I69)</f>
        <v/>
      </c>
      <c r="AU69" s="1080"/>
      <c r="AV69" s="44" t="str">
        <f>IF(TABLERO!BB69=0,"",TABLERO!BZ69)</f>
        <v/>
      </c>
      <c r="AW69" s="562" t="str">
        <f>IF(TABLERO!BB69=0,"",TABLERO!CA69)</f>
        <v/>
      </c>
      <c r="AX69" s="43" t="str">
        <f>IF(TABLERO!BB69=0,"",TABLERO!CB69)</f>
        <v/>
      </c>
      <c r="AY69" s="44" t="str">
        <f>IF(TABLERO!BB69=0,"",TABLERO!DL69)</f>
        <v/>
      </c>
      <c r="AZ69" s="576" t="str">
        <f>IF(OR(TABLERO!BB69=0,TABLERO!H69="RE"),"",TABLERO!F69&amp;"P-"&amp;TABLERO!BW69&amp;"A")</f>
        <v/>
      </c>
      <c r="BA69" s="44" t="str">
        <f>IF(TABLERO!BB69=0,"",TABLERO!CI69)</f>
        <v/>
      </c>
      <c r="BB69" s="44" t="str">
        <f>IF(TABLERO!BB69=0,"",TABLERO!CJ69)</f>
        <v/>
      </c>
      <c r="BC69" s="49" t="str">
        <f>IF(TABLERO!BB69=0,"",TABLERO!CK69)</f>
        <v/>
      </c>
      <c r="BG69" s="46">
        <f>IF(TABLERO!B69="",0,TABLERO!B69)</f>
        <v>39</v>
      </c>
      <c r="BH69" s="46">
        <f>IF(TABLERO!C69="",BG69,TABLERO!C69)</f>
        <v>39</v>
      </c>
      <c r="BI69" s="46">
        <f>IF(TABLERO!D69="",BG69,TABLERO!D69)</f>
        <v>39</v>
      </c>
      <c r="BJ69" s="50">
        <f t="shared" si="1"/>
        <v>0</v>
      </c>
    </row>
    <row r="70" spans="1:62" hidden="1">
      <c r="A70" s="46">
        <f>IF(OR(BG70&gt;TABLERO!$M$19,BH70&gt;TABLERO!$M$19,BI70&gt;TABLERO!$M$19,BG70=0,BH70=0,BI70=0),2,1)</f>
        <v>2</v>
      </c>
      <c r="B70" s="47" t="str">
        <f>TABLERO!B70&amp;IF(TABLERO!C70="","",","&amp;TABLERO!C70)&amp;IF(TABLERO!D70="","",","&amp;TABLERO!D70)</f>
        <v>40</v>
      </c>
      <c r="C70" s="42" t="str">
        <f>IF(TABLERO!E70=0,"",TABLERO!E70)</f>
        <v/>
      </c>
      <c r="D70" s="562" t="str">
        <f>IF(OR(TABLERO!X70="",TABLERO!X70=0),"",TABLERO!X70)</f>
        <v/>
      </c>
      <c r="E70" s="562" t="str">
        <f>IF(OR(TABLERO!Y70="",TABLERO!Y70=0),"",TABLERO!Y70)</f>
        <v/>
      </c>
      <c r="F70" s="562" t="str">
        <f>IF(OR(TABLERO!Z70="",TABLERO!Z70=0),"",TABLERO!Z70)</f>
        <v/>
      </c>
      <c r="G70" s="562" t="str">
        <f>IF(OR(TABLERO!AA70="",TABLERO!AA70=0),"",TABLERO!AA70)</f>
        <v/>
      </c>
      <c r="H70" s="562" t="str">
        <f>IF(OR(TABLERO!AB70="",TABLERO!AB70=0),"",TABLERO!AB70)</f>
        <v/>
      </c>
      <c r="I70" s="562" t="str">
        <f>IF(OR(TABLERO!AC70="",TABLERO!AC70=0),"",TABLERO!AC70)</f>
        <v/>
      </c>
      <c r="J70" s="562" t="str">
        <f>IF(OR(TABLERO!AD70="",TABLERO!AD70=0),"",TABLERO!AD70)</f>
        <v/>
      </c>
      <c r="K70" s="562" t="str">
        <f>IF(OR(TABLERO!AE70="",TABLERO!AE70=0),"",TABLERO!AE70)</f>
        <v/>
      </c>
      <c r="L70" s="562" t="str">
        <f>IF(OR(TABLERO!AF70="",TABLERO!AF70=0),"",TABLERO!AF70)</f>
        <v/>
      </c>
      <c r="M70" s="562" t="str">
        <f>IF(OR(TABLERO!AG70="",TABLERO!AG70=0),"",TABLERO!AG70)</f>
        <v/>
      </c>
      <c r="N70" s="562" t="str">
        <f>IF(OR(TABLERO!AH70="",TABLERO!AH70=0),"",TABLERO!AH70)</f>
        <v/>
      </c>
      <c r="O70" s="562" t="str">
        <f>IF(OR(TABLERO!AI70="",TABLERO!AI70=0),"",TABLERO!AI70)</f>
        <v/>
      </c>
      <c r="P70" s="562" t="str">
        <f>IF(OR(TABLERO!AJ70="",TABLERO!AJ70=0),"",TABLERO!AJ70)</f>
        <v/>
      </c>
      <c r="Q70" s="562" t="str">
        <f>IF(OR(TABLERO!AK70="",TABLERO!AK70=0),"",TABLERO!AK70)</f>
        <v/>
      </c>
      <c r="R70" s="562" t="str">
        <f>IF(OR(TABLERO!AL70="",TABLERO!AL70=0),"",TABLERO!AL70)</f>
        <v/>
      </c>
      <c r="S70" s="562" t="str">
        <f>IF(OR(TABLERO!AM70="",TABLERO!AM70=0),"",TABLERO!AM70)</f>
        <v/>
      </c>
      <c r="T70" s="562" t="str">
        <f>IF(OR(TABLERO!AN70="",TABLERO!AN70=0),"",TABLERO!AN70)</f>
        <v/>
      </c>
      <c r="U70" s="562" t="str">
        <f>IF(OR(TABLERO!AO70="",TABLERO!AO70=0),"",TABLERO!AO70)</f>
        <v/>
      </c>
      <c r="V70" s="562" t="str">
        <f>IF(OR(TABLERO!AP70="",TABLERO!AP70=0),"",TABLERO!AP70)</f>
        <v/>
      </c>
      <c r="W70" s="562" t="str">
        <f>IF(OR(TABLERO!AQ70="",TABLERO!AQ70=0),"",TABLERO!AQ70)</f>
        <v/>
      </c>
      <c r="X70" s="562" t="str">
        <f>IF(OR(TABLERO!AR70="",TABLERO!AR70=0),"",TABLERO!AR70)</f>
        <v/>
      </c>
      <c r="Y70" s="562" t="str">
        <f>IF(OR(TABLERO!AS70="",TABLERO!AS70=0),"",TABLERO!AS70)</f>
        <v/>
      </c>
      <c r="Z70" s="562" t="str">
        <f>IF(OR(TABLERO!AT70="",TABLERO!AT70=0),"",TABLERO!AT70)</f>
        <v/>
      </c>
      <c r="AA70" s="562" t="str">
        <f>IF(OR(TABLERO!AU70="",TABLERO!AU70=0),"",TABLERO!AU70)</f>
        <v/>
      </c>
      <c r="AB70" s="562" t="str">
        <f>IF(OR(TABLERO!AV70="",TABLERO!AV70=0),"",TABLERO!AV70)</f>
        <v/>
      </c>
      <c r="AC70" s="562" t="str">
        <f>IF(OR(TABLERO!AW70="",TABLERO!AW70=0),"",TABLERO!AW70)</f>
        <v/>
      </c>
      <c r="AD70" s="562" t="str">
        <f>IF(OR(TABLERO!AX70="",TABLERO!AX70=0),"",TABLERO!AX70)</f>
        <v/>
      </c>
      <c r="AE70" s="562" t="str">
        <f>IF(OR(TABLERO!AY70="",TABLERO!AY70=0),"",TABLERO!AY70)</f>
        <v/>
      </c>
      <c r="AF70" s="562" t="str">
        <f>IF(OR(TABLERO!AZ70="",TABLERO!AZ70=0),"",TABLERO!AZ70)</f>
        <v/>
      </c>
      <c r="AG70" s="562" t="str">
        <f>IF(OR(TABLERO!BA70="",TABLERO!BA70=0),"",TABLERO!BA70)</f>
        <v/>
      </c>
      <c r="AH70" s="48" t="str">
        <f>IF(TABLERO!BB70=0,"",IF(TABLERO!$F$17&lt;&gt;"KVA",TABLERO!BB70*1000,TABLERO!BB70*1000/TABLERO!DA70))</f>
        <v/>
      </c>
      <c r="AI70" s="48" t="str">
        <f>IF(TABLERO!BB70=0,"",IF(TABLERO!$F$17&lt;&gt;"KVA",TABLERO!BT70*1000,TABLERO!BT70*1000/TABLERO!DA70))</f>
        <v/>
      </c>
      <c r="AJ70" s="44" t="str">
        <f>IF(OR(TABLERO!BU70="",TABLERO!BU70=0),"",TABLERO!BU70)</f>
        <v/>
      </c>
      <c r="AK70" s="562" t="str">
        <f>IF(TABLERO!BB70=0,"",TABLERO!F70)</f>
        <v/>
      </c>
      <c r="AL70" s="562" t="str">
        <f>IF(TABLERO!BB70=0,"",TABLERO!G70)</f>
        <v/>
      </c>
      <c r="AM70" s="562" t="str">
        <f>IF(TABLERO!BB70=0,"",TABLERO!BV70)</f>
        <v/>
      </c>
      <c r="AN70" s="44" t="str">
        <f>IF(TABLERO!BB70=0,"",TABLERO!K70)</f>
        <v/>
      </c>
      <c r="AO70" s="562" t="str">
        <f>IF(TABLERO!BB70=0,"",TABLERO!J70)</f>
        <v/>
      </c>
      <c r="AP70" s="44" t="str">
        <f>IF(TABLERO!BB70=0,"",TABLERO!CT70)</f>
        <v/>
      </c>
      <c r="AQ70" s="44" t="str">
        <f>IF(TABLERO!BB70=0,"",TABLERO!CS70)</f>
        <v/>
      </c>
      <c r="AR70" s="44" t="str">
        <f>IF(TABLERO!BB70=0,"",TABLERO!CY70)</f>
        <v/>
      </c>
      <c r="AS70" s="562" t="str">
        <f>IF(TABLERO!BB70=0,"",TABLERO!N70)</f>
        <v/>
      </c>
      <c r="AT70" s="1079" t="str">
        <f>IF(TABLERO!BB70=0,"",TABLERO!BX70&amp;" "&amp;TABLERO!ED70&amp;", "&amp;TABLERO!I70)</f>
        <v/>
      </c>
      <c r="AU70" s="1080"/>
      <c r="AV70" s="44" t="str">
        <f>IF(TABLERO!BB70=0,"",TABLERO!BZ70)</f>
        <v/>
      </c>
      <c r="AW70" s="562" t="str">
        <f>IF(TABLERO!BB70=0,"",TABLERO!CA70)</f>
        <v/>
      </c>
      <c r="AX70" s="43" t="str">
        <f>IF(TABLERO!BB70=0,"",TABLERO!CB70)</f>
        <v/>
      </c>
      <c r="AY70" s="44" t="str">
        <f>IF(TABLERO!BB70=0,"",TABLERO!DL70)</f>
        <v/>
      </c>
      <c r="AZ70" s="576" t="str">
        <f>IF(OR(TABLERO!BB70=0,TABLERO!H70="RE"),"",TABLERO!F70&amp;"P-"&amp;TABLERO!BW70&amp;"A")</f>
        <v/>
      </c>
      <c r="BA70" s="44" t="str">
        <f>IF(TABLERO!BB70=0,"",TABLERO!CI70)</f>
        <v/>
      </c>
      <c r="BB70" s="44" t="str">
        <f>IF(TABLERO!BB70=0,"",TABLERO!CJ70)</f>
        <v/>
      </c>
      <c r="BC70" s="49" t="str">
        <f>IF(TABLERO!BB70=0,"",TABLERO!CK70)</f>
        <v/>
      </c>
      <c r="BG70" s="46">
        <f>IF(TABLERO!B70="",0,TABLERO!B70)</f>
        <v>40</v>
      </c>
      <c r="BH70" s="46">
        <f>IF(TABLERO!C70="",BG70,TABLERO!C70)</f>
        <v>40</v>
      </c>
      <c r="BI70" s="46">
        <f>IF(TABLERO!D70="",BG70,TABLERO!D70)</f>
        <v>40</v>
      </c>
      <c r="BJ70" s="50">
        <f t="shared" si="1"/>
        <v>0</v>
      </c>
    </row>
    <row r="71" spans="1:62" hidden="1">
      <c r="A71" s="46">
        <f>IF(OR(BG71&gt;TABLERO!$M$19,BH71&gt;TABLERO!$M$19,BI71&gt;TABLERO!$M$19,BG71=0,BH71=0,BI71=0),2,1)</f>
        <v>2</v>
      </c>
      <c r="B71" s="47" t="str">
        <f>TABLERO!B71&amp;IF(TABLERO!C71="","",","&amp;TABLERO!C71)&amp;IF(TABLERO!D71="","",","&amp;TABLERO!D71)</f>
        <v>41</v>
      </c>
      <c r="C71" s="42" t="str">
        <f>IF(TABLERO!E71=0,"",TABLERO!E71)</f>
        <v/>
      </c>
      <c r="D71" s="562" t="str">
        <f>IF(OR(TABLERO!X71="",TABLERO!X71=0),"",TABLERO!X71)</f>
        <v/>
      </c>
      <c r="E71" s="562" t="str">
        <f>IF(OR(TABLERO!Y71="",TABLERO!Y71=0),"",TABLERO!Y71)</f>
        <v/>
      </c>
      <c r="F71" s="562" t="str">
        <f>IF(OR(TABLERO!Z71="",TABLERO!Z71=0),"",TABLERO!Z71)</f>
        <v/>
      </c>
      <c r="G71" s="562" t="str">
        <f>IF(OR(TABLERO!AA71="",TABLERO!AA71=0),"",TABLERO!AA71)</f>
        <v/>
      </c>
      <c r="H71" s="562" t="str">
        <f>IF(OR(TABLERO!AB71="",TABLERO!AB71=0),"",TABLERO!AB71)</f>
        <v/>
      </c>
      <c r="I71" s="562" t="str">
        <f>IF(OR(TABLERO!AC71="",TABLERO!AC71=0),"",TABLERO!AC71)</f>
        <v/>
      </c>
      <c r="J71" s="562" t="str">
        <f>IF(OR(TABLERO!AD71="",TABLERO!AD71=0),"",TABLERO!AD71)</f>
        <v/>
      </c>
      <c r="K71" s="562" t="str">
        <f>IF(OR(TABLERO!AE71="",TABLERO!AE71=0),"",TABLERO!AE71)</f>
        <v/>
      </c>
      <c r="L71" s="562" t="str">
        <f>IF(OR(TABLERO!AF71="",TABLERO!AF71=0),"",TABLERO!AF71)</f>
        <v/>
      </c>
      <c r="M71" s="562" t="str">
        <f>IF(OR(TABLERO!AG71="",TABLERO!AG71=0),"",TABLERO!AG71)</f>
        <v/>
      </c>
      <c r="N71" s="562" t="str">
        <f>IF(OR(TABLERO!AH71="",TABLERO!AH71=0),"",TABLERO!AH71)</f>
        <v/>
      </c>
      <c r="O71" s="562" t="str">
        <f>IF(OR(TABLERO!AI71="",TABLERO!AI71=0),"",TABLERO!AI71)</f>
        <v/>
      </c>
      <c r="P71" s="562" t="str">
        <f>IF(OR(TABLERO!AJ71="",TABLERO!AJ71=0),"",TABLERO!AJ71)</f>
        <v/>
      </c>
      <c r="Q71" s="562" t="str">
        <f>IF(OR(TABLERO!AK71="",TABLERO!AK71=0),"",TABLERO!AK71)</f>
        <v/>
      </c>
      <c r="R71" s="562" t="str">
        <f>IF(OR(TABLERO!AL71="",TABLERO!AL71=0),"",TABLERO!AL71)</f>
        <v/>
      </c>
      <c r="S71" s="562" t="str">
        <f>IF(OR(TABLERO!AM71="",TABLERO!AM71=0),"",TABLERO!AM71)</f>
        <v/>
      </c>
      <c r="T71" s="562" t="str">
        <f>IF(OR(TABLERO!AN71="",TABLERO!AN71=0),"",TABLERO!AN71)</f>
        <v/>
      </c>
      <c r="U71" s="562" t="str">
        <f>IF(OR(TABLERO!AO71="",TABLERO!AO71=0),"",TABLERO!AO71)</f>
        <v/>
      </c>
      <c r="V71" s="562" t="str">
        <f>IF(OR(TABLERO!AP71="",TABLERO!AP71=0),"",TABLERO!AP71)</f>
        <v/>
      </c>
      <c r="W71" s="562" t="str">
        <f>IF(OR(TABLERO!AQ71="",TABLERO!AQ71=0),"",TABLERO!AQ71)</f>
        <v/>
      </c>
      <c r="X71" s="562" t="str">
        <f>IF(OR(TABLERO!AR71="",TABLERO!AR71=0),"",TABLERO!AR71)</f>
        <v/>
      </c>
      <c r="Y71" s="562" t="str">
        <f>IF(OR(TABLERO!AS71="",TABLERO!AS71=0),"",TABLERO!AS71)</f>
        <v/>
      </c>
      <c r="Z71" s="562" t="str">
        <f>IF(OR(TABLERO!AT71="",TABLERO!AT71=0),"",TABLERO!AT71)</f>
        <v/>
      </c>
      <c r="AA71" s="562" t="str">
        <f>IF(OR(TABLERO!AU71="",TABLERO!AU71=0),"",TABLERO!AU71)</f>
        <v/>
      </c>
      <c r="AB71" s="562" t="str">
        <f>IF(OR(TABLERO!AV71="",TABLERO!AV71=0),"",TABLERO!AV71)</f>
        <v/>
      </c>
      <c r="AC71" s="562" t="str">
        <f>IF(OR(TABLERO!AW71="",TABLERO!AW71=0),"",TABLERO!AW71)</f>
        <v/>
      </c>
      <c r="AD71" s="562" t="str">
        <f>IF(OR(TABLERO!AX71="",TABLERO!AX71=0),"",TABLERO!AX71)</f>
        <v/>
      </c>
      <c r="AE71" s="562" t="str">
        <f>IF(OR(TABLERO!AY71="",TABLERO!AY71=0),"",TABLERO!AY71)</f>
        <v/>
      </c>
      <c r="AF71" s="562" t="str">
        <f>IF(OR(TABLERO!AZ71="",TABLERO!AZ71=0),"",TABLERO!AZ71)</f>
        <v/>
      </c>
      <c r="AG71" s="562" t="str">
        <f>IF(OR(TABLERO!BA71="",TABLERO!BA71=0),"",TABLERO!BA71)</f>
        <v/>
      </c>
      <c r="AH71" s="48" t="str">
        <f>IF(TABLERO!BB71=0,"",IF(TABLERO!$F$17&lt;&gt;"KVA",TABLERO!BB71*1000,TABLERO!BB71*1000/TABLERO!DA71))</f>
        <v/>
      </c>
      <c r="AI71" s="48" t="str">
        <f>IF(TABLERO!BB71=0,"",IF(TABLERO!$F$17&lt;&gt;"KVA",TABLERO!BT71*1000,TABLERO!BT71*1000/TABLERO!DA71))</f>
        <v/>
      </c>
      <c r="AJ71" s="44" t="str">
        <f>IF(OR(TABLERO!BU71="",TABLERO!BU71=0),"",TABLERO!BU71)</f>
        <v/>
      </c>
      <c r="AK71" s="562" t="str">
        <f>IF(TABLERO!BB71=0,"",TABLERO!F71)</f>
        <v/>
      </c>
      <c r="AL71" s="562" t="str">
        <f>IF(TABLERO!BB71=0,"",TABLERO!G71)</f>
        <v/>
      </c>
      <c r="AM71" s="562" t="str">
        <f>IF(TABLERO!BB71=0,"",TABLERO!BV71)</f>
        <v/>
      </c>
      <c r="AN71" s="44" t="str">
        <f>IF(TABLERO!BB71=0,"",TABLERO!K71)</f>
        <v/>
      </c>
      <c r="AO71" s="562" t="str">
        <f>IF(TABLERO!BB71=0,"",TABLERO!J71)</f>
        <v/>
      </c>
      <c r="AP71" s="44" t="str">
        <f>IF(TABLERO!BB71=0,"",TABLERO!CT71)</f>
        <v/>
      </c>
      <c r="AQ71" s="44" t="str">
        <f>IF(TABLERO!BB71=0,"",TABLERO!CS71)</f>
        <v/>
      </c>
      <c r="AR71" s="44" t="str">
        <f>IF(TABLERO!BB71=0,"",TABLERO!CY71)</f>
        <v/>
      </c>
      <c r="AS71" s="562" t="str">
        <f>IF(TABLERO!BB71=0,"",TABLERO!N71)</f>
        <v/>
      </c>
      <c r="AT71" s="1079" t="str">
        <f>IF(TABLERO!BB71=0,"",TABLERO!BX71&amp;" "&amp;TABLERO!ED71&amp;", "&amp;TABLERO!I71)</f>
        <v/>
      </c>
      <c r="AU71" s="1080"/>
      <c r="AV71" s="44" t="str">
        <f>IF(TABLERO!BB71=0,"",TABLERO!BZ71)</f>
        <v/>
      </c>
      <c r="AW71" s="562" t="str">
        <f>IF(TABLERO!BB71=0,"",TABLERO!CA71)</f>
        <v/>
      </c>
      <c r="AX71" s="43" t="str">
        <f>IF(TABLERO!BB71=0,"",TABLERO!CB71)</f>
        <v/>
      </c>
      <c r="AY71" s="44" t="str">
        <f>IF(TABLERO!BB71=0,"",TABLERO!DL71)</f>
        <v/>
      </c>
      <c r="AZ71" s="576" t="str">
        <f>IF(OR(TABLERO!BB71=0,TABLERO!H71="RE"),"",TABLERO!F71&amp;"P-"&amp;TABLERO!BW71&amp;"A")</f>
        <v/>
      </c>
      <c r="BA71" s="44" t="str">
        <f>IF(TABLERO!BB71=0,"",TABLERO!CI71)</f>
        <v/>
      </c>
      <c r="BB71" s="44" t="str">
        <f>IF(TABLERO!BB71=0,"",TABLERO!CJ71)</f>
        <v/>
      </c>
      <c r="BC71" s="49" t="str">
        <f>IF(TABLERO!BB71=0,"",TABLERO!CK71)</f>
        <v/>
      </c>
      <c r="BG71" s="46">
        <f>IF(TABLERO!B71="",0,TABLERO!B71)</f>
        <v>41</v>
      </c>
      <c r="BH71" s="46">
        <f>IF(TABLERO!C71="",BG71,TABLERO!C71)</f>
        <v>41</v>
      </c>
      <c r="BI71" s="46">
        <f>IF(TABLERO!D71="",BG71,TABLERO!D71)</f>
        <v>41</v>
      </c>
      <c r="BJ71" s="50">
        <f t="shared" si="1"/>
        <v>0</v>
      </c>
    </row>
    <row r="72" spans="1:62" hidden="1">
      <c r="A72" s="46">
        <f>IF(OR(BG72&gt;TABLERO!$M$19,BH72&gt;TABLERO!$M$19,BI72&gt;TABLERO!$M$19,BG72=0,BH72=0,BI72=0),2,1)</f>
        <v>2</v>
      </c>
      <c r="B72" s="47" t="str">
        <f>TABLERO!B72&amp;IF(TABLERO!C72="","",","&amp;TABLERO!C72)&amp;IF(TABLERO!D72="","",","&amp;TABLERO!D72)</f>
        <v>42</v>
      </c>
      <c r="C72" s="42" t="str">
        <f>IF(TABLERO!E72=0,"",TABLERO!E72)</f>
        <v/>
      </c>
      <c r="D72" s="562" t="str">
        <f>IF(OR(TABLERO!X72="",TABLERO!X72=0),"",TABLERO!X72)</f>
        <v/>
      </c>
      <c r="E72" s="562" t="str">
        <f>IF(OR(TABLERO!Y72="",TABLERO!Y72=0),"",TABLERO!Y72)</f>
        <v/>
      </c>
      <c r="F72" s="562" t="str">
        <f>IF(OR(TABLERO!Z72="",TABLERO!Z72=0),"",TABLERO!Z72)</f>
        <v/>
      </c>
      <c r="G72" s="562" t="str">
        <f>IF(OR(TABLERO!AA72="",TABLERO!AA72=0),"",TABLERO!AA72)</f>
        <v/>
      </c>
      <c r="H72" s="562" t="str">
        <f>IF(OR(TABLERO!AB72="",TABLERO!AB72=0),"",TABLERO!AB72)</f>
        <v/>
      </c>
      <c r="I72" s="562" t="str">
        <f>IF(OR(TABLERO!AC72="",TABLERO!AC72=0),"",TABLERO!AC72)</f>
        <v/>
      </c>
      <c r="J72" s="562" t="str">
        <f>IF(OR(TABLERO!AD72="",TABLERO!AD72=0),"",TABLERO!AD72)</f>
        <v/>
      </c>
      <c r="K72" s="562" t="str">
        <f>IF(OR(TABLERO!AE72="",TABLERO!AE72=0),"",TABLERO!AE72)</f>
        <v/>
      </c>
      <c r="L72" s="562" t="str">
        <f>IF(OR(TABLERO!AF72="",TABLERO!AF72=0),"",TABLERO!AF72)</f>
        <v/>
      </c>
      <c r="M72" s="562" t="str">
        <f>IF(OR(TABLERO!AG72="",TABLERO!AG72=0),"",TABLERO!AG72)</f>
        <v/>
      </c>
      <c r="N72" s="562" t="str">
        <f>IF(OR(TABLERO!AH72="",TABLERO!AH72=0),"",TABLERO!AH72)</f>
        <v/>
      </c>
      <c r="O72" s="562" t="str">
        <f>IF(OR(TABLERO!AI72="",TABLERO!AI72=0),"",TABLERO!AI72)</f>
        <v/>
      </c>
      <c r="P72" s="562" t="str">
        <f>IF(OR(TABLERO!AJ72="",TABLERO!AJ72=0),"",TABLERO!AJ72)</f>
        <v/>
      </c>
      <c r="Q72" s="562" t="str">
        <f>IF(OR(TABLERO!AK72="",TABLERO!AK72=0),"",TABLERO!AK72)</f>
        <v/>
      </c>
      <c r="R72" s="562" t="str">
        <f>IF(OR(TABLERO!AL72="",TABLERO!AL72=0),"",TABLERO!AL72)</f>
        <v/>
      </c>
      <c r="S72" s="562" t="str">
        <f>IF(OR(TABLERO!AM72="",TABLERO!AM72=0),"",TABLERO!AM72)</f>
        <v/>
      </c>
      <c r="T72" s="562" t="str">
        <f>IF(OR(TABLERO!AN72="",TABLERO!AN72=0),"",TABLERO!AN72)</f>
        <v/>
      </c>
      <c r="U72" s="562" t="str">
        <f>IF(OR(TABLERO!AO72="",TABLERO!AO72=0),"",TABLERO!AO72)</f>
        <v/>
      </c>
      <c r="V72" s="562" t="str">
        <f>IF(OR(TABLERO!AP72="",TABLERO!AP72=0),"",TABLERO!AP72)</f>
        <v/>
      </c>
      <c r="W72" s="562" t="str">
        <f>IF(OR(TABLERO!AQ72="",TABLERO!AQ72=0),"",TABLERO!AQ72)</f>
        <v/>
      </c>
      <c r="X72" s="562" t="str">
        <f>IF(OR(TABLERO!AR72="",TABLERO!AR72=0),"",TABLERO!AR72)</f>
        <v/>
      </c>
      <c r="Y72" s="562" t="str">
        <f>IF(OR(TABLERO!AS72="",TABLERO!AS72=0),"",TABLERO!AS72)</f>
        <v/>
      </c>
      <c r="Z72" s="562" t="str">
        <f>IF(OR(TABLERO!AT72="",TABLERO!AT72=0),"",TABLERO!AT72)</f>
        <v/>
      </c>
      <c r="AA72" s="562" t="str">
        <f>IF(OR(TABLERO!AU72="",TABLERO!AU72=0),"",TABLERO!AU72)</f>
        <v/>
      </c>
      <c r="AB72" s="562" t="str">
        <f>IF(OR(TABLERO!AV72="",TABLERO!AV72=0),"",TABLERO!AV72)</f>
        <v/>
      </c>
      <c r="AC72" s="562" t="str">
        <f>IF(OR(TABLERO!AW72="",TABLERO!AW72=0),"",TABLERO!AW72)</f>
        <v/>
      </c>
      <c r="AD72" s="562" t="str">
        <f>IF(OR(TABLERO!AX72="",TABLERO!AX72=0),"",TABLERO!AX72)</f>
        <v/>
      </c>
      <c r="AE72" s="562" t="str">
        <f>IF(OR(TABLERO!AY72="",TABLERO!AY72=0),"",TABLERO!AY72)</f>
        <v/>
      </c>
      <c r="AF72" s="562" t="str">
        <f>IF(OR(TABLERO!AZ72="",TABLERO!AZ72=0),"",TABLERO!AZ72)</f>
        <v/>
      </c>
      <c r="AG72" s="562" t="str">
        <f>IF(OR(TABLERO!BA72="",TABLERO!BA72=0),"",TABLERO!BA72)</f>
        <v/>
      </c>
      <c r="AH72" s="48" t="str">
        <f>IF(TABLERO!BB72=0,"",IF(TABLERO!$F$17&lt;&gt;"KVA",TABLERO!BB72*1000,TABLERO!BB72*1000/TABLERO!DA72))</f>
        <v/>
      </c>
      <c r="AI72" s="48" t="str">
        <f>IF(TABLERO!BB72=0,"",IF(TABLERO!$F$17&lt;&gt;"KVA",TABLERO!BT72*1000,TABLERO!BT72*1000/TABLERO!DA72))</f>
        <v/>
      </c>
      <c r="AJ72" s="44" t="str">
        <f>IF(OR(TABLERO!BU72="",TABLERO!BU72=0),"",TABLERO!BU72)</f>
        <v/>
      </c>
      <c r="AK72" s="562" t="str">
        <f>IF(TABLERO!BB72=0,"",TABLERO!F72)</f>
        <v/>
      </c>
      <c r="AL72" s="562" t="str">
        <f>IF(TABLERO!BB72=0,"",TABLERO!G72)</f>
        <v/>
      </c>
      <c r="AM72" s="562" t="str">
        <f>IF(TABLERO!BB72=0,"",TABLERO!BV72)</f>
        <v/>
      </c>
      <c r="AN72" s="44" t="str">
        <f>IF(TABLERO!BB72=0,"",TABLERO!K72)</f>
        <v/>
      </c>
      <c r="AO72" s="562" t="str">
        <f>IF(TABLERO!BB72=0,"",TABLERO!J72)</f>
        <v/>
      </c>
      <c r="AP72" s="44" t="str">
        <f>IF(TABLERO!BB72=0,"",TABLERO!CT72)</f>
        <v/>
      </c>
      <c r="AQ72" s="44" t="str">
        <f>IF(TABLERO!BB72=0,"",TABLERO!CS72)</f>
        <v/>
      </c>
      <c r="AR72" s="44" t="str">
        <f>IF(TABLERO!BB72=0,"",TABLERO!CY72)</f>
        <v/>
      </c>
      <c r="AS72" s="562" t="str">
        <f>IF(TABLERO!BB72=0,"",TABLERO!N72)</f>
        <v/>
      </c>
      <c r="AT72" s="1079" t="str">
        <f>IF(TABLERO!BB72=0,"",TABLERO!BX72&amp;" "&amp;TABLERO!ED72&amp;", "&amp;TABLERO!I72)</f>
        <v/>
      </c>
      <c r="AU72" s="1080"/>
      <c r="AV72" s="44" t="str">
        <f>IF(TABLERO!BB72=0,"",TABLERO!BZ72)</f>
        <v/>
      </c>
      <c r="AW72" s="562" t="str">
        <f>IF(TABLERO!BB72=0,"",TABLERO!CA72)</f>
        <v/>
      </c>
      <c r="AX72" s="43" t="str">
        <f>IF(TABLERO!BB72=0,"",TABLERO!CB72)</f>
        <v/>
      </c>
      <c r="AY72" s="44" t="str">
        <f>IF(TABLERO!BB72=0,"",TABLERO!DL72)</f>
        <v/>
      </c>
      <c r="AZ72" s="576" t="str">
        <f>IF(OR(TABLERO!BB72=0,TABLERO!H72="RE"),"",TABLERO!F72&amp;"P-"&amp;TABLERO!BW72&amp;"A")</f>
        <v/>
      </c>
      <c r="BA72" s="44" t="str">
        <f>IF(TABLERO!BB72=0,"",TABLERO!CI72)</f>
        <v/>
      </c>
      <c r="BB72" s="44" t="str">
        <f>IF(TABLERO!BB72=0,"",TABLERO!CJ72)</f>
        <v/>
      </c>
      <c r="BC72" s="49" t="str">
        <f>IF(TABLERO!BB72=0,"",TABLERO!CK72)</f>
        <v/>
      </c>
      <c r="BG72" s="46">
        <f>IF(TABLERO!B72="",0,TABLERO!B72)</f>
        <v>42</v>
      </c>
      <c r="BH72" s="46">
        <f>IF(TABLERO!C72="",BG72,TABLERO!C72)</f>
        <v>42</v>
      </c>
      <c r="BI72" s="46">
        <f>IF(TABLERO!D72="",BG72,TABLERO!D72)</f>
        <v>42</v>
      </c>
      <c r="BJ72" s="50">
        <f>IF(A72=2,SUM(D72:AH72),0)</f>
        <v>0</v>
      </c>
    </row>
    <row r="73" spans="1:62" hidden="1">
      <c r="A73" s="46">
        <f>IF(OR(BG73&gt;TABLERO!$M$19,BH73&gt;TABLERO!$M$19,BI73&gt;TABLERO!$M$19,BG73=0,BH73=0,BI73=0),2,1)</f>
        <v>2</v>
      </c>
      <c r="B73" s="47" t="str">
        <f>TABLERO!B73&amp;IF(TABLERO!C73="","",","&amp;TABLERO!C73)&amp;IF(TABLERO!D73="","",","&amp;TABLERO!D73)</f>
        <v>43</v>
      </c>
      <c r="C73" s="42" t="str">
        <f>IF(TABLERO!E73=0,"",TABLERO!E73)</f>
        <v/>
      </c>
      <c r="D73" s="562" t="str">
        <f>IF(OR(TABLERO!X73="",TABLERO!X73=0),"",TABLERO!X73)</f>
        <v/>
      </c>
      <c r="E73" s="562" t="str">
        <f>IF(OR(TABLERO!Y73="",TABLERO!Y73=0),"",TABLERO!Y73)</f>
        <v/>
      </c>
      <c r="F73" s="562" t="str">
        <f>IF(OR(TABLERO!Z73="",TABLERO!Z73=0),"",TABLERO!Z73)</f>
        <v/>
      </c>
      <c r="G73" s="562" t="str">
        <f>IF(OR(TABLERO!AA73="",TABLERO!AA73=0),"",TABLERO!AA73)</f>
        <v/>
      </c>
      <c r="H73" s="562" t="str">
        <f>IF(OR(TABLERO!AB73="",TABLERO!AB73=0),"",TABLERO!AB73)</f>
        <v/>
      </c>
      <c r="I73" s="562" t="str">
        <f>IF(OR(TABLERO!AC73="",TABLERO!AC73=0),"",TABLERO!AC73)</f>
        <v/>
      </c>
      <c r="J73" s="562" t="str">
        <f>IF(OR(TABLERO!AD73="",TABLERO!AD73=0),"",TABLERO!AD73)</f>
        <v/>
      </c>
      <c r="K73" s="562" t="str">
        <f>IF(OR(TABLERO!AE73="",TABLERO!AE73=0),"",TABLERO!AE73)</f>
        <v/>
      </c>
      <c r="L73" s="562" t="str">
        <f>IF(OR(TABLERO!AF73="",TABLERO!AF73=0),"",TABLERO!AF73)</f>
        <v/>
      </c>
      <c r="M73" s="562" t="str">
        <f>IF(OR(TABLERO!AG73="",TABLERO!AG73=0),"",TABLERO!AG73)</f>
        <v/>
      </c>
      <c r="N73" s="562" t="str">
        <f>IF(OR(TABLERO!AH73="",TABLERO!AH73=0),"",TABLERO!AH73)</f>
        <v/>
      </c>
      <c r="O73" s="562" t="str">
        <f>IF(OR(TABLERO!AI73="",TABLERO!AI73=0),"",TABLERO!AI73)</f>
        <v/>
      </c>
      <c r="P73" s="562" t="str">
        <f>IF(OR(TABLERO!AJ73="",TABLERO!AJ73=0),"",TABLERO!AJ73)</f>
        <v/>
      </c>
      <c r="Q73" s="562" t="str">
        <f>IF(OR(TABLERO!AK73="",TABLERO!AK73=0),"",TABLERO!AK73)</f>
        <v/>
      </c>
      <c r="R73" s="562" t="str">
        <f>IF(OR(TABLERO!AL73="",TABLERO!AL73=0),"",TABLERO!AL73)</f>
        <v/>
      </c>
      <c r="S73" s="562" t="str">
        <f>IF(OR(TABLERO!AM73="",TABLERO!AM73=0),"",TABLERO!AM73)</f>
        <v/>
      </c>
      <c r="T73" s="562" t="str">
        <f>IF(OR(TABLERO!AN73="",TABLERO!AN73=0),"",TABLERO!AN73)</f>
        <v/>
      </c>
      <c r="U73" s="562" t="str">
        <f>IF(OR(TABLERO!AO73="",TABLERO!AO73=0),"",TABLERO!AO73)</f>
        <v/>
      </c>
      <c r="V73" s="562" t="str">
        <f>IF(OR(TABLERO!AP73="",TABLERO!AP73=0),"",TABLERO!AP73)</f>
        <v/>
      </c>
      <c r="W73" s="562" t="str">
        <f>IF(OR(TABLERO!AQ73="",TABLERO!AQ73=0),"",TABLERO!AQ73)</f>
        <v/>
      </c>
      <c r="X73" s="562" t="str">
        <f>IF(OR(TABLERO!AR73="",TABLERO!AR73=0),"",TABLERO!AR73)</f>
        <v/>
      </c>
      <c r="Y73" s="562" t="str">
        <f>IF(OR(TABLERO!AS73="",TABLERO!AS73=0),"",TABLERO!AS73)</f>
        <v/>
      </c>
      <c r="Z73" s="562" t="str">
        <f>IF(OR(TABLERO!AT73="",TABLERO!AT73=0),"",TABLERO!AT73)</f>
        <v/>
      </c>
      <c r="AA73" s="562" t="str">
        <f>IF(OR(TABLERO!AU73="",TABLERO!AU73=0),"",TABLERO!AU73)</f>
        <v/>
      </c>
      <c r="AB73" s="562" t="str">
        <f>IF(OR(TABLERO!AV73="",TABLERO!AV73=0),"",TABLERO!AV73)</f>
        <v/>
      </c>
      <c r="AC73" s="562" t="str">
        <f>IF(OR(TABLERO!AW73="",TABLERO!AW73=0),"",TABLERO!AW73)</f>
        <v/>
      </c>
      <c r="AD73" s="562" t="str">
        <f>IF(OR(TABLERO!AX73="",TABLERO!AX73=0),"",TABLERO!AX73)</f>
        <v/>
      </c>
      <c r="AE73" s="562" t="str">
        <f>IF(OR(TABLERO!AY73="",TABLERO!AY73=0),"",TABLERO!AY73)</f>
        <v/>
      </c>
      <c r="AF73" s="562" t="str">
        <f>IF(OR(TABLERO!AZ73="",TABLERO!AZ73=0),"",TABLERO!AZ73)</f>
        <v/>
      </c>
      <c r="AG73" s="562" t="str">
        <f>IF(OR(TABLERO!BA73="",TABLERO!BA73=0),"",TABLERO!BA73)</f>
        <v/>
      </c>
      <c r="AH73" s="48" t="str">
        <f>IF(TABLERO!BB73=0,"",IF(TABLERO!$F$17&lt;&gt;"KVA",TABLERO!BB73*1000,TABLERO!BB73*1000/TABLERO!DA73))</f>
        <v/>
      </c>
      <c r="AI73" s="48" t="str">
        <f>IF(TABLERO!BB73=0,"",IF(TABLERO!$F$17&lt;&gt;"KVA",TABLERO!BT73*1000,TABLERO!BT73*1000/TABLERO!DA73))</f>
        <v/>
      </c>
      <c r="AJ73" s="44" t="str">
        <f>IF(OR(TABLERO!BU73="",TABLERO!BU73=0),"",TABLERO!BU73)</f>
        <v/>
      </c>
      <c r="AK73" s="562" t="str">
        <f>IF(TABLERO!BB73=0,"",TABLERO!F73)</f>
        <v/>
      </c>
      <c r="AL73" s="562" t="str">
        <f>IF(TABLERO!BB73=0,"",TABLERO!G73)</f>
        <v/>
      </c>
      <c r="AM73" s="562" t="str">
        <f>IF(TABLERO!BB73=0,"",TABLERO!BV73)</f>
        <v/>
      </c>
      <c r="AN73" s="44" t="str">
        <f>IF(TABLERO!BB73=0,"",TABLERO!K73)</f>
        <v/>
      </c>
      <c r="AO73" s="562" t="str">
        <f>IF(TABLERO!BB73=0,"",TABLERO!J73)</f>
        <v/>
      </c>
      <c r="AP73" s="44" t="str">
        <f>IF(TABLERO!BB73=0,"",TABLERO!CT73)</f>
        <v/>
      </c>
      <c r="AQ73" s="44" t="str">
        <f>IF(TABLERO!BB73=0,"",TABLERO!CS73)</f>
        <v/>
      </c>
      <c r="AR73" s="44" t="str">
        <f>IF(TABLERO!BB73=0,"",TABLERO!CY73)</f>
        <v/>
      </c>
      <c r="AS73" s="562" t="str">
        <f>IF(TABLERO!BB73=0,"",TABLERO!N73)</f>
        <v/>
      </c>
      <c r="AT73" s="1079" t="str">
        <f>IF(TABLERO!BB73=0,"",TABLERO!BX73&amp;" "&amp;TABLERO!ED73&amp;", "&amp;TABLERO!I73)</f>
        <v/>
      </c>
      <c r="AU73" s="1080"/>
      <c r="AV73" s="44" t="str">
        <f>IF(TABLERO!BB73=0,"",TABLERO!BZ73)</f>
        <v/>
      </c>
      <c r="AW73" s="562" t="str">
        <f>IF(TABLERO!BB73=0,"",TABLERO!CA73)</f>
        <v/>
      </c>
      <c r="AX73" s="43" t="str">
        <f>IF(TABLERO!BB73=0,"",TABLERO!CB73)</f>
        <v/>
      </c>
      <c r="AY73" s="44" t="str">
        <f>IF(TABLERO!BB73=0,"",TABLERO!DL73)</f>
        <v/>
      </c>
      <c r="AZ73" s="576" t="str">
        <f>IF(OR(TABLERO!BB73=0,TABLERO!H73="RE"),"",TABLERO!F73&amp;"P-"&amp;TABLERO!BW73&amp;"A")</f>
        <v/>
      </c>
      <c r="BA73" s="44" t="str">
        <f>IF(TABLERO!BB73=0,"",TABLERO!CI73)</f>
        <v/>
      </c>
      <c r="BB73" s="44" t="str">
        <f>IF(TABLERO!BB73=0,"",TABLERO!CJ73)</f>
        <v/>
      </c>
      <c r="BC73" s="49" t="str">
        <f>IF(TABLERO!BB73=0,"",TABLERO!CK73)</f>
        <v/>
      </c>
      <c r="BG73" s="46">
        <f>IF(TABLERO!B73="",0,TABLERO!B73)</f>
        <v>43</v>
      </c>
      <c r="BH73" s="46">
        <f>IF(TABLERO!C73="",BG73,TABLERO!C73)</f>
        <v>43</v>
      </c>
      <c r="BI73" s="46">
        <f>IF(TABLERO!D73="",BG73,TABLERO!D73)</f>
        <v>43</v>
      </c>
      <c r="BJ73" s="50">
        <f t="shared" ref="BJ73:BJ111" si="2">IF(A73=2,SUM(D73:AH73),0)</f>
        <v>0</v>
      </c>
    </row>
    <row r="74" spans="1:62" hidden="1">
      <c r="A74" s="46">
        <f>IF(OR(BG74&gt;TABLERO!$M$19,BH74&gt;TABLERO!$M$19,BI74&gt;TABLERO!$M$19,BG74=0,BH74=0,BI74=0),2,1)</f>
        <v>2</v>
      </c>
      <c r="B74" s="47" t="str">
        <f>TABLERO!B74&amp;IF(TABLERO!C74="","",","&amp;TABLERO!C74)&amp;IF(TABLERO!D74="","",","&amp;TABLERO!D74)</f>
        <v>44</v>
      </c>
      <c r="C74" s="42" t="str">
        <f>IF(TABLERO!E74=0,"",TABLERO!E74)</f>
        <v/>
      </c>
      <c r="D74" s="562" t="str">
        <f>IF(OR(TABLERO!X74="",TABLERO!X74=0),"",TABLERO!X74)</f>
        <v/>
      </c>
      <c r="E74" s="562" t="str">
        <f>IF(OR(TABLERO!Y74="",TABLERO!Y74=0),"",TABLERO!Y74)</f>
        <v/>
      </c>
      <c r="F74" s="562" t="str">
        <f>IF(OR(TABLERO!Z74="",TABLERO!Z74=0),"",TABLERO!Z74)</f>
        <v/>
      </c>
      <c r="G74" s="562" t="str">
        <f>IF(OR(TABLERO!AA74="",TABLERO!AA74=0),"",TABLERO!AA74)</f>
        <v/>
      </c>
      <c r="H74" s="562" t="str">
        <f>IF(OR(TABLERO!AB74="",TABLERO!AB74=0),"",TABLERO!AB74)</f>
        <v/>
      </c>
      <c r="I74" s="562" t="str">
        <f>IF(OR(TABLERO!AC74="",TABLERO!AC74=0),"",TABLERO!AC74)</f>
        <v/>
      </c>
      <c r="J74" s="562" t="str">
        <f>IF(OR(TABLERO!AD74="",TABLERO!AD74=0),"",TABLERO!AD74)</f>
        <v/>
      </c>
      <c r="K74" s="562" t="str">
        <f>IF(OR(TABLERO!AE74="",TABLERO!AE74=0),"",TABLERO!AE74)</f>
        <v/>
      </c>
      <c r="L74" s="562" t="str">
        <f>IF(OR(TABLERO!AF74="",TABLERO!AF74=0),"",TABLERO!AF74)</f>
        <v/>
      </c>
      <c r="M74" s="562" t="str">
        <f>IF(OR(TABLERO!AG74="",TABLERO!AG74=0),"",TABLERO!AG74)</f>
        <v/>
      </c>
      <c r="N74" s="562" t="str">
        <f>IF(OR(TABLERO!AH74="",TABLERO!AH74=0),"",TABLERO!AH74)</f>
        <v/>
      </c>
      <c r="O74" s="562" t="str">
        <f>IF(OR(TABLERO!AI74="",TABLERO!AI74=0),"",TABLERO!AI74)</f>
        <v/>
      </c>
      <c r="P74" s="562" t="str">
        <f>IF(OR(TABLERO!AJ74="",TABLERO!AJ74=0),"",TABLERO!AJ74)</f>
        <v/>
      </c>
      <c r="Q74" s="562" t="str">
        <f>IF(OR(TABLERO!AK74="",TABLERO!AK74=0),"",TABLERO!AK74)</f>
        <v/>
      </c>
      <c r="R74" s="562" t="str">
        <f>IF(OR(TABLERO!AL74="",TABLERO!AL74=0),"",TABLERO!AL74)</f>
        <v/>
      </c>
      <c r="S74" s="562" t="str">
        <f>IF(OR(TABLERO!AM74="",TABLERO!AM74=0),"",TABLERO!AM74)</f>
        <v/>
      </c>
      <c r="T74" s="562" t="str">
        <f>IF(OR(TABLERO!AN74="",TABLERO!AN74=0),"",TABLERO!AN74)</f>
        <v/>
      </c>
      <c r="U74" s="562" t="str">
        <f>IF(OR(TABLERO!AO74="",TABLERO!AO74=0),"",TABLERO!AO74)</f>
        <v/>
      </c>
      <c r="V74" s="562" t="str">
        <f>IF(OR(TABLERO!AP74="",TABLERO!AP74=0),"",TABLERO!AP74)</f>
        <v/>
      </c>
      <c r="W74" s="562" t="str">
        <f>IF(OR(TABLERO!AQ74="",TABLERO!AQ74=0),"",TABLERO!AQ74)</f>
        <v/>
      </c>
      <c r="X74" s="562" t="str">
        <f>IF(OR(TABLERO!AR74="",TABLERO!AR74=0),"",TABLERO!AR74)</f>
        <v/>
      </c>
      <c r="Y74" s="562" t="str">
        <f>IF(OR(TABLERO!AS74="",TABLERO!AS74=0),"",TABLERO!AS74)</f>
        <v/>
      </c>
      <c r="Z74" s="562" t="str">
        <f>IF(OR(TABLERO!AT74="",TABLERO!AT74=0),"",TABLERO!AT74)</f>
        <v/>
      </c>
      <c r="AA74" s="562" t="str">
        <f>IF(OR(TABLERO!AU74="",TABLERO!AU74=0),"",TABLERO!AU74)</f>
        <v/>
      </c>
      <c r="AB74" s="562" t="str">
        <f>IF(OR(TABLERO!AV74="",TABLERO!AV74=0),"",TABLERO!AV74)</f>
        <v/>
      </c>
      <c r="AC74" s="562" t="str">
        <f>IF(OR(TABLERO!AW74="",TABLERO!AW74=0),"",TABLERO!AW74)</f>
        <v/>
      </c>
      <c r="AD74" s="562" t="str">
        <f>IF(OR(TABLERO!AX74="",TABLERO!AX74=0),"",TABLERO!AX74)</f>
        <v/>
      </c>
      <c r="AE74" s="562" t="str">
        <f>IF(OR(TABLERO!AY74="",TABLERO!AY74=0),"",TABLERO!AY74)</f>
        <v/>
      </c>
      <c r="AF74" s="562" t="str">
        <f>IF(OR(TABLERO!AZ74="",TABLERO!AZ74=0),"",TABLERO!AZ74)</f>
        <v/>
      </c>
      <c r="AG74" s="562" t="str">
        <f>IF(OR(TABLERO!BA74="",TABLERO!BA74=0),"",TABLERO!BA74)</f>
        <v/>
      </c>
      <c r="AH74" s="48" t="str">
        <f>IF(TABLERO!BB74=0,"",IF(TABLERO!$F$17&lt;&gt;"KVA",TABLERO!BB74*1000,TABLERO!BB74*1000/TABLERO!DA74))</f>
        <v/>
      </c>
      <c r="AI74" s="48" t="str">
        <f>IF(TABLERO!BB74=0,"",IF(TABLERO!$F$17&lt;&gt;"KVA",TABLERO!BT74*1000,TABLERO!BT74*1000/TABLERO!DA74))</f>
        <v/>
      </c>
      <c r="AJ74" s="44" t="str">
        <f>IF(OR(TABLERO!BU74="",TABLERO!BU74=0),"",TABLERO!BU74)</f>
        <v/>
      </c>
      <c r="AK74" s="562" t="str">
        <f>IF(TABLERO!BB74=0,"",TABLERO!F74)</f>
        <v/>
      </c>
      <c r="AL74" s="562" t="str">
        <f>IF(TABLERO!BB74=0,"",TABLERO!G74)</f>
        <v/>
      </c>
      <c r="AM74" s="562" t="str">
        <f>IF(TABLERO!BB74=0,"",TABLERO!BV74)</f>
        <v/>
      </c>
      <c r="AN74" s="44" t="str">
        <f>IF(TABLERO!BB74=0,"",TABLERO!K74)</f>
        <v/>
      </c>
      <c r="AO74" s="562" t="str">
        <f>IF(TABLERO!BB74=0,"",TABLERO!J74)</f>
        <v/>
      </c>
      <c r="AP74" s="44" t="str">
        <f>IF(TABLERO!BB74=0,"",TABLERO!CT74)</f>
        <v/>
      </c>
      <c r="AQ74" s="44" t="str">
        <f>IF(TABLERO!BB74=0,"",TABLERO!CS74)</f>
        <v/>
      </c>
      <c r="AR74" s="44" t="str">
        <f>IF(TABLERO!BB74=0,"",TABLERO!CY74)</f>
        <v/>
      </c>
      <c r="AS74" s="562" t="str">
        <f>IF(TABLERO!BB74=0,"",TABLERO!N74)</f>
        <v/>
      </c>
      <c r="AT74" s="1079" t="str">
        <f>IF(TABLERO!BB74=0,"",TABLERO!BX74&amp;" "&amp;TABLERO!ED74&amp;", "&amp;TABLERO!I74)</f>
        <v/>
      </c>
      <c r="AU74" s="1080"/>
      <c r="AV74" s="44" t="str">
        <f>IF(TABLERO!BB74=0,"",TABLERO!BZ74)</f>
        <v/>
      </c>
      <c r="AW74" s="562" t="str">
        <f>IF(TABLERO!BB74=0,"",TABLERO!CA74)</f>
        <v/>
      </c>
      <c r="AX74" s="43" t="str">
        <f>IF(TABLERO!BB74=0,"",TABLERO!CB74)</f>
        <v/>
      </c>
      <c r="AY74" s="44" t="str">
        <f>IF(TABLERO!BB74=0,"",TABLERO!DL74)</f>
        <v/>
      </c>
      <c r="AZ74" s="576" t="str">
        <f>IF(OR(TABLERO!BB74=0,TABLERO!H74="RE"),"",TABLERO!F74&amp;"P-"&amp;TABLERO!BW74&amp;"A")</f>
        <v/>
      </c>
      <c r="BA74" s="44" t="str">
        <f>IF(TABLERO!BB74=0,"",TABLERO!CI74)</f>
        <v/>
      </c>
      <c r="BB74" s="44" t="str">
        <f>IF(TABLERO!BB74=0,"",TABLERO!CJ74)</f>
        <v/>
      </c>
      <c r="BC74" s="49" t="str">
        <f>IF(TABLERO!BB74=0,"",TABLERO!CK74)</f>
        <v/>
      </c>
      <c r="BG74" s="46">
        <f>IF(TABLERO!B74="",0,TABLERO!B74)</f>
        <v>44</v>
      </c>
      <c r="BH74" s="46">
        <f>IF(TABLERO!C74="",BG74,TABLERO!C74)</f>
        <v>44</v>
      </c>
      <c r="BI74" s="46">
        <f>IF(TABLERO!D74="",BG74,TABLERO!D74)</f>
        <v>44</v>
      </c>
      <c r="BJ74" s="50">
        <f t="shared" si="2"/>
        <v>0</v>
      </c>
    </row>
    <row r="75" spans="1:62" hidden="1">
      <c r="A75" s="46">
        <f>IF(OR(BG75&gt;TABLERO!$M$19,BH75&gt;TABLERO!$M$19,BI75&gt;TABLERO!$M$19,BG75=0,BH75=0,BI75=0),2,1)</f>
        <v>2</v>
      </c>
      <c r="B75" s="47" t="str">
        <f>TABLERO!B75&amp;IF(TABLERO!C75="","",","&amp;TABLERO!C75)&amp;IF(TABLERO!D75="","",","&amp;TABLERO!D75)</f>
        <v>45</v>
      </c>
      <c r="C75" s="42" t="str">
        <f>IF(TABLERO!E75=0,"",TABLERO!E75)</f>
        <v/>
      </c>
      <c r="D75" s="562" t="str">
        <f>IF(OR(TABLERO!X75="",TABLERO!X75=0),"",TABLERO!X75)</f>
        <v/>
      </c>
      <c r="E75" s="562" t="str">
        <f>IF(OR(TABLERO!Y75="",TABLERO!Y75=0),"",TABLERO!Y75)</f>
        <v/>
      </c>
      <c r="F75" s="562" t="str">
        <f>IF(OR(TABLERO!Z75="",TABLERO!Z75=0),"",TABLERO!Z75)</f>
        <v/>
      </c>
      <c r="G75" s="562" t="str">
        <f>IF(OR(TABLERO!AA75="",TABLERO!AA75=0),"",TABLERO!AA75)</f>
        <v/>
      </c>
      <c r="H75" s="562" t="str">
        <f>IF(OR(TABLERO!AB75="",TABLERO!AB75=0),"",TABLERO!AB75)</f>
        <v/>
      </c>
      <c r="I75" s="562" t="str">
        <f>IF(OR(TABLERO!AC75="",TABLERO!AC75=0),"",TABLERO!AC75)</f>
        <v/>
      </c>
      <c r="J75" s="562" t="str">
        <f>IF(OR(TABLERO!AD75="",TABLERO!AD75=0),"",TABLERO!AD75)</f>
        <v/>
      </c>
      <c r="K75" s="562" t="str">
        <f>IF(OR(TABLERO!AE75="",TABLERO!AE75=0),"",TABLERO!AE75)</f>
        <v/>
      </c>
      <c r="L75" s="562" t="str">
        <f>IF(OR(TABLERO!AF75="",TABLERO!AF75=0),"",TABLERO!AF75)</f>
        <v/>
      </c>
      <c r="M75" s="562" t="str">
        <f>IF(OR(TABLERO!AG75="",TABLERO!AG75=0),"",TABLERO!AG75)</f>
        <v/>
      </c>
      <c r="N75" s="562" t="str">
        <f>IF(OR(TABLERO!AH75="",TABLERO!AH75=0),"",TABLERO!AH75)</f>
        <v/>
      </c>
      <c r="O75" s="562" t="str">
        <f>IF(OR(TABLERO!AI75="",TABLERO!AI75=0),"",TABLERO!AI75)</f>
        <v/>
      </c>
      <c r="P75" s="562" t="str">
        <f>IF(OR(TABLERO!AJ75="",TABLERO!AJ75=0),"",TABLERO!AJ75)</f>
        <v/>
      </c>
      <c r="Q75" s="562" t="str">
        <f>IF(OR(TABLERO!AK75="",TABLERO!AK75=0),"",TABLERO!AK75)</f>
        <v/>
      </c>
      <c r="R75" s="562" t="str">
        <f>IF(OR(TABLERO!AL75="",TABLERO!AL75=0),"",TABLERO!AL75)</f>
        <v/>
      </c>
      <c r="S75" s="562" t="str">
        <f>IF(OR(TABLERO!AM75="",TABLERO!AM75=0),"",TABLERO!AM75)</f>
        <v/>
      </c>
      <c r="T75" s="562" t="str">
        <f>IF(OR(TABLERO!AN75="",TABLERO!AN75=0),"",TABLERO!AN75)</f>
        <v/>
      </c>
      <c r="U75" s="562" t="str">
        <f>IF(OR(TABLERO!AO75="",TABLERO!AO75=0),"",TABLERO!AO75)</f>
        <v/>
      </c>
      <c r="V75" s="562" t="str">
        <f>IF(OR(TABLERO!AP75="",TABLERO!AP75=0),"",TABLERO!AP75)</f>
        <v/>
      </c>
      <c r="W75" s="562" t="str">
        <f>IF(OR(TABLERO!AQ75="",TABLERO!AQ75=0),"",TABLERO!AQ75)</f>
        <v/>
      </c>
      <c r="X75" s="562" t="str">
        <f>IF(OR(TABLERO!AR75="",TABLERO!AR75=0),"",TABLERO!AR75)</f>
        <v/>
      </c>
      <c r="Y75" s="562" t="str">
        <f>IF(OR(TABLERO!AS75="",TABLERO!AS75=0),"",TABLERO!AS75)</f>
        <v/>
      </c>
      <c r="Z75" s="562" t="str">
        <f>IF(OR(TABLERO!AT75="",TABLERO!AT75=0),"",TABLERO!AT75)</f>
        <v/>
      </c>
      <c r="AA75" s="562" t="str">
        <f>IF(OR(TABLERO!AU75="",TABLERO!AU75=0),"",TABLERO!AU75)</f>
        <v/>
      </c>
      <c r="AB75" s="562" t="str">
        <f>IF(OR(TABLERO!AV75="",TABLERO!AV75=0),"",TABLERO!AV75)</f>
        <v/>
      </c>
      <c r="AC75" s="562" t="str">
        <f>IF(OR(TABLERO!AW75="",TABLERO!AW75=0),"",TABLERO!AW75)</f>
        <v/>
      </c>
      <c r="AD75" s="562" t="str">
        <f>IF(OR(TABLERO!AX75="",TABLERO!AX75=0),"",TABLERO!AX75)</f>
        <v/>
      </c>
      <c r="AE75" s="562" t="str">
        <f>IF(OR(TABLERO!AY75="",TABLERO!AY75=0),"",TABLERO!AY75)</f>
        <v/>
      </c>
      <c r="AF75" s="562" t="str">
        <f>IF(OR(TABLERO!AZ75="",TABLERO!AZ75=0),"",TABLERO!AZ75)</f>
        <v/>
      </c>
      <c r="AG75" s="562" t="str">
        <f>IF(OR(TABLERO!BA75="",TABLERO!BA75=0),"",TABLERO!BA75)</f>
        <v/>
      </c>
      <c r="AH75" s="48" t="str">
        <f>IF(TABLERO!BB75=0,"",IF(TABLERO!$F$17&lt;&gt;"KVA",TABLERO!BB75*1000,TABLERO!BB75*1000/TABLERO!DA75))</f>
        <v/>
      </c>
      <c r="AI75" s="48" t="str">
        <f>IF(TABLERO!BB75=0,"",IF(TABLERO!$F$17&lt;&gt;"KVA",TABLERO!BT75*1000,TABLERO!BT75*1000/TABLERO!DA75))</f>
        <v/>
      </c>
      <c r="AJ75" s="44" t="str">
        <f>IF(OR(TABLERO!BU75="",TABLERO!BU75=0),"",TABLERO!BU75)</f>
        <v/>
      </c>
      <c r="AK75" s="562" t="str">
        <f>IF(TABLERO!BB75=0,"",TABLERO!F75)</f>
        <v/>
      </c>
      <c r="AL75" s="562" t="str">
        <f>IF(TABLERO!BB75=0,"",TABLERO!G75)</f>
        <v/>
      </c>
      <c r="AM75" s="562" t="str">
        <f>IF(TABLERO!BB75=0,"",TABLERO!BV75)</f>
        <v/>
      </c>
      <c r="AN75" s="44" t="str">
        <f>IF(TABLERO!BB75=0,"",TABLERO!K75)</f>
        <v/>
      </c>
      <c r="AO75" s="562" t="str">
        <f>IF(TABLERO!BB75=0,"",TABLERO!J75)</f>
        <v/>
      </c>
      <c r="AP75" s="44" t="str">
        <f>IF(TABLERO!BB75=0,"",TABLERO!CT75)</f>
        <v/>
      </c>
      <c r="AQ75" s="44" t="str">
        <f>IF(TABLERO!BB75=0,"",TABLERO!CS75)</f>
        <v/>
      </c>
      <c r="AR75" s="44" t="str">
        <f>IF(TABLERO!BB75=0,"",TABLERO!CY75)</f>
        <v/>
      </c>
      <c r="AS75" s="562" t="str">
        <f>IF(TABLERO!BB75=0,"",TABLERO!N75)</f>
        <v/>
      </c>
      <c r="AT75" s="1079" t="str">
        <f>IF(TABLERO!BB75=0,"",TABLERO!BX75&amp;" "&amp;TABLERO!ED75&amp;", "&amp;TABLERO!I75)</f>
        <v/>
      </c>
      <c r="AU75" s="1080"/>
      <c r="AV75" s="44" t="str">
        <f>IF(TABLERO!BB75=0,"",TABLERO!BZ75)</f>
        <v/>
      </c>
      <c r="AW75" s="562" t="str">
        <f>IF(TABLERO!BB75=0,"",TABLERO!CA75)</f>
        <v/>
      </c>
      <c r="AX75" s="43" t="str">
        <f>IF(TABLERO!BB75=0,"",TABLERO!CB75)</f>
        <v/>
      </c>
      <c r="AY75" s="44" t="str">
        <f>IF(TABLERO!BB75=0,"",TABLERO!DL75)</f>
        <v/>
      </c>
      <c r="AZ75" s="576" t="str">
        <f>IF(OR(TABLERO!BB75=0,TABLERO!H75="RE"),"",TABLERO!F75&amp;"P-"&amp;TABLERO!BW75&amp;"A")</f>
        <v/>
      </c>
      <c r="BA75" s="44" t="str">
        <f>IF(TABLERO!BB75=0,"",TABLERO!CI75)</f>
        <v/>
      </c>
      <c r="BB75" s="44" t="str">
        <f>IF(TABLERO!BB75=0,"",TABLERO!CJ75)</f>
        <v/>
      </c>
      <c r="BC75" s="49" t="str">
        <f>IF(TABLERO!BB75=0,"",TABLERO!CK75)</f>
        <v/>
      </c>
      <c r="BG75" s="46">
        <f>IF(TABLERO!B75="",0,TABLERO!B75)</f>
        <v>45</v>
      </c>
      <c r="BH75" s="46">
        <f>IF(TABLERO!C75="",BG75,TABLERO!C75)</f>
        <v>45</v>
      </c>
      <c r="BI75" s="46">
        <f>IF(TABLERO!D75="",BG75,TABLERO!D75)</f>
        <v>45</v>
      </c>
      <c r="BJ75" s="50">
        <f t="shared" si="2"/>
        <v>0</v>
      </c>
    </row>
    <row r="76" spans="1:62" hidden="1">
      <c r="A76" s="46">
        <f>IF(OR(BG76&gt;TABLERO!$M$19,BH76&gt;TABLERO!$M$19,BI76&gt;TABLERO!$M$19,BG76=0,BH76=0,BI76=0),2,1)</f>
        <v>2</v>
      </c>
      <c r="B76" s="47" t="str">
        <f>TABLERO!B76&amp;IF(TABLERO!C76="","",","&amp;TABLERO!C76)&amp;IF(TABLERO!D76="","",","&amp;TABLERO!D76)</f>
        <v>46</v>
      </c>
      <c r="C76" s="42" t="str">
        <f>IF(TABLERO!E76=0,"",TABLERO!E76)</f>
        <v/>
      </c>
      <c r="D76" s="562" t="str">
        <f>IF(OR(TABLERO!X76="",TABLERO!X76=0),"",TABLERO!X76)</f>
        <v/>
      </c>
      <c r="E76" s="562" t="str">
        <f>IF(OR(TABLERO!Y76="",TABLERO!Y76=0),"",TABLERO!Y76)</f>
        <v/>
      </c>
      <c r="F76" s="562" t="str">
        <f>IF(OR(TABLERO!Z76="",TABLERO!Z76=0),"",TABLERO!Z76)</f>
        <v/>
      </c>
      <c r="G76" s="562" t="str">
        <f>IF(OR(TABLERO!AA76="",TABLERO!AA76=0),"",TABLERO!AA76)</f>
        <v/>
      </c>
      <c r="H76" s="562" t="str">
        <f>IF(OR(TABLERO!AB76="",TABLERO!AB76=0),"",TABLERO!AB76)</f>
        <v/>
      </c>
      <c r="I76" s="562" t="str">
        <f>IF(OR(TABLERO!AC76="",TABLERO!AC76=0),"",TABLERO!AC76)</f>
        <v/>
      </c>
      <c r="J76" s="562" t="str">
        <f>IF(OR(TABLERO!AD76="",TABLERO!AD76=0),"",TABLERO!AD76)</f>
        <v/>
      </c>
      <c r="K76" s="562" t="str">
        <f>IF(OR(TABLERO!AE76="",TABLERO!AE76=0),"",TABLERO!AE76)</f>
        <v/>
      </c>
      <c r="L76" s="562" t="str">
        <f>IF(OR(TABLERO!AF76="",TABLERO!AF76=0),"",TABLERO!AF76)</f>
        <v/>
      </c>
      <c r="M76" s="562" t="str">
        <f>IF(OR(TABLERO!AG76="",TABLERO!AG76=0),"",TABLERO!AG76)</f>
        <v/>
      </c>
      <c r="N76" s="562" t="str">
        <f>IF(OR(TABLERO!AH76="",TABLERO!AH76=0),"",TABLERO!AH76)</f>
        <v/>
      </c>
      <c r="O76" s="562" t="str">
        <f>IF(OR(TABLERO!AI76="",TABLERO!AI76=0),"",TABLERO!AI76)</f>
        <v/>
      </c>
      <c r="P76" s="562" t="str">
        <f>IF(OR(TABLERO!AJ76="",TABLERO!AJ76=0),"",TABLERO!AJ76)</f>
        <v/>
      </c>
      <c r="Q76" s="562" t="str">
        <f>IF(OR(TABLERO!AK76="",TABLERO!AK76=0),"",TABLERO!AK76)</f>
        <v/>
      </c>
      <c r="R76" s="562" t="str">
        <f>IF(OR(TABLERO!AL76="",TABLERO!AL76=0),"",TABLERO!AL76)</f>
        <v/>
      </c>
      <c r="S76" s="562" t="str">
        <f>IF(OR(TABLERO!AM76="",TABLERO!AM76=0),"",TABLERO!AM76)</f>
        <v/>
      </c>
      <c r="T76" s="562" t="str">
        <f>IF(OR(TABLERO!AN76="",TABLERO!AN76=0),"",TABLERO!AN76)</f>
        <v/>
      </c>
      <c r="U76" s="562" t="str">
        <f>IF(OR(TABLERO!AO76="",TABLERO!AO76=0),"",TABLERO!AO76)</f>
        <v/>
      </c>
      <c r="V76" s="562" t="str">
        <f>IF(OR(TABLERO!AP76="",TABLERO!AP76=0),"",TABLERO!AP76)</f>
        <v/>
      </c>
      <c r="W76" s="562" t="str">
        <f>IF(OR(TABLERO!AQ76="",TABLERO!AQ76=0),"",TABLERO!AQ76)</f>
        <v/>
      </c>
      <c r="X76" s="562" t="str">
        <f>IF(OR(TABLERO!AR76="",TABLERO!AR76=0),"",TABLERO!AR76)</f>
        <v/>
      </c>
      <c r="Y76" s="562" t="str">
        <f>IF(OR(TABLERO!AS76="",TABLERO!AS76=0),"",TABLERO!AS76)</f>
        <v/>
      </c>
      <c r="Z76" s="562" t="str">
        <f>IF(OR(TABLERO!AT76="",TABLERO!AT76=0),"",TABLERO!AT76)</f>
        <v/>
      </c>
      <c r="AA76" s="562" t="str">
        <f>IF(OR(TABLERO!AU76="",TABLERO!AU76=0),"",TABLERO!AU76)</f>
        <v/>
      </c>
      <c r="AB76" s="562" t="str">
        <f>IF(OR(TABLERO!AV76="",TABLERO!AV76=0),"",TABLERO!AV76)</f>
        <v/>
      </c>
      <c r="AC76" s="562" t="str">
        <f>IF(OR(TABLERO!AW76="",TABLERO!AW76=0),"",TABLERO!AW76)</f>
        <v/>
      </c>
      <c r="AD76" s="562" t="str">
        <f>IF(OR(TABLERO!AX76="",TABLERO!AX76=0),"",TABLERO!AX76)</f>
        <v/>
      </c>
      <c r="AE76" s="562" t="str">
        <f>IF(OR(TABLERO!AY76="",TABLERO!AY76=0),"",TABLERO!AY76)</f>
        <v/>
      </c>
      <c r="AF76" s="562" t="str">
        <f>IF(OR(TABLERO!AZ76="",TABLERO!AZ76=0),"",TABLERO!AZ76)</f>
        <v/>
      </c>
      <c r="AG76" s="562" t="str">
        <f>IF(OR(TABLERO!BA76="",TABLERO!BA76=0),"",TABLERO!BA76)</f>
        <v/>
      </c>
      <c r="AH76" s="48" t="str">
        <f>IF(TABLERO!BB76=0,"",IF(TABLERO!$F$17&lt;&gt;"KVA",TABLERO!BB76*1000,TABLERO!BB76*1000/TABLERO!DA76))</f>
        <v/>
      </c>
      <c r="AI76" s="48" t="str">
        <f>IF(TABLERO!BB76=0,"",IF(TABLERO!$F$17&lt;&gt;"KVA",TABLERO!BT76*1000,TABLERO!BT76*1000/TABLERO!DA76))</f>
        <v/>
      </c>
      <c r="AJ76" s="44" t="str">
        <f>IF(OR(TABLERO!BU76="",TABLERO!BU76=0),"",TABLERO!BU76)</f>
        <v/>
      </c>
      <c r="AK76" s="562" t="str">
        <f>IF(TABLERO!BB76=0,"",TABLERO!F76)</f>
        <v/>
      </c>
      <c r="AL76" s="562" t="str">
        <f>IF(TABLERO!BB76=0,"",TABLERO!G76)</f>
        <v/>
      </c>
      <c r="AM76" s="562" t="str">
        <f>IF(TABLERO!BB76=0,"",TABLERO!BV76)</f>
        <v/>
      </c>
      <c r="AN76" s="44" t="str">
        <f>IF(TABLERO!BB76=0,"",TABLERO!K76)</f>
        <v/>
      </c>
      <c r="AO76" s="562" t="str">
        <f>IF(TABLERO!BB76=0,"",TABLERO!J76)</f>
        <v/>
      </c>
      <c r="AP76" s="44" t="str">
        <f>IF(TABLERO!BB76=0,"",TABLERO!CT76)</f>
        <v/>
      </c>
      <c r="AQ76" s="44" t="str">
        <f>IF(TABLERO!BB76=0,"",TABLERO!CS76)</f>
        <v/>
      </c>
      <c r="AR76" s="44" t="str">
        <f>IF(TABLERO!BB76=0,"",TABLERO!CY76)</f>
        <v/>
      </c>
      <c r="AS76" s="562" t="str">
        <f>IF(TABLERO!BB76=0,"",TABLERO!N76)</f>
        <v/>
      </c>
      <c r="AT76" s="1079" t="str">
        <f>IF(TABLERO!BB76=0,"",TABLERO!BX76&amp;" "&amp;TABLERO!ED76&amp;", "&amp;TABLERO!I76)</f>
        <v/>
      </c>
      <c r="AU76" s="1080"/>
      <c r="AV76" s="44" t="str">
        <f>IF(TABLERO!BB76=0,"",TABLERO!BZ76)</f>
        <v/>
      </c>
      <c r="AW76" s="562" t="str">
        <f>IF(TABLERO!BB76=0,"",TABLERO!CA76)</f>
        <v/>
      </c>
      <c r="AX76" s="43" t="str">
        <f>IF(TABLERO!BB76=0,"",TABLERO!CB76)</f>
        <v/>
      </c>
      <c r="AY76" s="44" t="str">
        <f>IF(TABLERO!BB76=0,"",TABLERO!DL76)</f>
        <v/>
      </c>
      <c r="AZ76" s="576" t="str">
        <f>IF(OR(TABLERO!BB76=0,TABLERO!H76="RE"),"",TABLERO!F76&amp;"P-"&amp;TABLERO!BW76&amp;"A")</f>
        <v/>
      </c>
      <c r="BA76" s="44" t="str">
        <f>IF(TABLERO!BB76=0,"",TABLERO!CI76)</f>
        <v/>
      </c>
      <c r="BB76" s="44" t="str">
        <f>IF(TABLERO!BB76=0,"",TABLERO!CJ76)</f>
        <v/>
      </c>
      <c r="BC76" s="49" t="str">
        <f>IF(TABLERO!BB76=0,"",TABLERO!CK76)</f>
        <v/>
      </c>
      <c r="BG76" s="46">
        <f>IF(TABLERO!B76="",0,TABLERO!B76)</f>
        <v>46</v>
      </c>
      <c r="BH76" s="46">
        <f>IF(TABLERO!C76="",BG76,TABLERO!C76)</f>
        <v>46</v>
      </c>
      <c r="BI76" s="46">
        <f>IF(TABLERO!D76="",BG76,TABLERO!D76)</f>
        <v>46</v>
      </c>
      <c r="BJ76" s="50">
        <f t="shared" si="2"/>
        <v>0</v>
      </c>
    </row>
    <row r="77" spans="1:62" hidden="1">
      <c r="A77" s="46">
        <f>IF(OR(BG77&gt;TABLERO!$M$19,BH77&gt;TABLERO!$M$19,BI77&gt;TABLERO!$M$19,BG77=0,BH77=0,BI77=0),2,1)</f>
        <v>2</v>
      </c>
      <c r="B77" s="47" t="str">
        <f>TABLERO!B77&amp;IF(TABLERO!C77="","",","&amp;TABLERO!C77)&amp;IF(TABLERO!D77="","",","&amp;TABLERO!D77)</f>
        <v>47</v>
      </c>
      <c r="C77" s="42" t="str">
        <f>IF(TABLERO!E77=0,"",TABLERO!E77)</f>
        <v/>
      </c>
      <c r="D77" s="562" t="str">
        <f>IF(OR(TABLERO!X77="",TABLERO!X77=0),"",TABLERO!X77)</f>
        <v/>
      </c>
      <c r="E77" s="562" t="str">
        <f>IF(OR(TABLERO!Y77="",TABLERO!Y77=0),"",TABLERO!Y77)</f>
        <v/>
      </c>
      <c r="F77" s="562" t="str">
        <f>IF(OR(TABLERO!Z77="",TABLERO!Z77=0),"",TABLERO!Z77)</f>
        <v/>
      </c>
      <c r="G77" s="562" t="str">
        <f>IF(OR(TABLERO!AA77="",TABLERO!AA77=0),"",TABLERO!AA77)</f>
        <v/>
      </c>
      <c r="H77" s="562" t="str">
        <f>IF(OR(TABLERO!AB77="",TABLERO!AB77=0),"",TABLERO!AB77)</f>
        <v/>
      </c>
      <c r="I77" s="562" t="str">
        <f>IF(OR(TABLERO!AC77="",TABLERO!AC77=0),"",TABLERO!AC77)</f>
        <v/>
      </c>
      <c r="J77" s="562" t="str">
        <f>IF(OR(TABLERO!AD77="",TABLERO!AD77=0),"",TABLERO!AD77)</f>
        <v/>
      </c>
      <c r="K77" s="562" t="str">
        <f>IF(OR(TABLERO!AE77="",TABLERO!AE77=0),"",TABLERO!AE77)</f>
        <v/>
      </c>
      <c r="L77" s="562" t="str">
        <f>IF(OR(TABLERO!AF77="",TABLERO!AF77=0),"",TABLERO!AF77)</f>
        <v/>
      </c>
      <c r="M77" s="562" t="str">
        <f>IF(OR(TABLERO!AG77="",TABLERO!AG77=0),"",TABLERO!AG77)</f>
        <v/>
      </c>
      <c r="N77" s="562" t="str">
        <f>IF(OR(TABLERO!AH77="",TABLERO!AH77=0),"",TABLERO!AH77)</f>
        <v/>
      </c>
      <c r="O77" s="562" t="str">
        <f>IF(OR(TABLERO!AI77="",TABLERO!AI77=0),"",TABLERO!AI77)</f>
        <v/>
      </c>
      <c r="P77" s="562" t="str">
        <f>IF(OR(TABLERO!AJ77="",TABLERO!AJ77=0),"",TABLERO!AJ77)</f>
        <v/>
      </c>
      <c r="Q77" s="562" t="str">
        <f>IF(OR(TABLERO!AK77="",TABLERO!AK77=0),"",TABLERO!AK77)</f>
        <v/>
      </c>
      <c r="R77" s="562" t="str">
        <f>IF(OR(TABLERO!AL77="",TABLERO!AL77=0),"",TABLERO!AL77)</f>
        <v/>
      </c>
      <c r="S77" s="562" t="str">
        <f>IF(OR(TABLERO!AM77="",TABLERO!AM77=0),"",TABLERO!AM77)</f>
        <v/>
      </c>
      <c r="T77" s="562" t="str">
        <f>IF(OR(TABLERO!AN77="",TABLERO!AN77=0),"",TABLERO!AN77)</f>
        <v/>
      </c>
      <c r="U77" s="562" t="str">
        <f>IF(OR(TABLERO!AO77="",TABLERO!AO77=0),"",TABLERO!AO77)</f>
        <v/>
      </c>
      <c r="V77" s="562" t="str">
        <f>IF(OR(TABLERO!AP77="",TABLERO!AP77=0),"",TABLERO!AP77)</f>
        <v/>
      </c>
      <c r="W77" s="562" t="str">
        <f>IF(OR(TABLERO!AQ77="",TABLERO!AQ77=0),"",TABLERO!AQ77)</f>
        <v/>
      </c>
      <c r="X77" s="562" t="str">
        <f>IF(OR(TABLERO!AR77="",TABLERO!AR77=0),"",TABLERO!AR77)</f>
        <v/>
      </c>
      <c r="Y77" s="562" t="str">
        <f>IF(OR(TABLERO!AS77="",TABLERO!AS77=0),"",TABLERO!AS77)</f>
        <v/>
      </c>
      <c r="Z77" s="562" t="str">
        <f>IF(OR(TABLERO!AT77="",TABLERO!AT77=0),"",TABLERO!AT77)</f>
        <v/>
      </c>
      <c r="AA77" s="562" t="str">
        <f>IF(OR(TABLERO!AU77="",TABLERO!AU77=0),"",TABLERO!AU77)</f>
        <v/>
      </c>
      <c r="AB77" s="562" t="str">
        <f>IF(OR(TABLERO!AV77="",TABLERO!AV77=0),"",TABLERO!AV77)</f>
        <v/>
      </c>
      <c r="AC77" s="562" t="str">
        <f>IF(OR(TABLERO!AW77="",TABLERO!AW77=0),"",TABLERO!AW77)</f>
        <v/>
      </c>
      <c r="AD77" s="562" t="str">
        <f>IF(OR(TABLERO!AX77="",TABLERO!AX77=0),"",TABLERO!AX77)</f>
        <v/>
      </c>
      <c r="AE77" s="562" t="str">
        <f>IF(OR(TABLERO!AY77="",TABLERO!AY77=0),"",TABLERO!AY77)</f>
        <v/>
      </c>
      <c r="AF77" s="562" t="str">
        <f>IF(OR(TABLERO!AZ77="",TABLERO!AZ77=0),"",TABLERO!AZ77)</f>
        <v/>
      </c>
      <c r="AG77" s="562" t="str">
        <f>IF(OR(TABLERO!BA77="",TABLERO!BA77=0),"",TABLERO!BA77)</f>
        <v/>
      </c>
      <c r="AH77" s="48" t="str">
        <f>IF(TABLERO!BB77=0,"",IF(TABLERO!$F$17&lt;&gt;"KVA",TABLERO!BB77*1000,TABLERO!BB77*1000/TABLERO!DA77))</f>
        <v/>
      </c>
      <c r="AI77" s="48" t="str">
        <f>IF(TABLERO!BB77=0,"",IF(TABLERO!$F$17&lt;&gt;"KVA",TABLERO!BT77*1000,TABLERO!BT77*1000/TABLERO!DA77))</f>
        <v/>
      </c>
      <c r="AJ77" s="44" t="str">
        <f>IF(OR(TABLERO!BU77="",TABLERO!BU77=0),"",TABLERO!BU77)</f>
        <v/>
      </c>
      <c r="AK77" s="562" t="str">
        <f>IF(TABLERO!BB77=0,"",TABLERO!F77)</f>
        <v/>
      </c>
      <c r="AL77" s="562" t="str">
        <f>IF(TABLERO!BB77=0,"",TABLERO!G77)</f>
        <v/>
      </c>
      <c r="AM77" s="562" t="str">
        <f>IF(TABLERO!BB77=0,"",TABLERO!BV77)</f>
        <v/>
      </c>
      <c r="AN77" s="44" t="str">
        <f>IF(TABLERO!BB77=0,"",TABLERO!K77)</f>
        <v/>
      </c>
      <c r="AO77" s="562" t="str">
        <f>IF(TABLERO!BB77=0,"",TABLERO!J77)</f>
        <v/>
      </c>
      <c r="AP77" s="44" t="str">
        <f>IF(TABLERO!BB77=0,"",TABLERO!CT77)</f>
        <v/>
      </c>
      <c r="AQ77" s="44" t="str">
        <f>IF(TABLERO!BB77=0,"",TABLERO!CS77)</f>
        <v/>
      </c>
      <c r="AR77" s="44" t="str">
        <f>IF(TABLERO!BB77=0,"",TABLERO!CY77)</f>
        <v/>
      </c>
      <c r="AS77" s="562" t="str">
        <f>IF(TABLERO!BB77=0,"",TABLERO!N77)</f>
        <v/>
      </c>
      <c r="AT77" s="1079" t="str">
        <f>IF(TABLERO!BB77=0,"",TABLERO!BX77&amp;" "&amp;TABLERO!ED77&amp;", "&amp;TABLERO!I77)</f>
        <v/>
      </c>
      <c r="AU77" s="1080"/>
      <c r="AV77" s="44" t="str">
        <f>IF(TABLERO!BB77=0,"",TABLERO!BZ77)</f>
        <v/>
      </c>
      <c r="AW77" s="562" t="str">
        <f>IF(TABLERO!BB77=0,"",TABLERO!CA77)</f>
        <v/>
      </c>
      <c r="AX77" s="43" t="str">
        <f>IF(TABLERO!BB77=0,"",TABLERO!CB77)</f>
        <v/>
      </c>
      <c r="AY77" s="44" t="str">
        <f>IF(TABLERO!BB77=0,"",TABLERO!DL77)</f>
        <v/>
      </c>
      <c r="AZ77" s="576" t="str">
        <f>IF(OR(TABLERO!BB77=0,TABLERO!H77="RE"),"",TABLERO!F77&amp;"P-"&amp;TABLERO!BW77&amp;"A")</f>
        <v/>
      </c>
      <c r="BA77" s="44" t="str">
        <f>IF(TABLERO!BB77=0,"",TABLERO!CI77)</f>
        <v/>
      </c>
      <c r="BB77" s="44" t="str">
        <f>IF(TABLERO!BB77=0,"",TABLERO!CJ77)</f>
        <v/>
      </c>
      <c r="BC77" s="49" t="str">
        <f>IF(TABLERO!BB77=0,"",TABLERO!CK77)</f>
        <v/>
      </c>
      <c r="BG77" s="46">
        <f>IF(TABLERO!B77="",0,TABLERO!B77)</f>
        <v>47</v>
      </c>
      <c r="BH77" s="46">
        <f>IF(TABLERO!C77="",BG77,TABLERO!C77)</f>
        <v>47</v>
      </c>
      <c r="BI77" s="46">
        <f>IF(TABLERO!D77="",BG77,TABLERO!D77)</f>
        <v>47</v>
      </c>
      <c r="BJ77" s="50">
        <f t="shared" si="2"/>
        <v>0</v>
      </c>
    </row>
    <row r="78" spans="1:62" hidden="1">
      <c r="A78" s="46">
        <f>IF(OR(BG78&gt;TABLERO!$M$19,BH78&gt;TABLERO!$M$19,BI78&gt;TABLERO!$M$19,BG78=0,BH78=0,BI78=0),2,1)</f>
        <v>2</v>
      </c>
      <c r="B78" s="47" t="str">
        <f>TABLERO!B78&amp;IF(TABLERO!C78="","",","&amp;TABLERO!C78)&amp;IF(TABLERO!D78="","",","&amp;TABLERO!D78)</f>
        <v>48</v>
      </c>
      <c r="C78" s="42" t="str">
        <f>IF(TABLERO!E78=0,"",TABLERO!E78)</f>
        <v/>
      </c>
      <c r="D78" s="562" t="str">
        <f>IF(OR(TABLERO!X78="",TABLERO!X78=0),"",TABLERO!X78)</f>
        <v/>
      </c>
      <c r="E78" s="562" t="str">
        <f>IF(OR(TABLERO!Y78="",TABLERO!Y78=0),"",TABLERO!Y78)</f>
        <v/>
      </c>
      <c r="F78" s="562" t="str">
        <f>IF(OR(TABLERO!Z78="",TABLERO!Z78=0),"",TABLERO!Z78)</f>
        <v/>
      </c>
      <c r="G78" s="562" t="str">
        <f>IF(OR(TABLERO!AA78="",TABLERO!AA78=0),"",TABLERO!AA78)</f>
        <v/>
      </c>
      <c r="H78" s="562" t="str">
        <f>IF(OR(TABLERO!AB78="",TABLERO!AB78=0),"",TABLERO!AB78)</f>
        <v/>
      </c>
      <c r="I78" s="562" t="str">
        <f>IF(OR(TABLERO!AC78="",TABLERO!AC78=0),"",TABLERO!AC78)</f>
        <v/>
      </c>
      <c r="J78" s="562" t="str">
        <f>IF(OR(TABLERO!AD78="",TABLERO!AD78=0),"",TABLERO!AD78)</f>
        <v/>
      </c>
      <c r="K78" s="562" t="str">
        <f>IF(OR(TABLERO!AE78="",TABLERO!AE78=0),"",TABLERO!AE78)</f>
        <v/>
      </c>
      <c r="L78" s="562" t="str">
        <f>IF(OR(TABLERO!AF78="",TABLERO!AF78=0),"",TABLERO!AF78)</f>
        <v/>
      </c>
      <c r="M78" s="562" t="str">
        <f>IF(OR(TABLERO!AG78="",TABLERO!AG78=0),"",TABLERO!AG78)</f>
        <v/>
      </c>
      <c r="N78" s="562" t="str">
        <f>IF(OR(TABLERO!AH78="",TABLERO!AH78=0),"",TABLERO!AH78)</f>
        <v/>
      </c>
      <c r="O78" s="562" t="str">
        <f>IF(OR(TABLERO!AI78="",TABLERO!AI78=0),"",TABLERO!AI78)</f>
        <v/>
      </c>
      <c r="P78" s="562" t="str">
        <f>IF(OR(TABLERO!AJ78="",TABLERO!AJ78=0),"",TABLERO!AJ78)</f>
        <v/>
      </c>
      <c r="Q78" s="562" t="str">
        <f>IF(OR(TABLERO!AK78="",TABLERO!AK78=0),"",TABLERO!AK78)</f>
        <v/>
      </c>
      <c r="R78" s="562" t="str">
        <f>IF(OR(TABLERO!AL78="",TABLERO!AL78=0),"",TABLERO!AL78)</f>
        <v/>
      </c>
      <c r="S78" s="562" t="str">
        <f>IF(OR(TABLERO!AM78="",TABLERO!AM78=0),"",TABLERO!AM78)</f>
        <v/>
      </c>
      <c r="T78" s="562" t="str">
        <f>IF(OR(TABLERO!AN78="",TABLERO!AN78=0),"",TABLERO!AN78)</f>
        <v/>
      </c>
      <c r="U78" s="562" t="str">
        <f>IF(OR(TABLERO!AO78="",TABLERO!AO78=0),"",TABLERO!AO78)</f>
        <v/>
      </c>
      <c r="V78" s="562" t="str">
        <f>IF(OR(TABLERO!AP78="",TABLERO!AP78=0),"",TABLERO!AP78)</f>
        <v/>
      </c>
      <c r="W78" s="562" t="str">
        <f>IF(OR(TABLERO!AQ78="",TABLERO!AQ78=0),"",TABLERO!AQ78)</f>
        <v/>
      </c>
      <c r="X78" s="562" t="str">
        <f>IF(OR(TABLERO!AR78="",TABLERO!AR78=0),"",TABLERO!AR78)</f>
        <v/>
      </c>
      <c r="Y78" s="562" t="str">
        <f>IF(OR(TABLERO!AS78="",TABLERO!AS78=0),"",TABLERO!AS78)</f>
        <v/>
      </c>
      <c r="Z78" s="562" t="str">
        <f>IF(OR(TABLERO!AT78="",TABLERO!AT78=0),"",TABLERO!AT78)</f>
        <v/>
      </c>
      <c r="AA78" s="562" t="str">
        <f>IF(OR(TABLERO!AU78="",TABLERO!AU78=0),"",TABLERO!AU78)</f>
        <v/>
      </c>
      <c r="AB78" s="562" t="str">
        <f>IF(OR(TABLERO!AV78="",TABLERO!AV78=0),"",TABLERO!AV78)</f>
        <v/>
      </c>
      <c r="AC78" s="562" t="str">
        <f>IF(OR(TABLERO!AW78="",TABLERO!AW78=0),"",TABLERO!AW78)</f>
        <v/>
      </c>
      <c r="AD78" s="562" t="str">
        <f>IF(OR(TABLERO!AX78="",TABLERO!AX78=0),"",TABLERO!AX78)</f>
        <v/>
      </c>
      <c r="AE78" s="562" t="str">
        <f>IF(OR(TABLERO!AY78="",TABLERO!AY78=0),"",TABLERO!AY78)</f>
        <v/>
      </c>
      <c r="AF78" s="562" t="str">
        <f>IF(OR(TABLERO!AZ78="",TABLERO!AZ78=0),"",TABLERO!AZ78)</f>
        <v/>
      </c>
      <c r="AG78" s="562" t="str">
        <f>IF(OR(TABLERO!BA78="",TABLERO!BA78=0),"",TABLERO!BA78)</f>
        <v/>
      </c>
      <c r="AH78" s="48" t="str">
        <f>IF(TABLERO!BB78=0,"",IF(TABLERO!$F$17&lt;&gt;"KVA",TABLERO!BB78*1000,TABLERO!BB78*1000/TABLERO!DA78))</f>
        <v/>
      </c>
      <c r="AI78" s="48" t="str">
        <f>IF(TABLERO!BB78=0,"",IF(TABLERO!$F$17&lt;&gt;"KVA",TABLERO!BT78*1000,TABLERO!BT78*1000/TABLERO!DA78))</f>
        <v/>
      </c>
      <c r="AJ78" s="44" t="str">
        <f>IF(OR(TABLERO!BU78="",TABLERO!BU78=0),"",TABLERO!BU78)</f>
        <v/>
      </c>
      <c r="AK78" s="562" t="str">
        <f>IF(TABLERO!BB78=0,"",TABLERO!F78)</f>
        <v/>
      </c>
      <c r="AL78" s="562" t="str">
        <f>IF(TABLERO!BB78=0,"",TABLERO!G78)</f>
        <v/>
      </c>
      <c r="AM78" s="562" t="str">
        <f>IF(TABLERO!BB78=0,"",TABLERO!BV78)</f>
        <v/>
      </c>
      <c r="AN78" s="44" t="str">
        <f>IF(TABLERO!BB78=0,"",TABLERO!K78)</f>
        <v/>
      </c>
      <c r="AO78" s="562" t="str">
        <f>IF(TABLERO!BB78=0,"",TABLERO!J78)</f>
        <v/>
      </c>
      <c r="AP78" s="44" t="str">
        <f>IF(TABLERO!BB78=0,"",TABLERO!CT78)</f>
        <v/>
      </c>
      <c r="AQ78" s="44" t="str">
        <f>IF(TABLERO!BB78=0,"",TABLERO!CS78)</f>
        <v/>
      </c>
      <c r="AR78" s="44" t="str">
        <f>IF(TABLERO!BB78=0,"",TABLERO!CY78)</f>
        <v/>
      </c>
      <c r="AS78" s="562" t="str">
        <f>IF(TABLERO!BB78=0,"",TABLERO!N78)</f>
        <v/>
      </c>
      <c r="AT78" s="1079" t="str">
        <f>IF(TABLERO!BB78=0,"",TABLERO!BX78&amp;" "&amp;TABLERO!ED78&amp;", "&amp;TABLERO!I78)</f>
        <v/>
      </c>
      <c r="AU78" s="1080"/>
      <c r="AV78" s="44" t="str">
        <f>IF(TABLERO!BB78=0,"",TABLERO!BZ78)</f>
        <v/>
      </c>
      <c r="AW78" s="562" t="str">
        <f>IF(TABLERO!BB78=0,"",TABLERO!CA78)</f>
        <v/>
      </c>
      <c r="AX78" s="43" t="str">
        <f>IF(TABLERO!BB78=0,"",TABLERO!CB78)</f>
        <v/>
      </c>
      <c r="AY78" s="44" t="str">
        <f>IF(TABLERO!BB78=0,"",TABLERO!DL78)</f>
        <v/>
      </c>
      <c r="AZ78" s="576" t="str">
        <f>IF(OR(TABLERO!BB78=0,TABLERO!H78="RE"),"",TABLERO!F78&amp;"P-"&amp;TABLERO!BW78&amp;"A")</f>
        <v/>
      </c>
      <c r="BA78" s="44" t="str">
        <f>IF(TABLERO!BB78=0,"",TABLERO!CI78)</f>
        <v/>
      </c>
      <c r="BB78" s="44" t="str">
        <f>IF(TABLERO!BB78=0,"",TABLERO!CJ78)</f>
        <v/>
      </c>
      <c r="BC78" s="49" t="str">
        <f>IF(TABLERO!BB78=0,"",TABLERO!CK78)</f>
        <v/>
      </c>
      <c r="BG78" s="46">
        <f>IF(TABLERO!B78="",0,TABLERO!B78)</f>
        <v>48</v>
      </c>
      <c r="BH78" s="46">
        <f>IF(TABLERO!C78="",BG78,TABLERO!C78)</f>
        <v>48</v>
      </c>
      <c r="BI78" s="46">
        <f>IF(TABLERO!D78="",BG78,TABLERO!D78)</f>
        <v>48</v>
      </c>
      <c r="BJ78" s="50">
        <f t="shared" si="2"/>
        <v>0</v>
      </c>
    </row>
    <row r="79" spans="1:62" hidden="1">
      <c r="A79" s="46">
        <f>IF(OR(BG79&gt;TABLERO!$M$19,BH79&gt;TABLERO!$M$19,BI79&gt;TABLERO!$M$19,BG79=0,BH79=0,BI79=0),2,1)</f>
        <v>2</v>
      </c>
      <c r="B79" s="47" t="str">
        <f>TABLERO!B79&amp;IF(TABLERO!C79="","",","&amp;TABLERO!C79)&amp;IF(TABLERO!D79="","",","&amp;TABLERO!D79)</f>
        <v>49</v>
      </c>
      <c r="C79" s="42" t="str">
        <f>IF(TABLERO!E79=0,"",TABLERO!E79)</f>
        <v/>
      </c>
      <c r="D79" s="562" t="str">
        <f>IF(OR(TABLERO!X79="",TABLERO!X79=0),"",TABLERO!X79)</f>
        <v/>
      </c>
      <c r="E79" s="562" t="str">
        <f>IF(OR(TABLERO!Y79="",TABLERO!Y79=0),"",TABLERO!Y79)</f>
        <v/>
      </c>
      <c r="F79" s="562" t="str">
        <f>IF(OR(TABLERO!Z79="",TABLERO!Z79=0),"",TABLERO!Z79)</f>
        <v/>
      </c>
      <c r="G79" s="562" t="str">
        <f>IF(OR(TABLERO!AA79="",TABLERO!AA79=0),"",TABLERO!AA79)</f>
        <v/>
      </c>
      <c r="H79" s="562" t="str">
        <f>IF(OR(TABLERO!AB79="",TABLERO!AB79=0),"",TABLERO!AB79)</f>
        <v/>
      </c>
      <c r="I79" s="562" t="str">
        <f>IF(OR(TABLERO!AC79="",TABLERO!AC79=0),"",TABLERO!AC79)</f>
        <v/>
      </c>
      <c r="J79" s="562" t="str">
        <f>IF(OR(TABLERO!AD79="",TABLERO!AD79=0),"",TABLERO!AD79)</f>
        <v/>
      </c>
      <c r="K79" s="562" t="str">
        <f>IF(OR(TABLERO!AE79="",TABLERO!AE79=0),"",TABLERO!AE79)</f>
        <v/>
      </c>
      <c r="L79" s="562" t="str">
        <f>IF(OR(TABLERO!AF79="",TABLERO!AF79=0),"",TABLERO!AF79)</f>
        <v/>
      </c>
      <c r="M79" s="562" t="str">
        <f>IF(OR(TABLERO!AG79="",TABLERO!AG79=0),"",TABLERO!AG79)</f>
        <v/>
      </c>
      <c r="N79" s="562" t="str">
        <f>IF(OR(TABLERO!AH79="",TABLERO!AH79=0),"",TABLERO!AH79)</f>
        <v/>
      </c>
      <c r="O79" s="562" t="str">
        <f>IF(OR(TABLERO!AI79="",TABLERO!AI79=0),"",TABLERO!AI79)</f>
        <v/>
      </c>
      <c r="P79" s="562" t="str">
        <f>IF(OR(TABLERO!AJ79="",TABLERO!AJ79=0),"",TABLERO!AJ79)</f>
        <v/>
      </c>
      <c r="Q79" s="562" t="str">
        <f>IF(OR(TABLERO!AK79="",TABLERO!AK79=0),"",TABLERO!AK79)</f>
        <v/>
      </c>
      <c r="R79" s="562" t="str">
        <f>IF(OR(TABLERO!AL79="",TABLERO!AL79=0),"",TABLERO!AL79)</f>
        <v/>
      </c>
      <c r="S79" s="562" t="str">
        <f>IF(OR(TABLERO!AM79="",TABLERO!AM79=0),"",TABLERO!AM79)</f>
        <v/>
      </c>
      <c r="T79" s="562" t="str">
        <f>IF(OR(TABLERO!AN79="",TABLERO!AN79=0),"",TABLERO!AN79)</f>
        <v/>
      </c>
      <c r="U79" s="562" t="str">
        <f>IF(OR(TABLERO!AO79="",TABLERO!AO79=0),"",TABLERO!AO79)</f>
        <v/>
      </c>
      <c r="V79" s="562" t="str">
        <f>IF(OR(TABLERO!AP79="",TABLERO!AP79=0),"",TABLERO!AP79)</f>
        <v/>
      </c>
      <c r="W79" s="562" t="str">
        <f>IF(OR(TABLERO!AQ79="",TABLERO!AQ79=0),"",TABLERO!AQ79)</f>
        <v/>
      </c>
      <c r="X79" s="562" t="str">
        <f>IF(OR(TABLERO!AR79="",TABLERO!AR79=0),"",TABLERO!AR79)</f>
        <v/>
      </c>
      <c r="Y79" s="562" t="str">
        <f>IF(OR(TABLERO!AS79="",TABLERO!AS79=0),"",TABLERO!AS79)</f>
        <v/>
      </c>
      <c r="Z79" s="562" t="str">
        <f>IF(OR(TABLERO!AT79="",TABLERO!AT79=0),"",TABLERO!AT79)</f>
        <v/>
      </c>
      <c r="AA79" s="562" t="str">
        <f>IF(OR(TABLERO!AU79="",TABLERO!AU79=0),"",TABLERO!AU79)</f>
        <v/>
      </c>
      <c r="AB79" s="562" t="str">
        <f>IF(OR(TABLERO!AV79="",TABLERO!AV79=0),"",TABLERO!AV79)</f>
        <v/>
      </c>
      <c r="AC79" s="562" t="str">
        <f>IF(OR(TABLERO!AW79="",TABLERO!AW79=0),"",TABLERO!AW79)</f>
        <v/>
      </c>
      <c r="AD79" s="562" t="str">
        <f>IF(OR(TABLERO!AX79="",TABLERO!AX79=0),"",TABLERO!AX79)</f>
        <v/>
      </c>
      <c r="AE79" s="562" t="str">
        <f>IF(OR(TABLERO!AY79="",TABLERO!AY79=0),"",TABLERO!AY79)</f>
        <v/>
      </c>
      <c r="AF79" s="562" t="str">
        <f>IF(OR(TABLERO!AZ79="",TABLERO!AZ79=0),"",TABLERO!AZ79)</f>
        <v/>
      </c>
      <c r="AG79" s="562" t="str">
        <f>IF(OR(TABLERO!BA79="",TABLERO!BA79=0),"",TABLERO!BA79)</f>
        <v/>
      </c>
      <c r="AH79" s="48" t="str">
        <f>IF(TABLERO!BB79=0,"",IF(TABLERO!$F$17&lt;&gt;"KVA",TABLERO!BB79*1000,TABLERO!BB79*1000/TABLERO!DA79))</f>
        <v/>
      </c>
      <c r="AI79" s="48" t="str">
        <f>IF(TABLERO!BB79=0,"",IF(TABLERO!$F$17&lt;&gt;"KVA",TABLERO!BT79*1000,TABLERO!BT79*1000/TABLERO!DA79))</f>
        <v/>
      </c>
      <c r="AJ79" s="44" t="str">
        <f>IF(OR(TABLERO!BU79="",TABLERO!BU79=0),"",TABLERO!BU79)</f>
        <v/>
      </c>
      <c r="AK79" s="562" t="str">
        <f>IF(TABLERO!BB79=0,"",TABLERO!F79)</f>
        <v/>
      </c>
      <c r="AL79" s="562" t="str">
        <f>IF(TABLERO!BB79=0,"",TABLERO!G79)</f>
        <v/>
      </c>
      <c r="AM79" s="562" t="str">
        <f>IF(TABLERO!BB79=0,"",TABLERO!BV79)</f>
        <v/>
      </c>
      <c r="AN79" s="44" t="str">
        <f>IF(TABLERO!BB79=0,"",TABLERO!K79)</f>
        <v/>
      </c>
      <c r="AO79" s="562" t="str">
        <f>IF(TABLERO!BB79=0,"",TABLERO!J79)</f>
        <v/>
      </c>
      <c r="AP79" s="44" t="str">
        <f>IF(TABLERO!BB79=0,"",TABLERO!CT79)</f>
        <v/>
      </c>
      <c r="AQ79" s="44" t="str">
        <f>IF(TABLERO!BB79=0,"",TABLERO!CS79)</f>
        <v/>
      </c>
      <c r="AR79" s="44" t="str">
        <f>IF(TABLERO!BB79=0,"",TABLERO!CY79)</f>
        <v/>
      </c>
      <c r="AS79" s="562" t="str">
        <f>IF(TABLERO!BB79=0,"",TABLERO!N79)</f>
        <v/>
      </c>
      <c r="AT79" s="1079" t="str">
        <f>IF(TABLERO!BB79=0,"",TABLERO!BX79&amp;" "&amp;TABLERO!ED79&amp;", "&amp;TABLERO!I79)</f>
        <v/>
      </c>
      <c r="AU79" s="1080"/>
      <c r="AV79" s="44" t="str">
        <f>IF(TABLERO!BB79=0,"",TABLERO!BZ79)</f>
        <v/>
      </c>
      <c r="AW79" s="562" t="str">
        <f>IF(TABLERO!BB79=0,"",TABLERO!CA79)</f>
        <v/>
      </c>
      <c r="AX79" s="43" t="str">
        <f>IF(TABLERO!BB79=0,"",TABLERO!CB79)</f>
        <v/>
      </c>
      <c r="AY79" s="44" t="str">
        <f>IF(TABLERO!BB79=0,"",TABLERO!DL79)</f>
        <v/>
      </c>
      <c r="AZ79" s="576" t="str">
        <f>IF(OR(TABLERO!BB79=0,TABLERO!H79="RE"),"",TABLERO!F79&amp;"P-"&amp;TABLERO!BW79&amp;"A")</f>
        <v/>
      </c>
      <c r="BA79" s="44" t="str">
        <f>IF(TABLERO!BB79=0,"",TABLERO!CI79)</f>
        <v/>
      </c>
      <c r="BB79" s="44" t="str">
        <f>IF(TABLERO!BB79=0,"",TABLERO!CJ79)</f>
        <v/>
      </c>
      <c r="BC79" s="49" t="str">
        <f>IF(TABLERO!BB79=0,"",TABLERO!CK79)</f>
        <v/>
      </c>
      <c r="BG79" s="46">
        <f>IF(TABLERO!B79="",0,TABLERO!B79)</f>
        <v>49</v>
      </c>
      <c r="BH79" s="46">
        <f>IF(TABLERO!C79="",BG79,TABLERO!C79)</f>
        <v>49</v>
      </c>
      <c r="BI79" s="46">
        <f>IF(TABLERO!D79="",BG79,TABLERO!D79)</f>
        <v>49</v>
      </c>
      <c r="BJ79" s="50">
        <f t="shared" si="2"/>
        <v>0</v>
      </c>
    </row>
    <row r="80" spans="1:62" hidden="1">
      <c r="A80" s="46">
        <f>IF(OR(BG80&gt;TABLERO!$M$19,BH80&gt;TABLERO!$M$19,BI80&gt;TABLERO!$M$19,BG80=0,BH80=0,BI80=0),2,1)</f>
        <v>2</v>
      </c>
      <c r="B80" s="47" t="str">
        <f>TABLERO!B80&amp;IF(TABLERO!C80="","",","&amp;TABLERO!C80)&amp;IF(TABLERO!D80="","",","&amp;TABLERO!D80)</f>
        <v>50</v>
      </c>
      <c r="C80" s="42" t="str">
        <f>IF(TABLERO!E80=0,"",TABLERO!E80)</f>
        <v/>
      </c>
      <c r="D80" s="562" t="str">
        <f>IF(OR(TABLERO!X80="",TABLERO!X80=0),"",TABLERO!X80)</f>
        <v/>
      </c>
      <c r="E80" s="562" t="str">
        <f>IF(OR(TABLERO!Y80="",TABLERO!Y80=0),"",TABLERO!Y80)</f>
        <v/>
      </c>
      <c r="F80" s="562" t="str">
        <f>IF(OR(TABLERO!Z80="",TABLERO!Z80=0),"",TABLERO!Z80)</f>
        <v/>
      </c>
      <c r="G80" s="562" t="str">
        <f>IF(OR(TABLERO!AA80="",TABLERO!AA80=0),"",TABLERO!AA80)</f>
        <v/>
      </c>
      <c r="H80" s="562" t="str">
        <f>IF(OR(TABLERO!AB80="",TABLERO!AB80=0),"",TABLERO!AB80)</f>
        <v/>
      </c>
      <c r="I80" s="562" t="str">
        <f>IF(OR(TABLERO!AC80="",TABLERO!AC80=0),"",TABLERO!AC80)</f>
        <v/>
      </c>
      <c r="J80" s="562" t="str">
        <f>IF(OR(TABLERO!AD80="",TABLERO!AD80=0),"",TABLERO!AD80)</f>
        <v/>
      </c>
      <c r="K80" s="562" t="str">
        <f>IF(OR(TABLERO!AE80="",TABLERO!AE80=0),"",TABLERO!AE80)</f>
        <v/>
      </c>
      <c r="L80" s="562" t="str">
        <f>IF(OR(TABLERO!AF80="",TABLERO!AF80=0),"",TABLERO!AF80)</f>
        <v/>
      </c>
      <c r="M80" s="562" t="str">
        <f>IF(OR(TABLERO!AG80="",TABLERO!AG80=0),"",TABLERO!AG80)</f>
        <v/>
      </c>
      <c r="N80" s="562" t="str">
        <f>IF(OR(TABLERO!AH80="",TABLERO!AH80=0),"",TABLERO!AH80)</f>
        <v/>
      </c>
      <c r="O80" s="562" t="str">
        <f>IF(OR(TABLERO!AI80="",TABLERO!AI80=0),"",TABLERO!AI80)</f>
        <v/>
      </c>
      <c r="P80" s="562" t="str">
        <f>IF(OR(TABLERO!AJ80="",TABLERO!AJ80=0),"",TABLERO!AJ80)</f>
        <v/>
      </c>
      <c r="Q80" s="562" t="str">
        <f>IF(OR(TABLERO!AK80="",TABLERO!AK80=0),"",TABLERO!AK80)</f>
        <v/>
      </c>
      <c r="R80" s="562" t="str">
        <f>IF(OR(TABLERO!AL80="",TABLERO!AL80=0),"",TABLERO!AL80)</f>
        <v/>
      </c>
      <c r="S80" s="562" t="str">
        <f>IF(OR(TABLERO!AM80="",TABLERO!AM80=0),"",TABLERO!AM80)</f>
        <v/>
      </c>
      <c r="T80" s="562" t="str">
        <f>IF(OR(TABLERO!AN80="",TABLERO!AN80=0),"",TABLERO!AN80)</f>
        <v/>
      </c>
      <c r="U80" s="562" t="str">
        <f>IF(OR(TABLERO!AO80="",TABLERO!AO80=0),"",TABLERO!AO80)</f>
        <v/>
      </c>
      <c r="V80" s="562" t="str">
        <f>IF(OR(TABLERO!AP80="",TABLERO!AP80=0),"",TABLERO!AP80)</f>
        <v/>
      </c>
      <c r="W80" s="562" t="str">
        <f>IF(OR(TABLERO!AQ80="",TABLERO!AQ80=0),"",TABLERO!AQ80)</f>
        <v/>
      </c>
      <c r="X80" s="562" t="str">
        <f>IF(OR(TABLERO!AR80="",TABLERO!AR80=0),"",TABLERO!AR80)</f>
        <v/>
      </c>
      <c r="Y80" s="562" t="str">
        <f>IF(OR(TABLERO!AS80="",TABLERO!AS80=0),"",TABLERO!AS80)</f>
        <v/>
      </c>
      <c r="Z80" s="562" t="str">
        <f>IF(OR(TABLERO!AT80="",TABLERO!AT80=0),"",TABLERO!AT80)</f>
        <v/>
      </c>
      <c r="AA80" s="562" t="str">
        <f>IF(OR(TABLERO!AU80="",TABLERO!AU80=0),"",TABLERO!AU80)</f>
        <v/>
      </c>
      <c r="AB80" s="562" t="str">
        <f>IF(OR(TABLERO!AV80="",TABLERO!AV80=0),"",TABLERO!AV80)</f>
        <v/>
      </c>
      <c r="AC80" s="562" t="str">
        <f>IF(OR(TABLERO!AW80="",TABLERO!AW80=0),"",TABLERO!AW80)</f>
        <v/>
      </c>
      <c r="AD80" s="562" t="str">
        <f>IF(OR(TABLERO!AX80="",TABLERO!AX80=0),"",TABLERO!AX80)</f>
        <v/>
      </c>
      <c r="AE80" s="562" t="str">
        <f>IF(OR(TABLERO!AY80="",TABLERO!AY80=0),"",TABLERO!AY80)</f>
        <v/>
      </c>
      <c r="AF80" s="562" t="str">
        <f>IF(OR(TABLERO!AZ80="",TABLERO!AZ80=0),"",TABLERO!AZ80)</f>
        <v/>
      </c>
      <c r="AG80" s="562" t="str">
        <f>IF(OR(TABLERO!BA80="",TABLERO!BA80=0),"",TABLERO!BA80)</f>
        <v/>
      </c>
      <c r="AH80" s="48" t="str">
        <f>IF(TABLERO!BB80=0,"",IF(TABLERO!$F$17&lt;&gt;"KVA",TABLERO!BB80*1000,TABLERO!BB80*1000/TABLERO!DA80))</f>
        <v/>
      </c>
      <c r="AI80" s="48" t="str">
        <f>IF(TABLERO!BB80=0,"",IF(TABLERO!$F$17&lt;&gt;"KVA",TABLERO!BT80*1000,TABLERO!BT80*1000/TABLERO!DA80))</f>
        <v/>
      </c>
      <c r="AJ80" s="44" t="str">
        <f>IF(OR(TABLERO!BU80="",TABLERO!BU80=0),"",TABLERO!BU80)</f>
        <v/>
      </c>
      <c r="AK80" s="562" t="str">
        <f>IF(TABLERO!BB80=0,"",TABLERO!F80)</f>
        <v/>
      </c>
      <c r="AL80" s="562" t="str">
        <f>IF(TABLERO!BB80=0,"",TABLERO!G80)</f>
        <v/>
      </c>
      <c r="AM80" s="562" t="str">
        <f>IF(TABLERO!BB80=0,"",TABLERO!BV80)</f>
        <v/>
      </c>
      <c r="AN80" s="44" t="str">
        <f>IF(TABLERO!BB80=0,"",TABLERO!K80)</f>
        <v/>
      </c>
      <c r="AO80" s="562" t="str">
        <f>IF(TABLERO!BB80=0,"",TABLERO!J80)</f>
        <v/>
      </c>
      <c r="AP80" s="44" t="str">
        <f>IF(TABLERO!BB80=0,"",TABLERO!CT80)</f>
        <v/>
      </c>
      <c r="AQ80" s="44" t="str">
        <f>IF(TABLERO!BB80=0,"",TABLERO!CS80)</f>
        <v/>
      </c>
      <c r="AR80" s="44" t="str">
        <f>IF(TABLERO!BB80=0,"",TABLERO!CY80)</f>
        <v/>
      </c>
      <c r="AS80" s="562" t="str">
        <f>IF(TABLERO!BB80=0,"",TABLERO!N80)</f>
        <v/>
      </c>
      <c r="AT80" s="1079" t="str">
        <f>IF(TABLERO!BB80=0,"",TABLERO!BX80&amp;" "&amp;TABLERO!ED80&amp;", "&amp;TABLERO!I80)</f>
        <v/>
      </c>
      <c r="AU80" s="1080"/>
      <c r="AV80" s="44" t="str">
        <f>IF(TABLERO!BB80=0,"",TABLERO!BZ80)</f>
        <v/>
      </c>
      <c r="AW80" s="562" t="str">
        <f>IF(TABLERO!BB80=0,"",TABLERO!CA80)</f>
        <v/>
      </c>
      <c r="AX80" s="43" t="str">
        <f>IF(TABLERO!BB80=0,"",TABLERO!CB80)</f>
        <v/>
      </c>
      <c r="AY80" s="44" t="str">
        <f>IF(TABLERO!BB80=0,"",TABLERO!DL80)</f>
        <v/>
      </c>
      <c r="AZ80" s="576" t="str">
        <f>IF(OR(TABLERO!BB80=0,TABLERO!H80="RE"),"",TABLERO!F80&amp;"P-"&amp;TABLERO!BW80&amp;"A")</f>
        <v/>
      </c>
      <c r="BA80" s="44" t="str">
        <f>IF(TABLERO!BB80=0,"",TABLERO!CI80)</f>
        <v/>
      </c>
      <c r="BB80" s="44" t="str">
        <f>IF(TABLERO!BB80=0,"",TABLERO!CJ80)</f>
        <v/>
      </c>
      <c r="BC80" s="49" t="str">
        <f>IF(TABLERO!BB80=0,"",TABLERO!CK80)</f>
        <v/>
      </c>
      <c r="BG80" s="46">
        <f>IF(TABLERO!B80="",0,TABLERO!B80)</f>
        <v>50</v>
      </c>
      <c r="BH80" s="46">
        <f>IF(TABLERO!C80="",BG80,TABLERO!C80)</f>
        <v>50</v>
      </c>
      <c r="BI80" s="46">
        <f>IF(TABLERO!D80="",BG80,TABLERO!D80)</f>
        <v>50</v>
      </c>
      <c r="BJ80" s="50">
        <f t="shared" si="2"/>
        <v>0</v>
      </c>
    </row>
    <row r="81" spans="1:62" hidden="1">
      <c r="A81" s="46">
        <f>IF(OR(BG81&gt;TABLERO!$M$19,BH81&gt;TABLERO!$M$19,BI81&gt;TABLERO!$M$19,BG81=0,BH81=0,BI81=0),2,1)</f>
        <v>2</v>
      </c>
      <c r="B81" s="47" t="str">
        <f>TABLERO!B81&amp;IF(TABLERO!C81="","",","&amp;TABLERO!C81)&amp;IF(TABLERO!D81="","",","&amp;TABLERO!D81)</f>
        <v>51</v>
      </c>
      <c r="C81" s="42" t="str">
        <f>IF(TABLERO!E81=0,"",TABLERO!E81)</f>
        <v/>
      </c>
      <c r="D81" s="562" t="str">
        <f>IF(OR(TABLERO!X81="",TABLERO!X81=0),"",TABLERO!X81)</f>
        <v/>
      </c>
      <c r="E81" s="562" t="str">
        <f>IF(OR(TABLERO!Y81="",TABLERO!Y81=0),"",TABLERO!Y81)</f>
        <v/>
      </c>
      <c r="F81" s="562" t="str">
        <f>IF(OR(TABLERO!Z81="",TABLERO!Z81=0),"",TABLERO!Z81)</f>
        <v/>
      </c>
      <c r="G81" s="562" t="str">
        <f>IF(OR(TABLERO!AA81="",TABLERO!AA81=0),"",TABLERO!AA81)</f>
        <v/>
      </c>
      <c r="H81" s="562" t="str">
        <f>IF(OR(TABLERO!AB81="",TABLERO!AB81=0),"",TABLERO!AB81)</f>
        <v/>
      </c>
      <c r="I81" s="562" t="str">
        <f>IF(OR(TABLERO!AC81="",TABLERO!AC81=0),"",TABLERO!AC81)</f>
        <v/>
      </c>
      <c r="J81" s="562" t="str">
        <f>IF(OR(TABLERO!AD81="",TABLERO!AD81=0),"",TABLERO!AD81)</f>
        <v/>
      </c>
      <c r="K81" s="562" t="str">
        <f>IF(OR(TABLERO!AE81="",TABLERO!AE81=0),"",TABLERO!AE81)</f>
        <v/>
      </c>
      <c r="L81" s="562" t="str">
        <f>IF(OR(TABLERO!AF81="",TABLERO!AF81=0),"",TABLERO!AF81)</f>
        <v/>
      </c>
      <c r="M81" s="562" t="str">
        <f>IF(OR(TABLERO!AG81="",TABLERO!AG81=0),"",TABLERO!AG81)</f>
        <v/>
      </c>
      <c r="N81" s="562" t="str">
        <f>IF(OR(TABLERO!AH81="",TABLERO!AH81=0),"",TABLERO!AH81)</f>
        <v/>
      </c>
      <c r="O81" s="562" t="str">
        <f>IF(OR(TABLERO!AI81="",TABLERO!AI81=0),"",TABLERO!AI81)</f>
        <v/>
      </c>
      <c r="P81" s="562" t="str">
        <f>IF(OR(TABLERO!AJ81="",TABLERO!AJ81=0),"",TABLERO!AJ81)</f>
        <v/>
      </c>
      <c r="Q81" s="562" t="str">
        <f>IF(OR(TABLERO!AK81="",TABLERO!AK81=0),"",TABLERO!AK81)</f>
        <v/>
      </c>
      <c r="R81" s="562" t="str">
        <f>IF(OR(TABLERO!AL81="",TABLERO!AL81=0),"",TABLERO!AL81)</f>
        <v/>
      </c>
      <c r="S81" s="562" t="str">
        <f>IF(OR(TABLERO!AM81="",TABLERO!AM81=0),"",TABLERO!AM81)</f>
        <v/>
      </c>
      <c r="T81" s="562" t="str">
        <f>IF(OR(TABLERO!AN81="",TABLERO!AN81=0),"",TABLERO!AN81)</f>
        <v/>
      </c>
      <c r="U81" s="562" t="str">
        <f>IF(OR(TABLERO!AO81="",TABLERO!AO81=0),"",TABLERO!AO81)</f>
        <v/>
      </c>
      <c r="V81" s="562" t="str">
        <f>IF(OR(TABLERO!AP81="",TABLERO!AP81=0),"",TABLERO!AP81)</f>
        <v/>
      </c>
      <c r="W81" s="562" t="str">
        <f>IF(OR(TABLERO!AQ81="",TABLERO!AQ81=0),"",TABLERO!AQ81)</f>
        <v/>
      </c>
      <c r="X81" s="562" t="str">
        <f>IF(OR(TABLERO!AR81="",TABLERO!AR81=0),"",TABLERO!AR81)</f>
        <v/>
      </c>
      <c r="Y81" s="562" t="str">
        <f>IF(OR(TABLERO!AS81="",TABLERO!AS81=0),"",TABLERO!AS81)</f>
        <v/>
      </c>
      <c r="Z81" s="562" t="str">
        <f>IF(OR(TABLERO!AT81="",TABLERO!AT81=0),"",TABLERO!AT81)</f>
        <v/>
      </c>
      <c r="AA81" s="562" t="str">
        <f>IF(OR(TABLERO!AU81="",TABLERO!AU81=0),"",TABLERO!AU81)</f>
        <v/>
      </c>
      <c r="AB81" s="562" t="str">
        <f>IF(OR(TABLERO!AV81="",TABLERO!AV81=0),"",TABLERO!AV81)</f>
        <v/>
      </c>
      <c r="AC81" s="562" t="str">
        <f>IF(OR(TABLERO!AW81="",TABLERO!AW81=0),"",TABLERO!AW81)</f>
        <v/>
      </c>
      <c r="AD81" s="562" t="str">
        <f>IF(OR(TABLERO!AX81="",TABLERO!AX81=0),"",TABLERO!AX81)</f>
        <v/>
      </c>
      <c r="AE81" s="562" t="str">
        <f>IF(OR(TABLERO!AY81="",TABLERO!AY81=0),"",TABLERO!AY81)</f>
        <v/>
      </c>
      <c r="AF81" s="562" t="str">
        <f>IF(OR(TABLERO!AZ81="",TABLERO!AZ81=0),"",TABLERO!AZ81)</f>
        <v/>
      </c>
      <c r="AG81" s="562" t="str">
        <f>IF(OR(TABLERO!BA81="",TABLERO!BA81=0),"",TABLERO!BA81)</f>
        <v/>
      </c>
      <c r="AH81" s="48" t="str">
        <f>IF(TABLERO!BB81=0,"",IF(TABLERO!$F$17&lt;&gt;"KVA",TABLERO!BB81*1000,TABLERO!BB81*1000/TABLERO!DA81))</f>
        <v/>
      </c>
      <c r="AI81" s="48" t="str">
        <f>IF(TABLERO!BB81=0,"",IF(TABLERO!$F$17&lt;&gt;"KVA",TABLERO!BT81*1000,TABLERO!BT81*1000/TABLERO!DA81))</f>
        <v/>
      </c>
      <c r="AJ81" s="44" t="str">
        <f>IF(OR(TABLERO!BU81="",TABLERO!BU81=0),"",TABLERO!BU81)</f>
        <v/>
      </c>
      <c r="AK81" s="562" t="str">
        <f>IF(TABLERO!BB81=0,"",TABLERO!F81)</f>
        <v/>
      </c>
      <c r="AL81" s="562" t="str">
        <f>IF(TABLERO!BB81=0,"",TABLERO!G81)</f>
        <v/>
      </c>
      <c r="AM81" s="562" t="str">
        <f>IF(TABLERO!BB81=0,"",TABLERO!BV81)</f>
        <v/>
      </c>
      <c r="AN81" s="44" t="str">
        <f>IF(TABLERO!BB81=0,"",TABLERO!K81)</f>
        <v/>
      </c>
      <c r="AO81" s="562" t="str">
        <f>IF(TABLERO!BB81=0,"",TABLERO!J81)</f>
        <v/>
      </c>
      <c r="AP81" s="44" t="str">
        <f>IF(TABLERO!BB81=0,"",TABLERO!CT81)</f>
        <v/>
      </c>
      <c r="AQ81" s="44" t="str">
        <f>IF(TABLERO!BB81=0,"",TABLERO!CS81)</f>
        <v/>
      </c>
      <c r="AR81" s="44" t="str">
        <f>IF(TABLERO!BB81=0,"",TABLERO!CY81)</f>
        <v/>
      </c>
      <c r="AS81" s="562" t="str">
        <f>IF(TABLERO!BB81=0,"",TABLERO!N81)</f>
        <v/>
      </c>
      <c r="AT81" s="1079" t="str">
        <f>IF(TABLERO!BB81=0,"",TABLERO!BX81&amp;" "&amp;TABLERO!ED81&amp;", "&amp;TABLERO!I81)</f>
        <v/>
      </c>
      <c r="AU81" s="1080"/>
      <c r="AV81" s="44" t="str">
        <f>IF(TABLERO!BB81=0,"",TABLERO!BZ81)</f>
        <v/>
      </c>
      <c r="AW81" s="562" t="str">
        <f>IF(TABLERO!BB81=0,"",TABLERO!CA81)</f>
        <v/>
      </c>
      <c r="AX81" s="43" t="str">
        <f>IF(TABLERO!BB81=0,"",TABLERO!CB81)</f>
        <v/>
      </c>
      <c r="AY81" s="44" t="str">
        <f>IF(TABLERO!BB81=0,"",TABLERO!DL81)</f>
        <v/>
      </c>
      <c r="AZ81" s="576" t="str">
        <f>IF(OR(TABLERO!BB81=0,TABLERO!H81="RE"),"",TABLERO!F81&amp;"P-"&amp;TABLERO!BW81&amp;"A")</f>
        <v/>
      </c>
      <c r="BA81" s="44" t="str">
        <f>IF(TABLERO!BB81=0,"",TABLERO!CI81)</f>
        <v/>
      </c>
      <c r="BB81" s="44" t="str">
        <f>IF(TABLERO!BB81=0,"",TABLERO!CJ81)</f>
        <v/>
      </c>
      <c r="BC81" s="49" t="str">
        <f>IF(TABLERO!BB81=0,"",TABLERO!CK81)</f>
        <v/>
      </c>
      <c r="BG81" s="46">
        <f>IF(TABLERO!B81="",0,TABLERO!B81)</f>
        <v>51</v>
      </c>
      <c r="BH81" s="46">
        <f>IF(TABLERO!C81="",BG81,TABLERO!C81)</f>
        <v>51</v>
      </c>
      <c r="BI81" s="46">
        <f>IF(TABLERO!D81="",BG81,TABLERO!D81)</f>
        <v>51</v>
      </c>
      <c r="BJ81" s="50">
        <f t="shared" si="2"/>
        <v>0</v>
      </c>
    </row>
    <row r="82" spans="1:62" hidden="1">
      <c r="A82" s="46">
        <f>IF(OR(BG82&gt;TABLERO!$M$19,BH82&gt;TABLERO!$M$19,BI82&gt;TABLERO!$M$19,BG82=0,BH82=0,BI82=0),2,1)</f>
        <v>2</v>
      </c>
      <c r="B82" s="47" t="str">
        <f>TABLERO!B82&amp;IF(TABLERO!C82="","",","&amp;TABLERO!C82)&amp;IF(TABLERO!D82="","",","&amp;TABLERO!D82)</f>
        <v>52</v>
      </c>
      <c r="C82" s="42" t="str">
        <f>IF(TABLERO!E82=0,"",TABLERO!E82)</f>
        <v/>
      </c>
      <c r="D82" s="562" t="str">
        <f>IF(OR(TABLERO!X82="",TABLERO!X82=0),"",TABLERO!X82)</f>
        <v/>
      </c>
      <c r="E82" s="562" t="str">
        <f>IF(OR(TABLERO!Y82="",TABLERO!Y82=0),"",TABLERO!Y82)</f>
        <v/>
      </c>
      <c r="F82" s="562" t="str">
        <f>IF(OR(TABLERO!Z82="",TABLERO!Z82=0),"",TABLERO!Z82)</f>
        <v/>
      </c>
      <c r="G82" s="562" t="str">
        <f>IF(OR(TABLERO!AA82="",TABLERO!AA82=0),"",TABLERO!AA82)</f>
        <v/>
      </c>
      <c r="H82" s="562" t="str">
        <f>IF(OR(TABLERO!AB82="",TABLERO!AB82=0),"",TABLERO!AB82)</f>
        <v/>
      </c>
      <c r="I82" s="562" t="str">
        <f>IF(OR(TABLERO!AC82="",TABLERO!AC82=0),"",TABLERO!AC82)</f>
        <v/>
      </c>
      <c r="J82" s="562" t="str">
        <f>IF(OR(TABLERO!AD82="",TABLERO!AD82=0),"",TABLERO!AD82)</f>
        <v/>
      </c>
      <c r="K82" s="562" t="str">
        <f>IF(OR(TABLERO!AE82="",TABLERO!AE82=0),"",TABLERO!AE82)</f>
        <v/>
      </c>
      <c r="L82" s="562" t="str">
        <f>IF(OR(TABLERO!AF82="",TABLERO!AF82=0),"",TABLERO!AF82)</f>
        <v/>
      </c>
      <c r="M82" s="562" t="str">
        <f>IF(OR(TABLERO!AG82="",TABLERO!AG82=0),"",TABLERO!AG82)</f>
        <v/>
      </c>
      <c r="N82" s="562" t="str">
        <f>IF(OR(TABLERO!AH82="",TABLERO!AH82=0),"",TABLERO!AH82)</f>
        <v/>
      </c>
      <c r="O82" s="562" t="str">
        <f>IF(OR(TABLERO!AI82="",TABLERO!AI82=0),"",TABLERO!AI82)</f>
        <v/>
      </c>
      <c r="P82" s="562" t="str">
        <f>IF(OR(TABLERO!AJ82="",TABLERO!AJ82=0),"",TABLERO!AJ82)</f>
        <v/>
      </c>
      <c r="Q82" s="562" t="str">
        <f>IF(OR(TABLERO!AK82="",TABLERO!AK82=0),"",TABLERO!AK82)</f>
        <v/>
      </c>
      <c r="R82" s="562" t="str">
        <f>IF(OR(TABLERO!AL82="",TABLERO!AL82=0),"",TABLERO!AL82)</f>
        <v/>
      </c>
      <c r="S82" s="562" t="str">
        <f>IF(OR(TABLERO!AM82="",TABLERO!AM82=0),"",TABLERO!AM82)</f>
        <v/>
      </c>
      <c r="T82" s="562" t="str">
        <f>IF(OR(TABLERO!AN82="",TABLERO!AN82=0),"",TABLERO!AN82)</f>
        <v/>
      </c>
      <c r="U82" s="562" t="str">
        <f>IF(OR(TABLERO!AO82="",TABLERO!AO82=0),"",TABLERO!AO82)</f>
        <v/>
      </c>
      <c r="V82" s="562" t="str">
        <f>IF(OR(TABLERO!AP82="",TABLERO!AP82=0),"",TABLERO!AP82)</f>
        <v/>
      </c>
      <c r="W82" s="562" t="str">
        <f>IF(OR(TABLERO!AQ82="",TABLERO!AQ82=0),"",TABLERO!AQ82)</f>
        <v/>
      </c>
      <c r="X82" s="562" t="str">
        <f>IF(OR(TABLERO!AR82="",TABLERO!AR82=0),"",TABLERO!AR82)</f>
        <v/>
      </c>
      <c r="Y82" s="562" t="str">
        <f>IF(OR(TABLERO!AS82="",TABLERO!AS82=0),"",TABLERO!AS82)</f>
        <v/>
      </c>
      <c r="Z82" s="562" t="str">
        <f>IF(OR(TABLERO!AT82="",TABLERO!AT82=0),"",TABLERO!AT82)</f>
        <v/>
      </c>
      <c r="AA82" s="562" t="str">
        <f>IF(OR(TABLERO!AU82="",TABLERO!AU82=0),"",TABLERO!AU82)</f>
        <v/>
      </c>
      <c r="AB82" s="562" t="str">
        <f>IF(OR(TABLERO!AV82="",TABLERO!AV82=0),"",TABLERO!AV82)</f>
        <v/>
      </c>
      <c r="AC82" s="562" t="str">
        <f>IF(OR(TABLERO!AW82="",TABLERO!AW82=0),"",TABLERO!AW82)</f>
        <v/>
      </c>
      <c r="AD82" s="562" t="str">
        <f>IF(OR(TABLERO!AX82="",TABLERO!AX82=0),"",TABLERO!AX82)</f>
        <v/>
      </c>
      <c r="AE82" s="562" t="str">
        <f>IF(OR(TABLERO!AY82="",TABLERO!AY82=0),"",TABLERO!AY82)</f>
        <v/>
      </c>
      <c r="AF82" s="562" t="str">
        <f>IF(OR(TABLERO!AZ82="",TABLERO!AZ82=0),"",TABLERO!AZ82)</f>
        <v/>
      </c>
      <c r="AG82" s="562" t="str">
        <f>IF(OR(TABLERO!BA82="",TABLERO!BA82=0),"",TABLERO!BA82)</f>
        <v/>
      </c>
      <c r="AH82" s="48" t="str">
        <f>IF(TABLERO!BB82=0,"",IF(TABLERO!$F$17&lt;&gt;"KVA",TABLERO!BB82*1000,TABLERO!BB82*1000/TABLERO!DA82))</f>
        <v/>
      </c>
      <c r="AI82" s="48" t="str">
        <f>IF(TABLERO!BB82=0,"",IF(TABLERO!$F$17&lt;&gt;"KVA",TABLERO!BT82*1000,TABLERO!BT82*1000/TABLERO!DA82))</f>
        <v/>
      </c>
      <c r="AJ82" s="44" t="str">
        <f>IF(OR(TABLERO!BU82="",TABLERO!BU82=0),"",TABLERO!BU82)</f>
        <v/>
      </c>
      <c r="AK82" s="562" t="str">
        <f>IF(TABLERO!BB82=0,"",TABLERO!F82)</f>
        <v/>
      </c>
      <c r="AL82" s="562" t="str">
        <f>IF(TABLERO!BB82=0,"",TABLERO!G82)</f>
        <v/>
      </c>
      <c r="AM82" s="562" t="str">
        <f>IF(TABLERO!BB82=0,"",TABLERO!BV82)</f>
        <v/>
      </c>
      <c r="AN82" s="44" t="str">
        <f>IF(TABLERO!BB82=0,"",TABLERO!K82)</f>
        <v/>
      </c>
      <c r="AO82" s="562" t="str">
        <f>IF(TABLERO!BB82=0,"",TABLERO!J82)</f>
        <v/>
      </c>
      <c r="AP82" s="44" t="str">
        <f>IF(TABLERO!BB82=0,"",TABLERO!CT82)</f>
        <v/>
      </c>
      <c r="AQ82" s="44" t="str">
        <f>IF(TABLERO!BB82=0,"",TABLERO!CS82)</f>
        <v/>
      </c>
      <c r="AR82" s="44" t="str">
        <f>IF(TABLERO!BB82=0,"",TABLERO!CY82)</f>
        <v/>
      </c>
      <c r="AS82" s="562" t="str">
        <f>IF(TABLERO!BB82=0,"",TABLERO!N82)</f>
        <v/>
      </c>
      <c r="AT82" s="1079" t="str">
        <f>IF(TABLERO!BB82=0,"",TABLERO!BX82&amp;" "&amp;TABLERO!ED82&amp;", "&amp;TABLERO!I82)</f>
        <v/>
      </c>
      <c r="AU82" s="1080"/>
      <c r="AV82" s="44" t="str">
        <f>IF(TABLERO!BB82=0,"",TABLERO!BZ82)</f>
        <v/>
      </c>
      <c r="AW82" s="562" t="str">
        <f>IF(TABLERO!BB82=0,"",TABLERO!CA82)</f>
        <v/>
      </c>
      <c r="AX82" s="43" t="str">
        <f>IF(TABLERO!BB82=0,"",TABLERO!CB82)</f>
        <v/>
      </c>
      <c r="AY82" s="44" t="str">
        <f>IF(TABLERO!BB82=0,"",TABLERO!DL82)</f>
        <v/>
      </c>
      <c r="AZ82" s="576" t="str">
        <f>IF(OR(TABLERO!BB82=0,TABLERO!H82="RE"),"",TABLERO!F82&amp;"P-"&amp;TABLERO!BW82&amp;"A")</f>
        <v/>
      </c>
      <c r="BA82" s="44" t="str">
        <f>IF(TABLERO!BB82=0,"",TABLERO!CI82)</f>
        <v/>
      </c>
      <c r="BB82" s="44" t="str">
        <f>IF(TABLERO!BB82=0,"",TABLERO!CJ82)</f>
        <v/>
      </c>
      <c r="BC82" s="49" t="str">
        <f>IF(TABLERO!BB82=0,"",TABLERO!CK82)</f>
        <v/>
      </c>
      <c r="BG82" s="46">
        <f>IF(TABLERO!B82="",0,TABLERO!B82)</f>
        <v>52</v>
      </c>
      <c r="BH82" s="46">
        <f>IF(TABLERO!C82="",BG82,TABLERO!C82)</f>
        <v>52</v>
      </c>
      <c r="BI82" s="46">
        <f>IF(TABLERO!D82="",BG82,TABLERO!D82)</f>
        <v>52</v>
      </c>
      <c r="BJ82" s="50">
        <f t="shared" si="2"/>
        <v>0</v>
      </c>
    </row>
    <row r="83" spans="1:62" hidden="1">
      <c r="A83" s="46">
        <f>IF(OR(BG83&gt;TABLERO!$M$19,BH83&gt;TABLERO!$M$19,BI83&gt;TABLERO!$M$19,BG83=0,BH83=0,BI83=0),2,1)</f>
        <v>2</v>
      </c>
      <c r="B83" s="47" t="str">
        <f>TABLERO!B83&amp;IF(TABLERO!C83="","",","&amp;TABLERO!C83)&amp;IF(TABLERO!D83="","",","&amp;TABLERO!D83)</f>
        <v>53</v>
      </c>
      <c r="C83" s="42" t="str">
        <f>IF(TABLERO!E83=0,"",TABLERO!E83)</f>
        <v/>
      </c>
      <c r="D83" s="562" t="str">
        <f>IF(OR(TABLERO!X83="",TABLERO!X83=0),"",TABLERO!X83)</f>
        <v/>
      </c>
      <c r="E83" s="562" t="str">
        <f>IF(OR(TABLERO!Y83="",TABLERO!Y83=0),"",TABLERO!Y83)</f>
        <v/>
      </c>
      <c r="F83" s="562" t="str">
        <f>IF(OR(TABLERO!Z83="",TABLERO!Z83=0),"",TABLERO!Z83)</f>
        <v/>
      </c>
      <c r="G83" s="562" t="str">
        <f>IF(OR(TABLERO!AA83="",TABLERO!AA83=0),"",TABLERO!AA83)</f>
        <v/>
      </c>
      <c r="H83" s="562" t="str">
        <f>IF(OR(TABLERO!AB83="",TABLERO!AB83=0),"",TABLERO!AB83)</f>
        <v/>
      </c>
      <c r="I83" s="562" t="str">
        <f>IF(OR(TABLERO!AC83="",TABLERO!AC83=0),"",TABLERO!AC83)</f>
        <v/>
      </c>
      <c r="J83" s="562" t="str">
        <f>IF(OR(TABLERO!AD83="",TABLERO!AD83=0),"",TABLERO!AD83)</f>
        <v/>
      </c>
      <c r="K83" s="562" t="str">
        <f>IF(OR(TABLERO!AE83="",TABLERO!AE83=0),"",TABLERO!AE83)</f>
        <v/>
      </c>
      <c r="L83" s="562" t="str">
        <f>IF(OR(TABLERO!AF83="",TABLERO!AF83=0),"",TABLERO!AF83)</f>
        <v/>
      </c>
      <c r="M83" s="562" t="str">
        <f>IF(OR(TABLERO!AG83="",TABLERO!AG83=0),"",TABLERO!AG83)</f>
        <v/>
      </c>
      <c r="N83" s="562" t="str">
        <f>IF(OR(TABLERO!AH83="",TABLERO!AH83=0),"",TABLERO!AH83)</f>
        <v/>
      </c>
      <c r="O83" s="562" t="str">
        <f>IF(OR(TABLERO!AI83="",TABLERO!AI83=0),"",TABLERO!AI83)</f>
        <v/>
      </c>
      <c r="P83" s="562" t="str">
        <f>IF(OR(TABLERO!AJ83="",TABLERO!AJ83=0),"",TABLERO!AJ83)</f>
        <v/>
      </c>
      <c r="Q83" s="562" t="str">
        <f>IF(OR(TABLERO!AK83="",TABLERO!AK83=0),"",TABLERO!AK83)</f>
        <v/>
      </c>
      <c r="R83" s="562" t="str">
        <f>IF(OR(TABLERO!AL83="",TABLERO!AL83=0),"",TABLERO!AL83)</f>
        <v/>
      </c>
      <c r="S83" s="562" t="str">
        <f>IF(OR(TABLERO!AM83="",TABLERO!AM83=0),"",TABLERO!AM83)</f>
        <v/>
      </c>
      <c r="T83" s="562" t="str">
        <f>IF(OR(TABLERO!AN83="",TABLERO!AN83=0),"",TABLERO!AN83)</f>
        <v/>
      </c>
      <c r="U83" s="562" t="str">
        <f>IF(OR(TABLERO!AO83="",TABLERO!AO83=0),"",TABLERO!AO83)</f>
        <v/>
      </c>
      <c r="V83" s="562" t="str">
        <f>IF(OR(TABLERO!AP83="",TABLERO!AP83=0),"",TABLERO!AP83)</f>
        <v/>
      </c>
      <c r="W83" s="562" t="str">
        <f>IF(OR(TABLERO!AQ83="",TABLERO!AQ83=0),"",TABLERO!AQ83)</f>
        <v/>
      </c>
      <c r="X83" s="562" t="str">
        <f>IF(OR(TABLERO!AR83="",TABLERO!AR83=0),"",TABLERO!AR83)</f>
        <v/>
      </c>
      <c r="Y83" s="562" t="str">
        <f>IF(OR(TABLERO!AS83="",TABLERO!AS83=0),"",TABLERO!AS83)</f>
        <v/>
      </c>
      <c r="Z83" s="562" t="str">
        <f>IF(OR(TABLERO!AT83="",TABLERO!AT83=0),"",TABLERO!AT83)</f>
        <v/>
      </c>
      <c r="AA83" s="562" t="str">
        <f>IF(OR(TABLERO!AU83="",TABLERO!AU83=0),"",TABLERO!AU83)</f>
        <v/>
      </c>
      <c r="AB83" s="562" t="str">
        <f>IF(OR(TABLERO!AV83="",TABLERO!AV83=0),"",TABLERO!AV83)</f>
        <v/>
      </c>
      <c r="AC83" s="562" t="str">
        <f>IF(OR(TABLERO!AW83="",TABLERO!AW83=0),"",TABLERO!AW83)</f>
        <v/>
      </c>
      <c r="AD83" s="562" t="str">
        <f>IF(OR(TABLERO!AX83="",TABLERO!AX83=0),"",TABLERO!AX83)</f>
        <v/>
      </c>
      <c r="AE83" s="562" t="str">
        <f>IF(OR(TABLERO!AY83="",TABLERO!AY83=0),"",TABLERO!AY83)</f>
        <v/>
      </c>
      <c r="AF83" s="562" t="str">
        <f>IF(OR(TABLERO!AZ83="",TABLERO!AZ83=0),"",TABLERO!AZ83)</f>
        <v/>
      </c>
      <c r="AG83" s="562" t="str">
        <f>IF(OR(TABLERO!BA83="",TABLERO!BA83=0),"",TABLERO!BA83)</f>
        <v/>
      </c>
      <c r="AH83" s="48" t="str">
        <f>IF(TABLERO!BB83=0,"",IF(TABLERO!$F$17&lt;&gt;"KVA",TABLERO!BB83*1000,TABLERO!BB83*1000/TABLERO!DA83))</f>
        <v/>
      </c>
      <c r="AI83" s="48" t="str">
        <f>IF(TABLERO!BB83=0,"",IF(TABLERO!$F$17&lt;&gt;"KVA",TABLERO!BT83*1000,TABLERO!BT83*1000/TABLERO!DA83))</f>
        <v/>
      </c>
      <c r="AJ83" s="44" t="str">
        <f>IF(OR(TABLERO!BU83="",TABLERO!BU83=0),"",TABLERO!BU83)</f>
        <v/>
      </c>
      <c r="AK83" s="562" t="str">
        <f>IF(TABLERO!BB83=0,"",TABLERO!F83)</f>
        <v/>
      </c>
      <c r="AL83" s="562" t="str">
        <f>IF(TABLERO!BB83=0,"",TABLERO!G83)</f>
        <v/>
      </c>
      <c r="AM83" s="562" t="str">
        <f>IF(TABLERO!BB83=0,"",TABLERO!BV83)</f>
        <v/>
      </c>
      <c r="AN83" s="44" t="str">
        <f>IF(TABLERO!BB83=0,"",TABLERO!K83)</f>
        <v/>
      </c>
      <c r="AO83" s="562" t="str">
        <f>IF(TABLERO!BB83=0,"",TABLERO!J83)</f>
        <v/>
      </c>
      <c r="AP83" s="44" t="str">
        <f>IF(TABLERO!BB83=0,"",TABLERO!CT83)</f>
        <v/>
      </c>
      <c r="AQ83" s="44" t="str">
        <f>IF(TABLERO!BB83=0,"",TABLERO!CS83)</f>
        <v/>
      </c>
      <c r="AR83" s="44" t="str">
        <f>IF(TABLERO!BB83=0,"",TABLERO!CY83)</f>
        <v/>
      </c>
      <c r="AS83" s="562" t="str">
        <f>IF(TABLERO!BB83=0,"",TABLERO!N83)</f>
        <v/>
      </c>
      <c r="AT83" s="1079" t="str">
        <f>IF(TABLERO!BB83=0,"",TABLERO!BX83&amp;" "&amp;TABLERO!ED83&amp;", "&amp;TABLERO!I83)</f>
        <v/>
      </c>
      <c r="AU83" s="1080"/>
      <c r="AV83" s="44" t="str">
        <f>IF(TABLERO!BB83=0,"",TABLERO!BZ83)</f>
        <v/>
      </c>
      <c r="AW83" s="562" t="str">
        <f>IF(TABLERO!BB83=0,"",TABLERO!CA83)</f>
        <v/>
      </c>
      <c r="AX83" s="43" t="str">
        <f>IF(TABLERO!BB83=0,"",TABLERO!CB83)</f>
        <v/>
      </c>
      <c r="AY83" s="44" t="str">
        <f>IF(TABLERO!BB83=0,"",TABLERO!DL83)</f>
        <v/>
      </c>
      <c r="AZ83" s="576" t="str">
        <f>IF(OR(TABLERO!BB83=0,TABLERO!H83="RE"),"",TABLERO!F83&amp;"P-"&amp;TABLERO!BW83&amp;"A")</f>
        <v/>
      </c>
      <c r="BA83" s="44" t="str">
        <f>IF(TABLERO!BB83=0,"",TABLERO!CI83)</f>
        <v/>
      </c>
      <c r="BB83" s="44" t="str">
        <f>IF(TABLERO!BB83=0,"",TABLERO!CJ83)</f>
        <v/>
      </c>
      <c r="BC83" s="49" t="str">
        <f>IF(TABLERO!BB83=0,"",TABLERO!CK83)</f>
        <v/>
      </c>
      <c r="BG83" s="46">
        <f>IF(TABLERO!B83="",0,TABLERO!B83)</f>
        <v>53</v>
      </c>
      <c r="BH83" s="46">
        <f>IF(TABLERO!C83="",BG83,TABLERO!C83)</f>
        <v>53</v>
      </c>
      <c r="BI83" s="46">
        <f>IF(TABLERO!D83="",BG83,TABLERO!D83)</f>
        <v>53</v>
      </c>
      <c r="BJ83" s="50">
        <f t="shared" si="2"/>
        <v>0</v>
      </c>
    </row>
    <row r="84" spans="1:62" hidden="1">
      <c r="A84" s="46">
        <f>IF(OR(BG84&gt;TABLERO!$M$19,BH84&gt;TABLERO!$M$19,BI84&gt;TABLERO!$M$19,BG84=0,BH84=0,BI84=0),2,1)</f>
        <v>2</v>
      </c>
      <c r="B84" s="47" t="str">
        <f>TABLERO!B84&amp;IF(TABLERO!C84="","",","&amp;TABLERO!C84)&amp;IF(TABLERO!D84="","",","&amp;TABLERO!D84)</f>
        <v>54</v>
      </c>
      <c r="C84" s="42" t="str">
        <f>IF(TABLERO!E84=0,"",TABLERO!E84)</f>
        <v/>
      </c>
      <c r="D84" s="562" t="str">
        <f>IF(OR(TABLERO!X84="",TABLERO!X84=0),"",TABLERO!X84)</f>
        <v/>
      </c>
      <c r="E84" s="562" t="str">
        <f>IF(OR(TABLERO!Y84="",TABLERO!Y84=0),"",TABLERO!Y84)</f>
        <v/>
      </c>
      <c r="F84" s="562" t="str">
        <f>IF(OR(TABLERO!Z84="",TABLERO!Z84=0),"",TABLERO!Z84)</f>
        <v/>
      </c>
      <c r="G84" s="562" t="str">
        <f>IF(OR(TABLERO!AA84="",TABLERO!AA84=0),"",TABLERO!AA84)</f>
        <v/>
      </c>
      <c r="H84" s="562" t="str">
        <f>IF(OR(TABLERO!AB84="",TABLERO!AB84=0),"",TABLERO!AB84)</f>
        <v/>
      </c>
      <c r="I84" s="562" t="str">
        <f>IF(OR(TABLERO!AC84="",TABLERO!AC84=0),"",TABLERO!AC84)</f>
        <v/>
      </c>
      <c r="J84" s="562" t="str">
        <f>IF(OR(TABLERO!AD84="",TABLERO!AD84=0),"",TABLERO!AD84)</f>
        <v/>
      </c>
      <c r="K84" s="562" t="str">
        <f>IF(OR(TABLERO!AE84="",TABLERO!AE84=0),"",TABLERO!AE84)</f>
        <v/>
      </c>
      <c r="L84" s="562" t="str">
        <f>IF(OR(TABLERO!AF84="",TABLERO!AF84=0),"",TABLERO!AF84)</f>
        <v/>
      </c>
      <c r="M84" s="562" t="str">
        <f>IF(OR(TABLERO!AG84="",TABLERO!AG84=0),"",TABLERO!AG84)</f>
        <v/>
      </c>
      <c r="N84" s="562" t="str">
        <f>IF(OR(TABLERO!AH84="",TABLERO!AH84=0),"",TABLERO!AH84)</f>
        <v/>
      </c>
      <c r="O84" s="562" t="str">
        <f>IF(OR(TABLERO!AI84="",TABLERO!AI84=0),"",TABLERO!AI84)</f>
        <v/>
      </c>
      <c r="P84" s="562" t="str">
        <f>IF(OR(TABLERO!AJ84="",TABLERO!AJ84=0),"",TABLERO!AJ84)</f>
        <v/>
      </c>
      <c r="Q84" s="562" t="str">
        <f>IF(OR(TABLERO!AK84="",TABLERO!AK84=0),"",TABLERO!AK84)</f>
        <v/>
      </c>
      <c r="R84" s="562" t="str">
        <f>IF(OR(TABLERO!AL84="",TABLERO!AL84=0),"",TABLERO!AL84)</f>
        <v/>
      </c>
      <c r="S84" s="562" t="str">
        <f>IF(OR(TABLERO!AM84="",TABLERO!AM84=0),"",TABLERO!AM84)</f>
        <v/>
      </c>
      <c r="T84" s="562" t="str">
        <f>IF(OR(TABLERO!AN84="",TABLERO!AN84=0),"",TABLERO!AN84)</f>
        <v/>
      </c>
      <c r="U84" s="562" t="str">
        <f>IF(OR(TABLERO!AO84="",TABLERO!AO84=0),"",TABLERO!AO84)</f>
        <v/>
      </c>
      <c r="V84" s="562" t="str">
        <f>IF(OR(TABLERO!AP84="",TABLERO!AP84=0),"",TABLERO!AP84)</f>
        <v/>
      </c>
      <c r="W84" s="562" t="str">
        <f>IF(OR(TABLERO!AQ84="",TABLERO!AQ84=0),"",TABLERO!AQ84)</f>
        <v/>
      </c>
      <c r="X84" s="562" t="str">
        <f>IF(OR(TABLERO!AR84="",TABLERO!AR84=0),"",TABLERO!AR84)</f>
        <v/>
      </c>
      <c r="Y84" s="562" t="str">
        <f>IF(OR(TABLERO!AS84="",TABLERO!AS84=0),"",TABLERO!AS84)</f>
        <v/>
      </c>
      <c r="Z84" s="562" t="str">
        <f>IF(OR(TABLERO!AT84="",TABLERO!AT84=0),"",TABLERO!AT84)</f>
        <v/>
      </c>
      <c r="AA84" s="562" t="str">
        <f>IF(OR(TABLERO!AU84="",TABLERO!AU84=0),"",TABLERO!AU84)</f>
        <v/>
      </c>
      <c r="AB84" s="562" t="str">
        <f>IF(OR(TABLERO!AV84="",TABLERO!AV84=0),"",TABLERO!AV84)</f>
        <v/>
      </c>
      <c r="AC84" s="562" t="str">
        <f>IF(OR(TABLERO!AW84="",TABLERO!AW84=0),"",TABLERO!AW84)</f>
        <v/>
      </c>
      <c r="AD84" s="562" t="str">
        <f>IF(OR(TABLERO!AX84="",TABLERO!AX84=0),"",TABLERO!AX84)</f>
        <v/>
      </c>
      <c r="AE84" s="562" t="str">
        <f>IF(OR(TABLERO!AY84="",TABLERO!AY84=0),"",TABLERO!AY84)</f>
        <v/>
      </c>
      <c r="AF84" s="562" t="str">
        <f>IF(OR(TABLERO!AZ84="",TABLERO!AZ84=0),"",TABLERO!AZ84)</f>
        <v/>
      </c>
      <c r="AG84" s="562" t="str">
        <f>IF(OR(TABLERO!BA84="",TABLERO!BA84=0),"",TABLERO!BA84)</f>
        <v/>
      </c>
      <c r="AH84" s="48" t="str">
        <f>IF(TABLERO!BB84=0,"",IF(TABLERO!$F$17&lt;&gt;"KVA",TABLERO!BB84*1000,TABLERO!BB84*1000/TABLERO!DA84))</f>
        <v/>
      </c>
      <c r="AI84" s="48" t="str">
        <f>IF(TABLERO!BB84=0,"",IF(TABLERO!$F$17&lt;&gt;"KVA",TABLERO!BT84*1000,TABLERO!BT84*1000/TABLERO!DA84))</f>
        <v/>
      </c>
      <c r="AJ84" s="44" t="str">
        <f>IF(OR(TABLERO!BU84="",TABLERO!BU84=0),"",TABLERO!BU84)</f>
        <v/>
      </c>
      <c r="AK84" s="562" t="str">
        <f>IF(TABLERO!BB84=0,"",TABLERO!F84)</f>
        <v/>
      </c>
      <c r="AL84" s="562" t="str">
        <f>IF(TABLERO!BB84=0,"",TABLERO!G84)</f>
        <v/>
      </c>
      <c r="AM84" s="562" t="str">
        <f>IF(TABLERO!BB84=0,"",TABLERO!BV84)</f>
        <v/>
      </c>
      <c r="AN84" s="44" t="str">
        <f>IF(TABLERO!BB84=0,"",TABLERO!K84)</f>
        <v/>
      </c>
      <c r="AO84" s="562" t="str">
        <f>IF(TABLERO!BB84=0,"",TABLERO!J84)</f>
        <v/>
      </c>
      <c r="AP84" s="44" t="str">
        <f>IF(TABLERO!BB84=0,"",TABLERO!CT84)</f>
        <v/>
      </c>
      <c r="AQ84" s="44" t="str">
        <f>IF(TABLERO!BB84=0,"",TABLERO!CS84)</f>
        <v/>
      </c>
      <c r="AR84" s="44" t="str">
        <f>IF(TABLERO!BB84=0,"",TABLERO!CY84)</f>
        <v/>
      </c>
      <c r="AS84" s="562" t="str">
        <f>IF(TABLERO!BB84=0,"",TABLERO!N84)</f>
        <v/>
      </c>
      <c r="AT84" s="1079" t="str">
        <f>IF(TABLERO!BB84=0,"",TABLERO!BX84&amp;" "&amp;TABLERO!ED84&amp;", "&amp;TABLERO!I84)</f>
        <v/>
      </c>
      <c r="AU84" s="1080"/>
      <c r="AV84" s="44" t="str">
        <f>IF(TABLERO!BB84=0,"",TABLERO!BZ84)</f>
        <v/>
      </c>
      <c r="AW84" s="562" t="str">
        <f>IF(TABLERO!BB84=0,"",TABLERO!CA84)</f>
        <v/>
      </c>
      <c r="AX84" s="43" t="str">
        <f>IF(TABLERO!BB84=0,"",TABLERO!CB84)</f>
        <v/>
      </c>
      <c r="AY84" s="44" t="str">
        <f>IF(TABLERO!BB84=0,"",TABLERO!DL84)</f>
        <v/>
      </c>
      <c r="AZ84" s="576" t="str">
        <f>IF(OR(TABLERO!BB84=0,TABLERO!H84="RE"),"",TABLERO!F84&amp;"P-"&amp;TABLERO!BW84&amp;"A")</f>
        <v/>
      </c>
      <c r="BA84" s="44" t="str">
        <f>IF(TABLERO!BB84=0,"",TABLERO!CI84)</f>
        <v/>
      </c>
      <c r="BB84" s="44" t="str">
        <f>IF(TABLERO!BB84=0,"",TABLERO!CJ84)</f>
        <v/>
      </c>
      <c r="BC84" s="49" t="str">
        <f>IF(TABLERO!BB84=0,"",TABLERO!CK84)</f>
        <v/>
      </c>
      <c r="BG84" s="46">
        <f>IF(TABLERO!B84="",0,TABLERO!B84)</f>
        <v>54</v>
      </c>
      <c r="BH84" s="46">
        <f>IF(TABLERO!C84="",BG84,TABLERO!C84)</f>
        <v>54</v>
      </c>
      <c r="BI84" s="46">
        <f>IF(TABLERO!D84="",BG84,TABLERO!D84)</f>
        <v>54</v>
      </c>
      <c r="BJ84" s="50">
        <f t="shared" si="2"/>
        <v>0</v>
      </c>
    </row>
    <row r="85" spans="1:62" hidden="1">
      <c r="A85" s="46">
        <f>IF(OR(BG85&gt;TABLERO!$M$19,BH85&gt;TABLERO!$M$19,BI85&gt;TABLERO!$M$19,BG85=0,BH85=0,BI85=0),2,1)</f>
        <v>2</v>
      </c>
      <c r="B85" s="47" t="str">
        <f>TABLERO!B85&amp;IF(TABLERO!C85="","",","&amp;TABLERO!C85)&amp;IF(TABLERO!D85="","",","&amp;TABLERO!D85)</f>
        <v>55</v>
      </c>
      <c r="C85" s="42" t="str">
        <f>IF(TABLERO!E85=0,"",TABLERO!E85)</f>
        <v/>
      </c>
      <c r="D85" s="562" t="str">
        <f>IF(OR(TABLERO!X85="",TABLERO!X85=0),"",TABLERO!X85)</f>
        <v/>
      </c>
      <c r="E85" s="562" t="str">
        <f>IF(OR(TABLERO!Y85="",TABLERO!Y85=0),"",TABLERO!Y85)</f>
        <v/>
      </c>
      <c r="F85" s="562" t="str">
        <f>IF(OR(TABLERO!Z85="",TABLERO!Z85=0),"",TABLERO!Z85)</f>
        <v/>
      </c>
      <c r="G85" s="562" t="str">
        <f>IF(OR(TABLERO!AA85="",TABLERO!AA85=0),"",TABLERO!AA85)</f>
        <v/>
      </c>
      <c r="H85" s="562" t="str">
        <f>IF(OR(TABLERO!AB85="",TABLERO!AB85=0),"",TABLERO!AB85)</f>
        <v/>
      </c>
      <c r="I85" s="562" t="str">
        <f>IF(OR(TABLERO!AC85="",TABLERO!AC85=0),"",TABLERO!AC85)</f>
        <v/>
      </c>
      <c r="J85" s="562" t="str">
        <f>IF(OR(TABLERO!AD85="",TABLERO!AD85=0),"",TABLERO!AD85)</f>
        <v/>
      </c>
      <c r="K85" s="562" t="str">
        <f>IF(OR(TABLERO!AE85="",TABLERO!AE85=0),"",TABLERO!AE85)</f>
        <v/>
      </c>
      <c r="L85" s="562" t="str">
        <f>IF(OR(TABLERO!AF85="",TABLERO!AF85=0),"",TABLERO!AF85)</f>
        <v/>
      </c>
      <c r="M85" s="562" t="str">
        <f>IF(OR(TABLERO!AG85="",TABLERO!AG85=0),"",TABLERO!AG85)</f>
        <v/>
      </c>
      <c r="N85" s="562" t="str">
        <f>IF(OR(TABLERO!AH85="",TABLERO!AH85=0),"",TABLERO!AH85)</f>
        <v/>
      </c>
      <c r="O85" s="562" t="str">
        <f>IF(OR(TABLERO!AI85="",TABLERO!AI85=0),"",TABLERO!AI85)</f>
        <v/>
      </c>
      <c r="P85" s="562" t="str">
        <f>IF(OR(TABLERO!AJ85="",TABLERO!AJ85=0),"",TABLERO!AJ85)</f>
        <v/>
      </c>
      <c r="Q85" s="562" t="str">
        <f>IF(OR(TABLERO!AK85="",TABLERO!AK85=0),"",TABLERO!AK85)</f>
        <v/>
      </c>
      <c r="R85" s="562" t="str">
        <f>IF(OR(TABLERO!AL85="",TABLERO!AL85=0),"",TABLERO!AL85)</f>
        <v/>
      </c>
      <c r="S85" s="562" t="str">
        <f>IF(OR(TABLERO!AM85="",TABLERO!AM85=0),"",TABLERO!AM85)</f>
        <v/>
      </c>
      <c r="T85" s="562" t="str">
        <f>IF(OR(TABLERO!AN85="",TABLERO!AN85=0),"",TABLERO!AN85)</f>
        <v/>
      </c>
      <c r="U85" s="562" t="str">
        <f>IF(OR(TABLERO!AO85="",TABLERO!AO85=0),"",TABLERO!AO85)</f>
        <v/>
      </c>
      <c r="V85" s="562" t="str">
        <f>IF(OR(TABLERO!AP85="",TABLERO!AP85=0),"",TABLERO!AP85)</f>
        <v/>
      </c>
      <c r="W85" s="562" t="str">
        <f>IF(OR(TABLERO!AQ85="",TABLERO!AQ85=0),"",TABLERO!AQ85)</f>
        <v/>
      </c>
      <c r="X85" s="562" t="str">
        <f>IF(OR(TABLERO!AR85="",TABLERO!AR85=0),"",TABLERO!AR85)</f>
        <v/>
      </c>
      <c r="Y85" s="562" t="str">
        <f>IF(OR(TABLERO!AS85="",TABLERO!AS85=0),"",TABLERO!AS85)</f>
        <v/>
      </c>
      <c r="Z85" s="562" t="str">
        <f>IF(OR(TABLERO!AT85="",TABLERO!AT85=0),"",TABLERO!AT85)</f>
        <v/>
      </c>
      <c r="AA85" s="562" t="str">
        <f>IF(OR(TABLERO!AU85="",TABLERO!AU85=0),"",TABLERO!AU85)</f>
        <v/>
      </c>
      <c r="AB85" s="562" t="str">
        <f>IF(OR(TABLERO!AV85="",TABLERO!AV85=0),"",TABLERO!AV85)</f>
        <v/>
      </c>
      <c r="AC85" s="562" t="str">
        <f>IF(OR(TABLERO!AW85="",TABLERO!AW85=0),"",TABLERO!AW85)</f>
        <v/>
      </c>
      <c r="AD85" s="562" t="str">
        <f>IF(OR(TABLERO!AX85="",TABLERO!AX85=0),"",TABLERO!AX85)</f>
        <v/>
      </c>
      <c r="AE85" s="562" t="str">
        <f>IF(OR(TABLERO!AY85="",TABLERO!AY85=0),"",TABLERO!AY85)</f>
        <v/>
      </c>
      <c r="AF85" s="562" t="str">
        <f>IF(OR(TABLERO!AZ85="",TABLERO!AZ85=0),"",TABLERO!AZ85)</f>
        <v/>
      </c>
      <c r="AG85" s="562" t="str">
        <f>IF(OR(TABLERO!BA85="",TABLERO!BA85=0),"",TABLERO!BA85)</f>
        <v/>
      </c>
      <c r="AH85" s="48" t="str">
        <f>IF(TABLERO!BB85=0,"",IF(TABLERO!$F$17&lt;&gt;"KVA",TABLERO!BB85*1000,TABLERO!BB85*1000/TABLERO!DA85))</f>
        <v/>
      </c>
      <c r="AI85" s="48" t="str">
        <f>IF(TABLERO!BB85=0,"",IF(TABLERO!$F$17&lt;&gt;"KVA",TABLERO!BT85*1000,TABLERO!BT85*1000/TABLERO!DA85))</f>
        <v/>
      </c>
      <c r="AJ85" s="44" t="str">
        <f>IF(OR(TABLERO!BU85="",TABLERO!BU85=0),"",TABLERO!BU85)</f>
        <v/>
      </c>
      <c r="AK85" s="562" t="str">
        <f>IF(TABLERO!BB85=0,"",TABLERO!F85)</f>
        <v/>
      </c>
      <c r="AL85" s="562" t="str">
        <f>IF(TABLERO!BB85=0,"",TABLERO!G85)</f>
        <v/>
      </c>
      <c r="AM85" s="562" t="str">
        <f>IF(TABLERO!BB85=0,"",TABLERO!BV85)</f>
        <v/>
      </c>
      <c r="AN85" s="44" t="str">
        <f>IF(TABLERO!BB85=0,"",TABLERO!K85)</f>
        <v/>
      </c>
      <c r="AO85" s="562" t="str">
        <f>IF(TABLERO!BB85=0,"",TABLERO!J85)</f>
        <v/>
      </c>
      <c r="AP85" s="44" t="str">
        <f>IF(TABLERO!BB85=0,"",TABLERO!CT85)</f>
        <v/>
      </c>
      <c r="AQ85" s="44" t="str">
        <f>IF(TABLERO!BB85=0,"",TABLERO!CS85)</f>
        <v/>
      </c>
      <c r="AR85" s="44" t="str">
        <f>IF(TABLERO!BB85=0,"",TABLERO!CY85)</f>
        <v/>
      </c>
      <c r="AS85" s="562" t="str">
        <f>IF(TABLERO!BB85=0,"",TABLERO!N85)</f>
        <v/>
      </c>
      <c r="AT85" s="1079" t="str">
        <f>IF(TABLERO!BB85=0,"",TABLERO!BX85&amp;" "&amp;TABLERO!ED85&amp;", "&amp;TABLERO!I85)</f>
        <v/>
      </c>
      <c r="AU85" s="1080"/>
      <c r="AV85" s="44" t="str">
        <f>IF(TABLERO!BB85=0,"",TABLERO!BZ85)</f>
        <v/>
      </c>
      <c r="AW85" s="562" t="str">
        <f>IF(TABLERO!BB85=0,"",TABLERO!CA85)</f>
        <v/>
      </c>
      <c r="AX85" s="43" t="str">
        <f>IF(TABLERO!BB85=0,"",TABLERO!CB85)</f>
        <v/>
      </c>
      <c r="AY85" s="44" t="str">
        <f>IF(TABLERO!BB85=0,"",TABLERO!DL85)</f>
        <v/>
      </c>
      <c r="AZ85" s="576" t="str">
        <f>IF(OR(TABLERO!BB85=0,TABLERO!H85="RE"),"",TABLERO!F85&amp;"P-"&amp;TABLERO!BW85&amp;"A")</f>
        <v/>
      </c>
      <c r="BA85" s="44" t="str">
        <f>IF(TABLERO!BB85=0,"",TABLERO!CI85)</f>
        <v/>
      </c>
      <c r="BB85" s="44" t="str">
        <f>IF(TABLERO!BB85=0,"",TABLERO!CJ85)</f>
        <v/>
      </c>
      <c r="BC85" s="49" t="str">
        <f>IF(TABLERO!BB85=0,"",TABLERO!CK85)</f>
        <v/>
      </c>
      <c r="BG85" s="46">
        <f>IF(TABLERO!B85="",0,TABLERO!B85)</f>
        <v>55</v>
      </c>
      <c r="BH85" s="46">
        <f>IF(TABLERO!C85="",BG85,TABLERO!C85)</f>
        <v>55</v>
      </c>
      <c r="BI85" s="46">
        <f>IF(TABLERO!D85="",BG85,TABLERO!D85)</f>
        <v>55</v>
      </c>
      <c r="BJ85" s="50">
        <f t="shared" si="2"/>
        <v>0</v>
      </c>
    </row>
    <row r="86" spans="1:62" hidden="1">
      <c r="A86" s="46">
        <f>IF(OR(BG86&gt;TABLERO!$M$19,BH86&gt;TABLERO!$M$19,BI86&gt;TABLERO!$M$19,BG86=0,BH86=0,BI86=0),2,1)</f>
        <v>2</v>
      </c>
      <c r="B86" s="47" t="str">
        <f>TABLERO!B86&amp;IF(TABLERO!C86="","",","&amp;TABLERO!C86)&amp;IF(TABLERO!D86="","",","&amp;TABLERO!D86)</f>
        <v>56</v>
      </c>
      <c r="C86" s="42" t="str">
        <f>IF(TABLERO!E86=0,"",TABLERO!E86)</f>
        <v/>
      </c>
      <c r="D86" s="562" t="str">
        <f>IF(OR(TABLERO!X86="",TABLERO!X86=0),"",TABLERO!X86)</f>
        <v/>
      </c>
      <c r="E86" s="562" t="str">
        <f>IF(OR(TABLERO!Y86="",TABLERO!Y86=0),"",TABLERO!Y86)</f>
        <v/>
      </c>
      <c r="F86" s="562" t="str">
        <f>IF(OR(TABLERO!Z86="",TABLERO!Z86=0),"",TABLERO!Z86)</f>
        <v/>
      </c>
      <c r="G86" s="562" t="str">
        <f>IF(OR(TABLERO!AA86="",TABLERO!AA86=0),"",TABLERO!AA86)</f>
        <v/>
      </c>
      <c r="H86" s="562" t="str">
        <f>IF(OR(TABLERO!AB86="",TABLERO!AB86=0),"",TABLERO!AB86)</f>
        <v/>
      </c>
      <c r="I86" s="562" t="str">
        <f>IF(OR(TABLERO!AC86="",TABLERO!AC86=0),"",TABLERO!AC86)</f>
        <v/>
      </c>
      <c r="J86" s="562" t="str">
        <f>IF(OR(TABLERO!AD86="",TABLERO!AD86=0),"",TABLERO!AD86)</f>
        <v/>
      </c>
      <c r="K86" s="562" t="str">
        <f>IF(OR(TABLERO!AE86="",TABLERO!AE86=0),"",TABLERO!AE86)</f>
        <v/>
      </c>
      <c r="L86" s="562" t="str">
        <f>IF(OR(TABLERO!AF86="",TABLERO!AF86=0),"",TABLERO!AF86)</f>
        <v/>
      </c>
      <c r="M86" s="562" t="str">
        <f>IF(OR(TABLERO!AG86="",TABLERO!AG86=0),"",TABLERO!AG86)</f>
        <v/>
      </c>
      <c r="N86" s="562" t="str">
        <f>IF(OR(TABLERO!AH86="",TABLERO!AH86=0),"",TABLERO!AH86)</f>
        <v/>
      </c>
      <c r="O86" s="562" t="str">
        <f>IF(OR(TABLERO!AI86="",TABLERO!AI86=0),"",TABLERO!AI86)</f>
        <v/>
      </c>
      <c r="P86" s="562" t="str">
        <f>IF(OR(TABLERO!AJ86="",TABLERO!AJ86=0),"",TABLERO!AJ86)</f>
        <v/>
      </c>
      <c r="Q86" s="562" t="str">
        <f>IF(OR(TABLERO!AK86="",TABLERO!AK86=0),"",TABLERO!AK86)</f>
        <v/>
      </c>
      <c r="R86" s="562" t="str">
        <f>IF(OR(TABLERO!AL86="",TABLERO!AL86=0),"",TABLERO!AL86)</f>
        <v/>
      </c>
      <c r="S86" s="562" t="str">
        <f>IF(OR(TABLERO!AM86="",TABLERO!AM86=0),"",TABLERO!AM86)</f>
        <v/>
      </c>
      <c r="T86" s="562" t="str">
        <f>IF(OR(TABLERO!AN86="",TABLERO!AN86=0),"",TABLERO!AN86)</f>
        <v/>
      </c>
      <c r="U86" s="562" t="str">
        <f>IF(OR(TABLERO!AO86="",TABLERO!AO86=0),"",TABLERO!AO86)</f>
        <v/>
      </c>
      <c r="V86" s="562" t="str">
        <f>IF(OR(TABLERO!AP86="",TABLERO!AP86=0),"",TABLERO!AP86)</f>
        <v/>
      </c>
      <c r="W86" s="562" t="str">
        <f>IF(OR(TABLERO!AQ86="",TABLERO!AQ86=0),"",TABLERO!AQ86)</f>
        <v/>
      </c>
      <c r="X86" s="562" t="str">
        <f>IF(OR(TABLERO!AR86="",TABLERO!AR86=0),"",TABLERO!AR86)</f>
        <v/>
      </c>
      <c r="Y86" s="562" t="str">
        <f>IF(OR(TABLERO!AS86="",TABLERO!AS86=0),"",TABLERO!AS86)</f>
        <v/>
      </c>
      <c r="Z86" s="562" t="str">
        <f>IF(OR(TABLERO!AT86="",TABLERO!AT86=0),"",TABLERO!AT86)</f>
        <v/>
      </c>
      <c r="AA86" s="562" t="str">
        <f>IF(OR(TABLERO!AU86="",TABLERO!AU86=0),"",TABLERO!AU86)</f>
        <v/>
      </c>
      <c r="AB86" s="562" t="str">
        <f>IF(OR(TABLERO!AV86="",TABLERO!AV86=0),"",TABLERO!AV86)</f>
        <v/>
      </c>
      <c r="AC86" s="562" t="str">
        <f>IF(OR(TABLERO!AW86="",TABLERO!AW86=0),"",TABLERO!AW86)</f>
        <v/>
      </c>
      <c r="AD86" s="562" t="str">
        <f>IF(OR(TABLERO!AX86="",TABLERO!AX86=0),"",TABLERO!AX86)</f>
        <v/>
      </c>
      <c r="AE86" s="562" t="str">
        <f>IF(OR(TABLERO!AY86="",TABLERO!AY86=0),"",TABLERO!AY86)</f>
        <v/>
      </c>
      <c r="AF86" s="562" t="str">
        <f>IF(OR(TABLERO!AZ86="",TABLERO!AZ86=0),"",TABLERO!AZ86)</f>
        <v/>
      </c>
      <c r="AG86" s="562" t="str">
        <f>IF(OR(TABLERO!BA86="",TABLERO!BA86=0),"",TABLERO!BA86)</f>
        <v/>
      </c>
      <c r="AH86" s="48" t="str">
        <f>IF(TABLERO!BB86=0,"",IF(TABLERO!$F$17&lt;&gt;"KVA",TABLERO!BB86*1000,TABLERO!BB86*1000/TABLERO!DA86))</f>
        <v/>
      </c>
      <c r="AI86" s="48" t="str">
        <f>IF(TABLERO!BB86=0,"",IF(TABLERO!$F$17&lt;&gt;"KVA",TABLERO!BT86*1000,TABLERO!BT86*1000/TABLERO!DA86))</f>
        <v/>
      </c>
      <c r="AJ86" s="44" t="str">
        <f>IF(OR(TABLERO!BU86="",TABLERO!BU86=0),"",TABLERO!BU86)</f>
        <v/>
      </c>
      <c r="AK86" s="562" t="str">
        <f>IF(TABLERO!BB86=0,"",TABLERO!F86)</f>
        <v/>
      </c>
      <c r="AL86" s="562" t="str">
        <f>IF(TABLERO!BB86=0,"",TABLERO!G86)</f>
        <v/>
      </c>
      <c r="AM86" s="562" t="str">
        <f>IF(TABLERO!BB86=0,"",TABLERO!BV86)</f>
        <v/>
      </c>
      <c r="AN86" s="44" t="str">
        <f>IF(TABLERO!BB86=0,"",TABLERO!K86)</f>
        <v/>
      </c>
      <c r="AO86" s="562" t="str">
        <f>IF(TABLERO!BB86=0,"",TABLERO!J86)</f>
        <v/>
      </c>
      <c r="AP86" s="44" t="str">
        <f>IF(TABLERO!BB86=0,"",TABLERO!CT86)</f>
        <v/>
      </c>
      <c r="AQ86" s="44" t="str">
        <f>IF(TABLERO!BB86=0,"",TABLERO!CS86)</f>
        <v/>
      </c>
      <c r="AR86" s="44" t="str">
        <f>IF(TABLERO!BB86=0,"",TABLERO!CY86)</f>
        <v/>
      </c>
      <c r="AS86" s="562" t="str">
        <f>IF(TABLERO!BB86=0,"",TABLERO!N86)</f>
        <v/>
      </c>
      <c r="AT86" s="1079" t="str">
        <f>IF(TABLERO!BB86=0,"",TABLERO!BX86&amp;" "&amp;TABLERO!ED86&amp;", "&amp;TABLERO!I86)</f>
        <v/>
      </c>
      <c r="AU86" s="1080"/>
      <c r="AV86" s="44" t="str">
        <f>IF(TABLERO!BB86=0,"",TABLERO!BZ86)</f>
        <v/>
      </c>
      <c r="AW86" s="562" t="str">
        <f>IF(TABLERO!BB86=0,"",TABLERO!CA86)</f>
        <v/>
      </c>
      <c r="AX86" s="43" t="str">
        <f>IF(TABLERO!BB86=0,"",TABLERO!CB86)</f>
        <v/>
      </c>
      <c r="AY86" s="44" t="str">
        <f>IF(TABLERO!BB86=0,"",TABLERO!DL86)</f>
        <v/>
      </c>
      <c r="AZ86" s="576" t="str">
        <f>IF(OR(TABLERO!BB86=0,TABLERO!H86="RE"),"",TABLERO!F86&amp;"P-"&amp;TABLERO!BW86&amp;"A")</f>
        <v/>
      </c>
      <c r="BA86" s="44" t="str">
        <f>IF(TABLERO!BB86=0,"",TABLERO!CI86)</f>
        <v/>
      </c>
      <c r="BB86" s="44" t="str">
        <f>IF(TABLERO!BB86=0,"",TABLERO!CJ86)</f>
        <v/>
      </c>
      <c r="BC86" s="49" t="str">
        <f>IF(TABLERO!BB86=0,"",TABLERO!CK86)</f>
        <v/>
      </c>
      <c r="BG86" s="46">
        <f>IF(TABLERO!B86="",0,TABLERO!B86)</f>
        <v>56</v>
      </c>
      <c r="BH86" s="46">
        <f>IF(TABLERO!C86="",BG86,TABLERO!C86)</f>
        <v>56</v>
      </c>
      <c r="BI86" s="46">
        <f>IF(TABLERO!D86="",BG86,TABLERO!D86)</f>
        <v>56</v>
      </c>
      <c r="BJ86" s="50">
        <f t="shared" si="2"/>
        <v>0</v>
      </c>
    </row>
    <row r="87" spans="1:62" hidden="1">
      <c r="A87" s="46">
        <f>IF(OR(BG87&gt;TABLERO!$M$19,BH87&gt;TABLERO!$M$19,BI87&gt;TABLERO!$M$19,BG87=0,BH87=0,BI87=0),2,1)</f>
        <v>2</v>
      </c>
      <c r="B87" s="47" t="str">
        <f>TABLERO!B87&amp;IF(TABLERO!C87="","",","&amp;TABLERO!C87)&amp;IF(TABLERO!D87="","",","&amp;TABLERO!D87)</f>
        <v>57</v>
      </c>
      <c r="C87" s="42" t="str">
        <f>IF(TABLERO!E87=0,"",TABLERO!E87)</f>
        <v/>
      </c>
      <c r="D87" s="562" t="str">
        <f>IF(OR(TABLERO!X87="",TABLERO!X87=0),"",TABLERO!X87)</f>
        <v/>
      </c>
      <c r="E87" s="562" t="str">
        <f>IF(OR(TABLERO!Y87="",TABLERO!Y87=0),"",TABLERO!Y87)</f>
        <v/>
      </c>
      <c r="F87" s="562" t="str">
        <f>IF(OR(TABLERO!Z87="",TABLERO!Z87=0),"",TABLERO!Z87)</f>
        <v/>
      </c>
      <c r="G87" s="562" t="str">
        <f>IF(OR(TABLERO!AA87="",TABLERO!AA87=0),"",TABLERO!AA87)</f>
        <v/>
      </c>
      <c r="H87" s="562" t="str">
        <f>IF(OR(TABLERO!AB87="",TABLERO!AB87=0),"",TABLERO!AB87)</f>
        <v/>
      </c>
      <c r="I87" s="562" t="str">
        <f>IF(OR(TABLERO!AC87="",TABLERO!AC87=0),"",TABLERO!AC87)</f>
        <v/>
      </c>
      <c r="J87" s="562" t="str">
        <f>IF(OR(TABLERO!AD87="",TABLERO!AD87=0),"",TABLERO!AD87)</f>
        <v/>
      </c>
      <c r="K87" s="562" t="str">
        <f>IF(OR(TABLERO!AE87="",TABLERO!AE87=0),"",TABLERO!AE87)</f>
        <v/>
      </c>
      <c r="L87" s="562" t="str">
        <f>IF(OR(TABLERO!AF87="",TABLERO!AF87=0),"",TABLERO!AF87)</f>
        <v/>
      </c>
      <c r="M87" s="562" t="str">
        <f>IF(OR(TABLERO!AG87="",TABLERO!AG87=0),"",TABLERO!AG87)</f>
        <v/>
      </c>
      <c r="N87" s="562" t="str">
        <f>IF(OR(TABLERO!AH87="",TABLERO!AH87=0),"",TABLERO!AH87)</f>
        <v/>
      </c>
      <c r="O87" s="562" t="str">
        <f>IF(OR(TABLERO!AI87="",TABLERO!AI87=0),"",TABLERO!AI87)</f>
        <v/>
      </c>
      <c r="P87" s="562" t="str">
        <f>IF(OR(TABLERO!AJ87="",TABLERO!AJ87=0),"",TABLERO!AJ87)</f>
        <v/>
      </c>
      <c r="Q87" s="562" t="str">
        <f>IF(OR(TABLERO!AK87="",TABLERO!AK87=0),"",TABLERO!AK87)</f>
        <v/>
      </c>
      <c r="R87" s="562" t="str">
        <f>IF(OR(TABLERO!AL87="",TABLERO!AL87=0),"",TABLERO!AL87)</f>
        <v/>
      </c>
      <c r="S87" s="562" t="str">
        <f>IF(OR(TABLERO!AM87="",TABLERO!AM87=0),"",TABLERO!AM87)</f>
        <v/>
      </c>
      <c r="T87" s="562" t="str">
        <f>IF(OR(TABLERO!AN87="",TABLERO!AN87=0),"",TABLERO!AN87)</f>
        <v/>
      </c>
      <c r="U87" s="562" t="str">
        <f>IF(OR(TABLERO!AO87="",TABLERO!AO87=0),"",TABLERO!AO87)</f>
        <v/>
      </c>
      <c r="V87" s="562" t="str">
        <f>IF(OR(TABLERO!AP87="",TABLERO!AP87=0),"",TABLERO!AP87)</f>
        <v/>
      </c>
      <c r="W87" s="562" t="str">
        <f>IF(OR(TABLERO!AQ87="",TABLERO!AQ87=0),"",TABLERO!AQ87)</f>
        <v/>
      </c>
      <c r="X87" s="562" t="str">
        <f>IF(OR(TABLERO!AR87="",TABLERO!AR87=0),"",TABLERO!AR87)</f>
        <v/>
      </c>
      <c r="Y87" s="562" t="str">
        <f>IF(OR(TABLERO!AS87="",TABLERO!AS87=0),"",TABLERO!AS87)</f>
        <v/>
      </c>
      <c r="Z87" s="562" t="str">
        <f>IF(OR(TABLERO!AT87="",TABLERO!AT87=0),"",TABLERO!AT87)</f>
        <v/>
      </c>
      <c r="AA87" s="562" t="str">
        <f>IF(OR(TABLERO!AU87="",TABLERO!AU87=0),"",TABLERO!AU87)</f>
        <v/>
      </c>
      <c r="AB87" s="562" t="str">
        <f>IF(OR(TABLERO!AV87="",TABLERO!AV87=0),"",TABLERO!AV87)</f>
        <v/>
      </c>
      <c r="AC87" s="562" t="str">
        <f>IF(OR(TABLERO!AW87="",TABLERO!AW87=0),"",TABLERO!AW87)</f>
        <v/>
      </c>
      <c r="AD87" s="562" t="str">
        <f>IF(OR(TABLERO!AX87="",TABLERO!AX87=0),"",TABLERO!AX87)</f>
        <v/>
      </c>
      <c r="AE87" s="562" t="str">
        <f>IF(OR(TABLERO!AY87="",TABLERO!AY87=0),"",TABLERO!AY87)</f>
        <v/>
      </c>
      <c r="AF87" s="562" t="str">
        <f>IF(OR(TABLERO!AZ87="",TABLERO!AZ87=0),"",TABLERO!AZ87)</f>
        <v/>
      </c>
      <c r="AG87" s="562" t="str">
        <f>IF(OR(TABLERO!BA87="",TABLERO!BA87=0),"",TABLERO!BA87)</f>
        <v/>
      </c>
      <c r="AH87" s="48" t="str">
        <f>IF(TABLERO!BB87=0,"",IF(TABLERO!$F$17&lt;&gt;"KVA",TABLERO!BB87*1000,TABLERO!BB87*1000/TABLERO!DA87))</f>
        <v/>
      </c>
      <c r="AI87" s="48" t="str">
        <f>IF(TABLERO!BB87=0,"",IF(TABLERO!$F$17&lt;&gt;"KVA",TABLERO!BT87*1000,TABLERO!BT87*1000/TABLERO!DA87))</f>
        <v/>
      </c>
      <c r="AJ87" s="44" t="str">
        <f>IF(OR(TABLERO!BU87="",TABLERO!BU87=0),"",TABLERO!BU87)</f>
        <v/>
      </c>
      <c r="AK87" s="562" t="str">
        <f>IF(TABLERO!BB87=0,"",TABLERO!F87)</f>
        <v/>
      </c>
      <c r="AL87" s="562" t="str">
        <f>IF(TABLERO!BB87=0,"",TABLERO!G87)</f>
        <v/>
      </c>
      <c r="AM87" s="562" t="str">
        <f>IF(TABLERO!BB87=0,"",TABLERO!BV87)</f>
        <v/>
      </c>
      <c r="AN87" s="44" t="str">
        <f>IF(TABLERO!BB87=0,"",TABLERO!K87)</f>
        <v/>
      </c>
      <c r="AO87" s="562" t="str">
        <f>IF(TABLERO!BB87=0,"",TABLERO!J87)</f>
        <v/>
      </c>
      <c r="AP87" s="44" t="str">
        <f>IF(TABLERO!BB87=0,"",TABLERO!CT87)</f>
        <v/>
      </c>
      <c r="AQ87" s="44" t="str">
        <f>IF(TABLERO!BB87=0,"",TABLERO!CS87)</f>
        <v/>
      </c>
      <c r="AR87" s="44" t="str">
        <f>IF(TABLERO!BB87=0,"",TABLERO!CY87)</f>
        <v/>
      </c>
      <c r="AS87" s="562" t="str">
        <f>IF(TABLERO!BB87=0,"",TABLERO!N87)</f>
        <v/>
      </c>
      <c r="AT87" s="1079" t="str">
        <f>IF(TABLERO!BB87=0,"",TABLERO!BX87&amp;" "&amp;TABLERO!ED87&amp;", "&amp;TABLERO!I87)</f>
        <v/>
      </c>
      <c r="AU87" s="1080"/>
      <c r="AV87" s="44" t="str">
        <f>IF(TABLERO!BB87=0,"",TABLERO!BZ87)</f>
        <v/>
      </c>
      <c r="AW87" s="562" t="str">
        <f>IF(TABLERO!BB87=0,"",TABLERO!CA87)</f>
        <v/>
      </c>
      <c r="AX87" s="43" t="str">
        <f>IF(TABLERO!BB87=0,"",TABLERO!CB87)</f>
        <v/>
      </c>
      <c r="AY87" s="44" t="str">
        <f>IF(TABLERO!BB87=0,"",TABLERO!DL87)</f>
        <v/>
      </c>
      <c r="AZ87" s="576" t="str">
        <f>IF(OR(TABLERO!BB87=0,TABLERO!H87="RE"),"",TABLERO!F87&amp;"P-"&amp;TABLERO!BW87&amp;"A")</f>
        <v/>
      </c>
      <c r="BA87" s="44" t="str">
        <f>IF(TABLERO!BB87=0,"",TABLERO!CI87)</f>
        <v/>
      </c>
      <c r="BB87" s="44" t="str">
        <f>IF(TABLERO!BB87=0,"",TABLERO!CJ87)</f>
        <v/>
      </c>
      <c r="BC87" s="49" t="str">
        <f>IF(TABLERO!BB87=0,"",TABLERO!CK87)</f>
        <v/>
      </c>
      <c r="BG87" s="46">
        <f>IF(TABLERO!B87="",0,TABLERO!B87)</f>
        <v>57</v>
      </c>
      <c r="BH87" s="46">
        <f>IF(TABLERO!C87="",BG87,TABLERO!C87)</f>
        <v>57</v>
      </c>
      <c r="BI87" s="46">
        <f>IF(TABLERO!D87="",BG87,TABLERO!D87)</f>
        <v>57</v>
      </c>
      <c r="BJ87" s="50">
        <f t="shared" si="2"/>
        <v>0</v>
      </c>
    </row>
    <row r="88" spans="1:62" hidden="1">
      <c r="A88" s="46">
        <f>IF(OR(BG88&gt;TABLERO!$M$19,BH88&gt;TABLERO!$M$19,BI88&gt;TABLERO!$M$19,BG88=0,BH88=0,BI88=0),2,1)</f>
        <v>2</v>
      </c>
      <c r="B88" s="47" t="str">
        <f>TABLERO!B88&amp;IF(TABLERO!C88="","",","&amp;TABLERO!C88)&amp;IF(TABLERO!D88="","",","&amp;TABLERO!D88)</f>
        <v>58</v>
      </c>
      <c r="C88" s="42" t="str">
        <f>IF(TABLERO!E88=0,"",TABLERO!E88)</f>
        <v/>
      </c>
      <c r="D88" s="562" t="str">
        <f>IF(OR(TABLERO!X88="",TABLERO!X88=0),"",TABLERO!X88)</f>
        <v/>
      </c>
      <c r="E88" s="562" t="str">
        <f>IF(OR(TABLERO!Y88="",TABLERO!Y88=0),"",TABLERO!Y88)</f>
        <v/>
      </c>
      <c r="F88" s="562" t="str">
        <f>IF(OR(TABLERO!Z88="",TABLERO!Z88=0),"",TABLERO!Z88)</f>
        <v/>
      </c>
      <c r="G88" s="562" t="str">
        <f>IF(OR(TABLERO!AA88="",TABLERO!AA88=0),"",TABLERO!AA88)</f>
        <v/>
      </c>
      <c r="H88" s="562" t="str">
        <f>IF(OR(TABLERO!AB88="",TABLERO!AB88=0),"",TABLERO!AB88)</f>
        <v/>
      </c>
      <c r="I88" s="562" t="str">
        <f>IF(OR(TABLERO!AC88="",TABLERO!AC88=0),"",TABLERO!AC88)</f>
        <v/>
      </c>
      <c r="J88" s="562" t="str">
        <f>IF(OR(TABLERO!AD88="",TABLERO!AD88=0),"",TABLERO!AD88)</f>
        <v/>
      </c>
      <c r="K88" s="562" t="str">
        <f>IF(OR(TABLERO!AE88="",TABLERO!AE88=0),"",TABLERO!AE88)</f>
        <v/>
      </c>
      <c r="L88" s="562" t="str">
        <f>IF(OR(TABLERO!AF88="",TABLERO!AF88=0),"",TABLERO!AF88)</f>
        <v/>
      </c>
      <c r="M88" s="562" t="str">
        <f>IF(OR(TABLERO!AG88="",TABLERO!AG88=0),"",TABLERO!AG88)</f>
        <v/>
      </c>
      <c r="N88" s="562" t="str">
        <f>IF(OR(TABLERO!AH88="",TABLERO!AH88=0),"",TABLERO!AH88)</f>
        <v/>
      </c>
      <c r="O88" s="562" t="str">
        <f>IF(OR(TABLERO!AI88="",TABLERO!AI88=0),"",TABLERO!AI88)</f>
        <v/>
      </c>
      <c r="P88" s="562" t="str">
        <f>IF(OR(TABLERO!AJ88="",TABLERO!AJ88=0),"",TABLERO!AJ88)</f>
        <v/>
      </c>
      <c r="Q88" s="562" t="str">
        <f>IF(OR(TABLERO!AK88="",TABLERO!AK88=0),"",TABLERO!AK88)</f>
        <v/>
      </c>
      <c r="R88" s="562" t="str">
        <f>IF(OR(TABLERO!AL88="",TABLERO!AL88=0),"",TABLERO!AL88)</f>
        <v/>
      </c>
      <c r="S88" s="562" t="str">
        <f>IF(OR(TABLERO!AM88="",TABLERO!AM88=0),"",TABLERO!AM88)</f>
        <v/>
      </c>
      <c r="T88" s="562" t="str">
        <f>IF(OR(TABLERO!AN88="",TABLERO!AN88=0),"",TABLERO!AN88)</f>
        <v/>
      </c>
      <c r="U88" s="562" t="str">
        <f>IF(OR(TABLERO!AO88="",TABLERO!AO88=0),"",TABLERO!AO88)</f>
        <v/>
      </c>
      <c r="V88" s="562" t="str">
        <f>IF(OR(TABLERO!AP88="",TABLERO!AP88=0),"",TABLERO!AP88)</f>
        <v/>
      </c>
      <c r="W88" s="562" t="str">
        <f>IF(OR(TABLERO!AQ88="",TABLERO!AQ88=0),"",TABLERO!AQ88)</f>
        <v/>
      </c>
      <c r="X88" s="562" t="str">
        <f>IF(OR(TABLERO!AR88="",TABLERO!AR88=0),"",TABLERO!AR88)</f>
        <v/>
      </c>
      <c r="Y88" s="562" t="str">
        <f>IF(OR(TABLERO!AS88="",TABLERO!AS88=0),"",TABLERO!AS88)</f>
        <v/>
      </c>
      <c r="Z88" s="562" t="str">
        <f>IF(OR(TABLERO!AT88="",TABLERO!AT88=0),"",TABLERO!AT88)</f>
        <v/>
      </c>
      <c r="AA88" s="562" t="str">
        <f>IF(OR(TABLERO!AU88="",TABLERO!AU88=0),"",TABLERO!AU88)</f>
        <v/>
      </c>
      <c r="AB88" s="562" t="str">
        <f>IF(OR(TABLERO!AV88="",TABLERO!AV88=0),"",TABLERO!AV88)</f>
        <v/>
      </c>
      <c r="AC88" s="562" t="str">
        <f>IF(OR(TABLERO!AW88="",TABLERO!AW88=0),"",TABLERO!AW88)</f>
        <v/>
      </c>
      <c r="AD88" s="562" t="str">
        <f>IF(OR(TABLERO!AX88="",TABLERO!AX88=0),"",TABLERO!AX88)</f>
        <v/>
      </c>
      <c r="AE88" s="562" t="str">
        <f>IF(OR(TABLERO!AY88="",TABLERO!AY88=0),"",TABLERO!AY88)</f>
        <v/>
      </c>
      <c r="AF88" s="562" t="str">
        <f>IF(OR(TABLERO!AZ88="",TABLERO!AZ88=0),"",TABLERO!AZ88)</f>
        <v/>
      </c>
      <c r="AG88" s="562" t="str">
        <f>IF(OR(TABLERO!BA88="",TABLERO!BA88=0),"",TABLERO!BA88)</f>
        <v/>
      </c>
      <c r="AH88" s="48" t="str">
        <f>IF(TABLERO!BB88=0,"",IF(TABLERO!$F$17&lt;&gt;"KVA",TABLERO!BB88*1000,TABLERO!BB88*1000/TABLERO!DA88))</f>
        <v/>
      </c>
      <c r="AI88" s="48" t="str">
        <f>IF(TABLERO!BB88=0,"",IF(TABLERO!$F$17&lt;&gt;"KVA",TABLERO!BT88*1000,TABLERO!BT88*1000/TABLERO!DA88))</f>
        <v/>
      </c>
      <c r="AJ88" s="44" t="str">
        <f>IF(OR(TABLERO!BU88="",TABLERO!BU88=0),"",TABLERO!BU88)</f>
        <v/>
      </c>
      <c r="AK88" s="562" t="str">
        <f>IF(TABLERO!BB88=0,"",TABLERO!F88)</f>
        <v/>
      </c>
      <c r="AL88" s="562" t="str">
        <f>IF(TABLERO!BB88=0,"",TABLERO!G88)</f>
        <v/>
      </c>
      <c r="AM88" s="562" t="str">
        <f>IF(TABLERO!BB88=0,"",TABLERO!BV88)</f>
        <v/>
      </c>
      <c r="AN88" s="44" t="str">
        <f>IF(TABLERO!BB88=0,"",TABLERO!K88)</f>
        <v/>
      </c>
      <c r="AO88" s="562" t="str">
        <f>IF(TABLERO!BB88=0,"",TABLERO!J88)</f>
        <v/>
      </c>
      <c r="AP88" s="44" t="str">
        <f>IF(TABLERO!BB88=0,"",TABLERO!CT88)</f>
        <v/>
      </c>
      <c r="AQ88" s="44" t="str">
        <f>IF(TABLERO!BB88=0,"",TABLERO!CS88)</f>
        <v/>
      </c>
      <c r="AR88" s="44" t="str">
        <f>IF(TABLERO!BB88=0,"",TABLERO!CY88)</f>
        <v/>
      </c>
      <c r="AS88" s="562" t="str">
        <f>IF(TABLERO!BB88=0,"",TABLERO!N88)</f>
        <v/>
      </c>
      <c r="AT88" s="1079" t="str">
        <f>IF(TABLERO!BB88=0,"",TABLERO!BX88&amp;" "&amp;TABLERO!ED88&amp;", "&amp;TABLERO!I88)</f>
        <v/>
      </c>
      <c r="AU88" s="1080"/>
      <c r="AV88" s="44" t="str">
        <f>IF(TABLERO!BB88=0,"",TABLERO!BZ88)</f>
        <v/>
      </c>
      <c r="AW88" s="562" t="str">
        <f>IF(TABLERO!BB88=0,"",TABLERO!CA88)</f>
        <v/>
      </c>
      <c r="AX88" s="43" t="str">
        <f>IF(TABLERO!BB88=0,"",TABLERO!CB88)</f>
        <v/>
      </c>
      <c r="AY88" s="44" t="str">
        <f>IF(TABLERO!BB88=0,"",TABLERO!DL88)</f>
        <v/>
      </c>
      <c r="AZ88" s="576" t="str">
        <f>IF(OR(TABLERO!BB88=0,TABLERO!H88="RE"),"",TABLERO!F88&amp;"P-"&amp;TABLERO!BW88&amp;"A")</f>
        <v/>
      </c>
      <c r="BA88" s="44" t="str">
        <f>IF(TABLERO!BB88=0,"",TABLERO!CI88)</f>
        <v/>
      </c>
      <c r="BB88" s="44" t="str">
        <f>IF(TABLERO!BB88=0,"",TABLERO!CJ88)</f>
        <v/>
      </c>
      <c r="BC88" s="49" t="str">
        <f>IF(TABLERO!BB88=0,"",TABLERO!CK88)</f>
        <v/>
      </c>
      <c r="BG88" s="46">
        <f>IF(TABLERO!B88="",0,TABLERO!B88)</f>
        <v>58</v>
      </c>
      <c r="BH88" s="46">
        <f>IF(TABLERO!C88="",BG88,TABLERO!C88)</f>
        <v>58</v>
      </c>
      <c r="BI88" s="46">
        <f>IF(TABLERO!D88="",BG88,TABLERO!D88)</f>
        <v>58</v>
      </c>
      <c r="BJ88" s="50">
        <f t="shared" si="2"/>
        <v>0</v>
      </c>
    </row>
    <row r="89" spans="1:62" hidden="1">
      <c r="A89" s="46">
        <f>IF(OR(BG89&gt;TABLERO!$M$19,BH89&gt;TABLERO!$M$19,BI89&gt;TABLERO!$M$19,BG89=0,BH89=0,BI89=0),2,1)</f>
        <v>2</v>
      </c>
      <c r="B89" s="47" t="str">
        <f>TABLERO!B89&amp;IF(TABLERO!C89="","",","&amp;TABLERO!C89)&amp;IF(TABLERO!D89="","",","&amp;TABLERO!D89)</f>
        <v>59</v>
      </c>
      <c r="C89" s="42" t="str">
        <f>IF(TABLERO!E89=0,"",TABLERO!E89)</f>
        <v/>
      </c>
      <c r="D89" s="562" t="str">
        <f>IF(OR(TABLERO!X89="",TABLERO!X89=0),"",TABLERO!X89)</f>
        <v/>
      </c>
      <c r="E89" s="562" t="str">
        <f>IF(OR(TABLERO!Y89="",TABLERO!Y89=0),"",TABLERO!Y89)</f>
        <v/>
      </c>
      <c r="F89" s="562" t="str">
        <f>IF(OR(TABLERO!Z89="",TABLERO!Z89=0),"",TABLERO!Z89)</f>
        <v/>
      </c>
      <c r="G89" s="562" t="str">
        <f>IF(OR(TABLERO!AA89="",TABLERO!AA89=0),"",TABLERO!AA89)</f>
        <v/>
      </c>
      <c r="H89" s="562" t="str">
        <f>IF(OR(TABLERO!AB89="",TABLERO!AB89=0),"",TABLERO!AB89)</f>
        <v/>
      </c>
      <c r="I89" s="562" t="str">
        <f>IF(OR(TABLERO!AC89="",TABLERO!AC89=0),"",TABLERO!AC89)</f>
        <v/>
      </c>
      <c r="J89" s="562" t="str">
        <f>IF(OR(TABLERO!AD89="",TABLERO!AD89=0),"",TABLERO!AD89)</f>
        <v/>
      </c>
      <c r="K89" s="562" t="str">
        <f>IF(OR(TABLERO!AE89="",TABLERO!AE89=0),"",TABLERO!AE89)</f>
        <v/>
      </c>
      <c r="L89" s="562" t="str">
        <f>IF(OR(TABLERO!AF89="",TABLERO!AF89=0),"",TABLERO!AF89)</f>
        <v/>
      </c>
      <c r="M89" s="562" t="str">
        <f>IF(OR(TABLERO!AG89="",TABLERO!AG89=0),"",TABLERO!AG89)</f>
        <v/>
      </c>
      <c r="N89" s="562" t="str">
        <f>IF(OR(TABLERO!AH89="",TABLERO!AH89=0),"",TABLERO!AH89)</f>
        <v/>
      </c>
      <c r="O89" s="562" t="str">
        <f>IF(OR(TABLERO!AI89="",TABLERO!AI89=0),"",TABLERO!AI89)</f>
        <v/>
      </c>
      <c r="P89" s="562" t="str">
        <f>IF(OR(TABLERO!AJ89="",TABLERO!AJ89=0),"",TABLERO!AJ89)</f>
        <v/>
      </c>
      <c r="Q89" s="562" t="str">
        <f>IF(OR(TABLERO!AK89="",TABLERO!AK89=0),"",TABLERO!AK89)</f>
        <v/>
      </c>
      <c r="R89" s="562" t="str">
        <f>IF(OR(TABLERO!AL89="",TABLERO!AL89=0),"",TABLERO!AL89)</f>
        <v/>
      </c>
      <c r="S89" s="562" t="str">
        <f>IF(OR(TABLERO!AM89="",TABLERO!AM89=0),"",TABLERO!AM89)</f>
        <v/>
      </c>
      <c r="T89" s="562" t="str">
        <f>IF(OR(TABLERO!AN89="",TABLERO!AN89=0),"",TABLERO!AN89)</f>
        <v/>
      </c>
      <c r="U89" s="562" t="str">
        <f>IF(OR(TABLERO!AO89="",TABLERO!AO89=0),"",TABLERO!AO89)</f>
        <v/>
      </c>
      <c r="V89" s="562" t="str">
        <f>IF(OR(TABLERO!AP89="",TABLERO!AP89=0),"",TABLERO!AP89)</f>
        <v/>
      </c>
      <c r="W89" s="562" t="str">
        <f>IF(OR(TABLERO!AQ89="",TABLERO!AQ89=0),"",TABLERO!AQ89)</f>
        <v/>
      </c>
      <c r="X89" s="562" t="str">
        <f>IF(OR(TABLERO!AR89="",TABLERO!AR89=0),"",TABLERO!AR89)</f>
        <v/>
      </c>
      <c r="Y89" s="562" t="str">
        <f>IF(OR(TABLERO!AS89="",TABLERO!AS89=0),"",TABLERO!AS89)</f>
        <v/>
      </c>
      <c r="Z89" s="562" t="str">
        <f>IF(OR(TABLERO!AT89="",TABLERO!AT89=0),"",TABLERO!AT89)</f>
        <v/>
      </c>
      <c r="AA89" s="562" t="str">
        <f>IF(OR(TABLERO!AU89="",TABLERO!AU89=0),"",TABLERO!AU89)</f>
        <v/>
      </c>
      <c r="AB89" s="562" t="str">
        <f>IF(OR(TABLERO!AV89="",TABLERO!AV89=0),"",TABLERO!AV89)</f>
        <v/>
      </c>
      <c r="AC89" s="562" t="str">
        <f>IF(OR(TABLERO!AW89="",TABLERO!AW89=0),"",TABLERO!AW89)</f>
        <v/>
      </c>
      <c r="AD89" s="562" t="str">
        <f>IF(OR(TABLERO!AX89="",TABLERO!AX89=0),"",TABLERO!AX89)</f>
        <v/>
      </c>
      <c r="AE89" s="562" t="str">
        <f>IF(OR(TABLERO!AY89="",TABLERO!AY89=0),"",TABLERO!AY89)</f>
        <v/>
      </c>
      <c r="AF89" s="562" t="str">
        <f>IF(OR(TABLERO!AZ89="",TABLERO!AZ89=0),"",TABLERO!AZ89)</f>
        <v/>
      </c>
      <c r="AG89" s="562" t="str">
        <f>IF(OR(TABLERO!BA89="",TABLERO!BA89=0),"",TABLERO!BA89)</f>
        <v/>
      </c>
      <c r="AH89" s="48" t="str">
        <f>IF(TABLERO!BB89=0,"",IF(TABLERO!$F$17&lt;&gt;"KVA",TABLERO!BB89*1000,TABLERO!BB89*1000/TABLERO!DA89))</f>
        <v/>
      </c>
      <c r="AI89" s="48" t="str">
        <f>IF(TABLERO!BB89=0,"",IF(TABLERO!$F$17&lt;&gt;"KVA",TABLERO!BT89*1000,TABLERO!BT89*1000/TABLERO!DA89))</f>
        <v/>
      </c>
      <c r="AJ89" s="44" t="str">
        <f>IF(OR(TABLERO!BU89="",TABLERO!BU89=0),"",TABLERO!BU89)</f>
        <v/>
      </c>
      <c r="AK89" s="562" t="str">
        <f>IF(TABLERO!BB89=0,"",TABLERO!F89)</f>
        <v/>
      </c>
      <c r="AL89" s="562" t="str">
        <f>IF(TABLERO!BB89=0,"",TABLERO!G89)</f>
        <v/>
      </c>
      <c r="AM89" s="562" t="str">
        <f>IF(TABLERO!BB89=0,"",TABLERO!BV89)</f>
        <v/>
      </c>
      <c r="AN89" s="44" t="str">
        <f>IF(TABLERO!BB89=0,"",TABLERO!K89)</f>
        <v/>
      </c>
      <c r="AO89" s="562" t="str">
        <f>IF(TABLERO!BB89=0,"",TABLERO!J89)</f>
        <v/>
      </c>
      <c r="AP89" s="44" t="str">
        <f>IF(TABLERO!BB89=0,"",TABLERO!CT89)</f>
        <v/>
      </c>
      <c r="AQ89" s="44" t="str">
        <f>IF(TABLERO!BB89=0,"",TABLERO!CS89)</f>
        <v/>
      </c>
      <c r="AR89" s="44" t="str">
        <f>IF(TABLERO!BB89=0,"",TABLERO!CY89)</f>
        <v/>
      </c>
      <c r="AS89" s="562" t="str">
        <f>IF(TABLERO!BB89=0,"",TABLERO!N89)</f>
        <v/>
      </c>
      <c r="AT89" s="1079" t="str">
        <f>IF(TABLERO!BB89=0,"",TABLERO!BX89&amp;" "&amp;TABLERO!ED89&amp;", "&amp;TABLERO!I89)</f>
        <v/>
      </c>
      <c r="AU89" s="1080"/>
      <c r="AV89" s="44" t="str">
        <f>IF(TABLERO!BB89=0,"",TABLERO!BZ89)</f>
        <v/>
      </c>
      <c r="AW89" s="562" t="str">
        <f>IF(TABLERO!BB89=0,"",TABLERO!CA89)</f>
        <v/>
      </c>
      <c r="AX89" s="43" t="str">
        <f>IF(TABLERO!BB89=0,"",TABLERO!CB89)</f>
        <v/>
      </c>
      <c r="AY89" s="44" t="str">
        <f>IF(TABLERO!BB89=0,"",TABLERO!DL89)</f>
        <v/>
      </c>
      <c r="AZ89" s="576" t="str">
        <f>IF(OR(TABLERO!BB89=0,TABLERO!H89="RE"),"",TABLERO!F89&amp;"P-"&amp;TABLERO!BW89&amp;"A")</f>
        <v/>
      </c>
      <c r="BA89" s="44" t="str">
        <f>IF(TABLERO!BB89=0,"",TABLERO!CI89)</f>
        <v/>
      </c>
      <c r="BB89" s="44" t="str">
        <f>IF(TABLERO!BB89=0,"",TABLERO!CJ89)</f>
        <v/>
      </c>
      <c r="BC89" s="49" t="str">
        <f>IF(TABLERO!BB89=0,"",TABLERO!CK89)</f>
        <v/>
      </c>
      <c r="BG89" s="46">
        <f>IF(TABLERO!B89="",0,TABLERO!B89)</f>
        <v>59</v>
      </c>
      <c r="BH89" s="46">
        <f>IF(TABLERO!C89="",BG89,TABLERO!C89)</f>
        <v>59</v>
      </c>
      <c r="BI89" s="46">
        <f>IF(TABLERO!D89="",BG89,TABLERO!D89)</f>
        <v>59</v>
      </c>
      <c r="BJ89" s="50">
        <f t="shared" si="2"/>
        <v>0</v>
      </c>
    </row>
    <row r="90" spans="1:62" hidden="1">
      <c r="A90" s="46">
        <f>IF(OR(BG90&gt;TABLERO!$M$19,BH90&gt;TABLERO!$M$19,BI90&gt;TABLERO!$M$19,BG90=0,BH90=0,BI90=0),2,1)</f>
        <v>2</v>
      </c>
      <c r="B90" s="47" t="str">
        <f>TABLERO!B90&amp;IF(TABLERO!C90="","",","&amp;TABLERO!C90)&amp;IF(TABLERO!D90="","",","&amp;TABLERO!D90)</f>
        <v>60</v>
      </c>
      <c r="C90" s="42" t="str">
        <f>IF(TABLERO!E90=0,"",TABLERO!E90)</f>
        <v/>
      </c>
      <c r="D90" s="562" t="str">
        <f>IF(OR(TABLERO!X90="",TABLERO!X90=0),"",TABLERO!X90)</f>
        <v/>
      </c>
      <c r="E90" s="562" t="str">
        <f>IF(OR(TABLERO!Y90="",TABLERO!Y90=0),"",TABLERO!Y90)</f>
        <v/>
      </c>
      <c r="F90" s="562" t="str">
        <f>IF(OR(TABLERO!Z90="",TABLERO!Z90=0),"",TABLERO!Z90)</f>
        <v/>
      </c>
      <c r="G90" s="562" t="str">
        <f>IF(OR(TABLERO!AA90="",TABLERO!AA90=0),"",TABLERO!AA90)</f>
        <v/>
      </c>
      <c r="H90" s="562" t="str">
        <f>IF(OR(TABLERO!AB90="",TABLERO!AB90=0),"",TABLERO!AB90)</f>
        <v/>
      </c>
      <c r="I90" s="562" t="str">
        <f>IF(OR(TABLERO!AC90="",TABLERO!AC90=0),"",TABLERO!AC90)</f>
        <v/>
      </c>
      <c r="J90" s="562" t="str">
        <f>IF(OR(TABLERO!AD90="",TABLERO!AD90=0),"",TABLERO!AD90)</f>
        <v/>
      </c>
      <c r="K90" s="562" t="str">
        <f>IF(OR(TABLERO!AE90="",TABLERO!AE90=0),"",TABLERO!AE90)</f>
        <v/>
      </c>
      <c r="L90" s="562" t="str">
        <f>IF(OR(TABLERO!AF90="",TABLERO!AF90=0),"",TABLERO!AF90)</f>
        <v/>
      </c>
      <c r="M90" s="562" t="str">
        <f>IF(OR(TABLERO!AG90="",TABLERO!AG90=0),"",TABLERO!AG90)</f>
        <v/>
      </c>
      <c r="N90" s="562" t="str">
        <f>IF(OR(TABLERO!AH90="",TABLERO!AH90=0),"",TABLERO!AH90)</f>
        <v/>
      </c>
      <c r="O90" s="562" t="str">
        <f>IF(OR(TABLERO!AI90="",TABLERO!AI90=0),"",TABLERO!AI90)</f>
        <v/>
      </c>
      <c r="P90" s="562" t="str">
        <f>IF(OR(TABLERO!AJ90="",TABLERO!AJ90=0),"",TABLERO!AJ90)</f>
        <v/>
      </c>
      <c r="Q90" s="562" t="str">
        <f>IF(OR(TABLERO!AK90="",TABLERO!AK90=0),"",TABLERO!AK90)</f>
        <v/>
      </c>
      <c r="R90" s="562" t="str">
        <f>IF(OR(TABLERO!AL90="",TABLERO!AL90=0),"",TABLERO!AL90)</f>
        <v/>
      </c>
      <c r="S90" s="562" t="str">
        <f>IF(OR(TABLERO!AM90="",TABLERO!AM90=0),"",TABLERO!AM90)</f>
        <v/>
      </c>
      <c r="T90" s="562" t="str">
        <f>IF(OR(TABLERO!AN90="",TABLERO!AN90=0),"",TABLERO!AN90)</f>
        <v/>
      </c>
      <c r="U90" s="562" t="str">
        <f>IF(OR(TABLERO!AO90="",TABLERO!AO90=0),"",TABLERO!AO90)</f>
        <v/>
      </c>
      <c r="V90" s="562" t="str">
        <f>IF(OR(TABLERO!AP90="",TABLERO!AP90=0),"",TABLERO!AP90)</f>
        <v/>
      </c>
      <c r="W90" s="562" t="str">
        <f>IF(OR(TABLERO!AQ90="",TABLERO!AQ90=0),"",TABLERO!AQ90)</f>
        <v/>
      </c>
      <c r="X90" s="562" t="str">
        <f>IF(OR(TABLERO!AR90="",TABLERO!AR90=0),"",TABLERO!AR90)</f>
        <v/>
      </c>
      <c r="Y90" s="562" t="str">
        <f>IF(OR(TABLERO!AS90="",TABLERO!AS90=0),"",TABLERO!AS90)</f>
        <v/>
      </c>
      <c r="Z90" s="562" t="str">
        <f>IF(OR(TABLERO!AT90="",TABLERO!AT90=0),"",TABLERO!AT90)</f>
        <v/>
      </c>
      <c r="AA90" s="562" t="str">
        <f>IF(OR(TABLERO!AU90="",TABLERO!AU90=0),"",TABLERO!AU90)</f>
        <v/>
      </c>
      <c r="AB90" s="562" t="str">
        <f>IF(OR(TABLERO!AV90="",TABLERO!AV90=0),"",TABLERO!AV90)</f>
        <v/>
      </c>
      <c r="AC90" s="562" t="str">
        <f>IF(OR(TABLERO!AW90="",TABLERO!AW90=0),"",TABLERO!AW90)</f>
        <v/>
      </c>
      <c r="AD90" s="562" t="str">
        <f>IF(OR(TABLERO!AX90="",TABLERO!AX90=0),"",TABLERO!AX90)</f>
        <v/>
      </c>
      <c r="AE90" s="562" t="str">
        <f>IF(OR(TABLERO!AY90="",TABLERO!AY90=0),"",TABLERO!AY90)</f>
        <v/>
      </c>
      <c r="AF90" s="562" t="str">
        <f>IF(OR(TABLERO!AZ90="",TABLERO!AZ90=0),"",TABLERO!AZ90)</f>
        <v/>
      </c>
      <c r="AG90" s="562" t="str">
        <f>IF(OR(TABLERO!BA90="",TABLERO!BA90=0),"",TABLERO!BA90)</f>
        <v/>
      </c>
      <c r="AH90" s="48" t="str">
        <f>IF(TABLERO!BB90=0,"",IF(TABLERO!$F$17&lt;&gt;"KVA",TABLERO!BB90*1000,TABLERO!BB90*1000/TABLERO!DA90))</f>
        <v/>
      </c>
      <c r="AI90" s="48" t="str">
        <f>IF(TABLERO!BB90=0,"",IF(TABLERO!$F$17&lt;&gt;"KVA",TABLERO!BT90*1000,TABLERO!BT90*1000/TABLERO!DA90))</f>
        <v/>
      </c>
      <c r="AJ90" s="44" t="str">
        <f>IF(OR(TABLERO!BU90="",TABLERO!BU90=0),"",TABLERO!BU90)</f>
        <v/>
      </c>
      <c r="AK90" s="562" t="str">
        <f>IF(TABLERO!BB90=0,"",TABLERO!F90)</f>
        <v/>
      </c>
      <c r="AL90" s="562" t="str">
        <f>IF(TABLERO!BB90=0,"",TABLERO!G90)</f>
        <v/>
      </c>
      <c r="AM90" s="562" t="str">
        <f>IF(TABLERO!BB90=0,"",TABLERO!BV90)</f>
        <v/>
      </c>
      <c r="AN90" s="44" t="str">
        <f>IF(TABLERO!BB90=0,"",TABLERO!K90)</f>
        <v/>
      </c>
      <c r="AO90" s="562" t="str">
        <f>IF(TABLERO!BB90=0,"",TABLERO!J90)</f>
        <v/>
      </c>
      <c r="AP90" s="44" t="str">
        <f>IF(TABLERO!BB90=0,"",TABLERO!CT90)</f>
        <v/>
      </c>
      <c r="AQ90" s="44" t="str">
        <f>IF(TABLERO!BB90=0,"",TABLERO!CS90)</f>
        <v/>
      </c>
      <c r="AR90" s="44" t="str">
        <f>IF(TABLERO!BB90=0,"",TABLERO!CY90)</f>
        <v/>
      </c>
      <c r="AS90" s="562" t="str">
        <f>IF(TABLERO!BB90=0,"",TABLERO!N90)</f>
        <v/>
      </c>
      <c r="AT90" s="1079" t="str">
        <f>IF(TABLERO!BB90=0,"",TABLERO!BX90&amp;" "&amp;TABLERO!ED90&amp;", "&amp;TABLERO!I90)</f>
        <v/>
      </c>
      <c r="AU90" s="1080"/>
      <c r="AV90" s="44" t="str">
        <f>IF(TABLERO!BB90=0,"",TABLERO!BZ90)</f>
        <v/>
      </c>
      <c r="AW90" s="562" t="str">
        <f>IF(TABLERO!BB90=0,"",TABLERO!CA90)</f>
        <v/>
      </c>
      <c r="AX90" s="43" t="str">
        <f>IF(TABLERO!BB90=0,"",TABLERO!CB90)</f>
        <v/>
      </c>
      <c r="AY90" s="44" t="str">
        <f>IF(TABLERO!BB90=0,"",TABLERO!DL90)</f>
        <v/>
      </c>
      <c r="AZ90" s="576" t="str">
        <f>IF(OR(TABLERO!BB90=0,TABLERO!H90="RE"),"",TABLERO!F90&amp;"P-"&amp;TABLERO!BW90&amp;"A")</f>
        <v/>
      </c>
      <c r="BA90" s="44" t="str">
        <f>IF(TABLERO!BB90=0,"",TABLERO!CI90)</f>
        <v/>
      </c>
      <c r="BB90" s="44" t="str">
        <f>IF(TABLERO!BB90=0,"",TABLERO!CJ90)</f>
        <v/>
      </c>
      <c r="BC90" s="49" t="str">
        <f>IF(TABLERO!BB90=0,"",TABLERO!CK90)</f>
        <v/>
      </c>
      <c r="BG90" s="46">
        <f>IF(TABLERO!B90="",0,TABLERO!B90)</f>
        <v>60</v>
      </c>
      <c r="BH90" s="46">
        <f>IF(TABLERO!C90="",BG90,TABLERO!C90)</f>
        <v>60</v>
      </c>
      <c r="BI90" s="46">
        <f>IF(TABLERO!D90="",BG90,TABLERO!D90)</f>
        <v>60</v>
      </c>
      <c r="BJ90" s="50">
        <f t="shared" si="2"/>
        <v>0</v>
      </c>
    </row>
    <row r="91" spans="1:62" hidden="1">
      <c r="A91" s="46">
        <f>IF(OR(BG91&gt;TABLERO!$M$19,BH91&gt;TABLERO!$M$19,BI91&gt;TABLERO!$M$19,BG91=0,BH91=0,BI91=0),2,1)</f>
        <v>2</v>
      </c>
      <c r="B91" s="47" t="str">
        <f>TABLERO!B91&amp;IF(TABLERO!C91="","",","&amp;TABLERO!C91)&amp;IF(TABLERO!D91="","",","&amp;TABLERO!D91)</f>
        <v>61</v>
      </c>
      <c r="C91" s="42" t="str">
        <f>IF(TABLERO!E91=0,"",TABLERO!E91)</f>
        <v/>
      </c>
      <c r="D91" s="562" t="str">
        <f>IF(OR(TABLERO!X91="",TABLERO!X91=0),"",TABLERO!X91)</f>
        <v/>
      </c>
      <c r="E91" s="562" t="str">
        <f>IF(OR(TABLERO!Y91="",TABLERO!Y91=0),"",TABLERO!Y91)</f>
        <v/>
      </c>
      <c r="F91" s="562" t="str">
        <f>IF(OR(TABLERO!Z91="",TABLERO!Z91=0),"",TABLERO!Z91)</f>
        <v/>
      </c>
      <c r="G91" s="562" t="str">
        <f>IF(OR(TABLERO!AA91="",TABLERO!AA91=0),"",TABLERO!AA91)</f>
        <v/>
      </c>
      <c r="H91" s="562" t="str">
        <f>IF(OR(TABLERO!AB91="",TABLERO!AB91=0),"",TABLERO!AB91)</f>
        <v/>
      </c>
      <c r="I91" s="562" t="str">
        <f>IF(OR(TABLERO!AC91="",TABLERO!AC91=0),"",TABLERO!AC91)</f>
        <v/>
      </c>
      <c r="J91" s="562" t="str">
        <f>IF(OR(TABLERO!AD91="",TABLERO!AD91=0),"",TABLERO!AD91)</f>
        <v/>
      </c>
      <c r="K91" s="562" t="str">
        <f>IF(OR(TABLERO!AE91="",TABLERO!AE91=0),"",TABLERO!AE91)</f>
        <v/>
      </c>
      <c r="L91" s="562" t="str">
        <f>IF(OR(TABLERO!AF91="",TABLERO!AF91=0),"",TABLERO!AF91)</f>
        <v/>
      </c>
      <c r="M91" s="562" t="str">
        <f>IF(OR(TABLERO!AG91="",TABLERO!AG91=0),"",TABLERO!AG91)</f>
        <v/>
      </c>
      <c r="N91" s="562" t="str">
        <f>IF(OR(TABLERO!AH91="",TABLERO!AH91=0),"",TABLERO!AH91)</f>
        <v/>
      </c>
      <c r="O91" s="562" t="str">
        <f>IF(OR(TABLERO!AI91="",TABLERO!AI91=0),"",TABLERO!AI91)</f>
        <v/>
      </c>
      <c r="P91" s="562" t="str">
        <f>IF(OR(TABLERO!AJ91="",TABLERO!AJ91=0),"",TABLERO!AJ91)</f>
        <v/>
      </c>
      <c r="Q91" s="562" t="str">
        <f>IF(OR(TABLERO!AK91="",TABLERO!AK91=0),"",TABLERO!AK91)</f>
        <v/>
      </c>
      <c r="R91" s="562" t="str">
        <f>IF(OR(TABLERO!AL91="",TABLERO!AL91=0),"",TABLERO!AL91)</f>
        <v/>
      </c>
      <c r="S91" s="562" t="str">
        <f>IF(OR(TABLERO!AM91="",TABLERO!AM91=0),"",TABLERO!AM91)</f>
        <v/>
      </c>
      <c r="T91" s="562" t="str">
        <f>IF(OR(TABLERO!AN91="",TABLERO!AN91=0),"",TABLERO!AN91)</f>
        <v/>
      </c>
      <c r="U91" s="562" t="str">
        <f>IF(OR(TABLERO!AO91="",TABLERO!AO91=0),"",TABLERO!AO91)</f>
        <v/>
      </c>
      <c r="V91" s="562" t="str">
        <f>IF(OR(TABLERO!AP91="",TABLERO!AP91=0),"",TABLERO!AP91)</f>
        <v/>
      </c>
      <c r="W91" s="562" t="str">
        <f>IF(OR(TABLERO!AQ91="",TABLERO!AQ91=0),"",TABLERO!AQ91)</f>
        <v/>
      </c>
      <c r="X91" s="562" t="str">
        <f>IF(OR(TABLERO!AR91="",TABLERO!AR91=0),"",TABLERO!AR91)</f>
        <v/>
      </c>
      <c r="Y91" s="562" t="str">
        <f>IF(OR(TABLERO!AS91="",TABLERO!AS91=0),"",TABLERO!AS91)</f>
        <v/>
      </c>
      <c r="Z91" s="562" t="str">
        <f>IF(OR(TABLERO!AT91="",TABLERO!AT91=0),"",TABLERO!AT91)</f>
        <v/>
      </c>
      <c r="AA91" s="562" t="str">
        <f>IF(OR(TABLERO!AU91="",TABLERO!AU91=0),"",TABLERO!AU91)</f>
        <v/>
      </c>
      <c r="AB91" s="562" t="str">
        <f>IF(OR(TABLERO!AV91="",TABLERO!AV91=0),"",TABLERO!AV91)</f>
        <v/>
      </c>
      <c r="AC91" s="562" t="str">
        <f>IF(OR(TABLERO!AW91="",TABLERO!AW91=0),"",TABLERO!AW91)</f>
        <v/>
      </c>
      <c r="AD91" s="562" t="str">
        <f>IF(OR(TABLERO!AX91="",TABLERO!AX91=0),"",TABLERO!AX91)</f>
        <v/>
      </c>
      <c r="AE91" s="562" t="str">
        <f>IF(OR(TABLERO!AY91="",TABLERO!AY91=0),"",TABLERO!AY91)</f>
        <v/>
      </c>
      <c r="AF91" s="562" t="str">
        <f>IF(OR(TABLERO!AZ91="",TABLERO!AZ91=0),"",TABLERO!AZ91)</f>
        <v/>
      </c>
      <c r="AG91" s="562" t="str">
        <f>IF(OR(TABLERO!BA91="",TABLERO!BA91=0),"",TABLERO!BA91)</f>
        <v/>
      </c>
      <c r="AH91" s="48" t="str">
        <f>IF(TABLERO!BB91=0,"",IF(TABLERO!$F$17&lt;&gt;"KVA",TABLERO!BB91*1000,TABLERO!BB91*1000/TABLERO!DA91))</f>
        <v/>
      </c>
      <c r="AI91" s="48" t="str">
        <f>IF(TABLERO!BB91=0,"",IF(TABLERO!$F$17&lt;&gt;"KVA",TABLERO!BT91*1000,TABLERO!BT91*1000/TABLERO!DA91))</f>
        <v/>
      </c>
      <c r="AJ91" s="44" t="str">
        <f>IF(OR(TABLERO!BU91="",TABLERO!BU91=0),"",TABLERO!BU91)</f>
        <v/>
      </c>
      <c r="AK91" s="562" t="str">
        <f>IF(TABLERO!BB91=0,"",TABLERO!F91)</f>
        <v/>
      </c>
      <c r="AL91" s="562" t="str">
        <f>IF(TABLERO!BB91=0,"",TABLERO!G91)</f>
        <v/>
      </c>
      <c r="AM91" s="562" t="str">
        <f>IF(TABLERO!BB91=0,"",TABLERO!BV91)</f>
        <v/>
      </c>
      <c r="AN91" s="44" t="str">
        <f>IF(TABLERO!BB91=0,"",TABLERO!K91)</f>
        <v/>
      </c>
      <c r="AO91" s="562" t="str">
        <f>IF(TABLERO!BB91=0,"",TABLERO!J91)</f>
        <v/>
      </c>
      <c r="AP91" s="44" t="str">
        <f>IF(TABLERO!BB91=0,"",TABLERO!CT91)</f>
        <v/>
      </c>
      <c r="AQ91" s="44" t="str">
        <f>IF(TABLERO!BB91=0,"",TABLERO!CS91)</f>
        <v/>
      </c>
      <c r="AR91" s="44" t="str">
        <f>IF(TABLERO!BB91=0,"",TABLERO!CY91)</f>
        <v/>
      </c>
      <c r="AS91" s="562" t="str">
        <f>IF(TABLERO!BB91=0,"",TABLERO!N91)</f>
        <v/>
      </c>
      <c r="AT91" s="1079" t="str">
        <f>IF(TABLERO!BB91=0,"",TABLERO!BX91&amp;" "&amp;TABLERO!ED91&amp;", "&amp;TABLERO!I91)</f>
        <v/>
      </c>
      <c r="AU91" s="1080"/>
      <c r="AV91" s="44" t="str">
        <f>IF(TABLERO!BB91=0,"",TABLERO!BZ91)</f>
        <v/>
      </c>
      <c r="AW91" s="562" t="str">
        <f>IF(TABLERO!BB91=0,"",TABLERO!CA91)</f>
        <v/>
      </c>
      <c r="AX91" s="43" t="str">
        <f>IF(TABLERO!BB91=0,"",TABLERO!CB91)</f>
        <v/>
      </c>
      <c r="AY91" s="44" t="str">
        <f>IF(TABLERO!BB91=0,"",TABLERO!DL91)</f>
        <v/>
      </c>
      <c r="AZ91" s="576" t="str">
        <f>IF(OR(TABLERO!BB91=0,TABLERO!H91="RE"),"",TABLERO!F91&amp;"P-"&amp;TABLERO!BW91&amp;"A")</f>
        <v/>
      </c>
      <c r="BA91" s="44" t="str">
        <f>IF(TABLERO!BB91=0,"",TABLERO!CI91)</f>
        <v/>
      </c>
      <c r="BB91" s="44" t="str">
        <f>IF(TABLERO!BB91=0,"",TABLERO!CJ91)</f>
        <v/>
      </c>
      <c r="BC91" s="49" t="str">
        <f>IF(TABLERO!BB91=0,"",TABLERO!CK91)</f>
        <v/>
      </c>
      <c r="BG91" s="46">
        <f>IF(TABLERO!B91="",0,TABLERO!B91)</f>
        <v>61</v>
      </c>
      <c r="BH91" s="46">
        <f>IF(TABLERO!C91="",BG91,TABLERO!C91)</f>
        <v>61</v>
      </c>
      <c r="BI91" s="46">
        <f>IF(TABLERO!D91="",BG91,TABLERO!D91)</f>
        <v>61</v>
      </c>
      <c r="BJ91" s="50">
        <f t="shared" si="2"/>
        <v>0</v>
      </c>
    </row>
    <row r="92" spans="1:62" hidden="1">
      <c r="A92" s="46">
        <f>IF(OR(BG92&gt;TABLERO!$M$19,BH92&gt;TABLERO!$M$19,BI92&gt;TABLERO!$M$19,BG92=0,BH92=0,BI92=0),2,1)</f>
        <v>2</v>
      </c>
      <c r="B92" s="47" t="str">
        <f>TABLERO!B92&amp;IF(TABLERO!C92="","",","&amp;TABLERO!C92)&amp;IF(TABLERO!D92="","",","&amp;TABLERO!D92)</f>
        <v>62</v>
      </c>
      <c r="C92" s="42" t="str">
        <f>IF(TABLERO!E92=0,"",TABLERO!E92)</f>
        <v/>
      </c>
      <c r="D92" s="562" t="str">
        <f>IF(OR(TABLERO!X92="",TABLERO!X92=0),"",TABLERO!X92)</f>
        <v/>
      </c>
      <c r="E92" s="562" t="str">
        <f>IF(OR(TABLERO!Y92="",TABLERO!Y92=0),"",TABLERO!Y92)</f>
        <v/>
      </c>
      <c r="F92" s="562" t="str">
        <f>IF(OR(TABLERO!Z92="",TABLERO!Z92=0),"",TABLERO!Z92)</f>
        <v/>
      </c>
      <c r="G92" s="562" t="str">
        <f>IF(OR(TABLERO!AA92="",TABLERO!AA92=0),"",TABLERO!AA92)</f>
        <v/>
      </c>
      <c r="H92" s="562" t="str">
        <f>IF(OR(TABLERO!AB92="",TABLERO!AB92=0),"",TABLERO!AB92)</f>
        <v/>
      </c>
      <c r="I92" s="562" t="str">
        <f>IF(OR(TABLERO!AC92="",TABLERO!AC92=0),"",TABLERO!AC92)</f>
        <v/>
      </c>
      <c r="J92" s="562" t="str">
        <f>IF(OR(TABLERO!AD92="",TABLERO!AD92=0),"",TABLERO!AD92)</f>
        <v/>
      </c>
      <c r="K92" s="562" t="str">
        <f>IF(OR(TABLERO!AE92="",TABLERO!AE92=0),"",TABLERO!AE92)</f>
        <v/>
      </c>
      <c r="L92" s="562" t="str">
        <f>IF(OR(TABLERO!AF92="",TABLERO!AF92=0),"",TABLERO!AF92)</f>
        <v/>
      </c>
      <c r="M92" s="562" t="str">
        <f>IF(OR(TABLERO!AG92="",TABLERO!AG92=0),"",TABLERO!AG92)</f>
        <v/>
      </c>
      <c r="N92" s="562" t="str">
        <f>IF(OR(TABLERO!AH92="",TABLERO!AH92=0),"",TABLERO!AH92)</f>
        <v/>
      </c>
      <c r="O92" s="562" t="str">
        <f>IF(OR(TABLERO!AI92="",TABLERO!AI92=0),"",TABLERO!AI92)</f>
        <v/>
      </c>
      <c r="P92" s="562" t="str">
        <f>IF(OR(TABLERO!AJ92="",TABLERO!AJ92=0),"",TABLERO!AJ92)</f>
        <v/>
      </c>
      <c r="Q92" s="562" t="str">
        <f>IF(OR(TABLERO!AK92="",TABLERO!AK92=0),"",TABLERO!AK92)</f>
        <v/>
      </c>
      <c r="R92" s="562" t="str">
        <f>IF(OR(TABLERO!AL92="",TABLERO!AL92=0),"",TABLERO!AL92)</f>
        <v/>
      </c>
      <c r="S92" s="562" t="str">
        <f>IF(OR(TABLERO!AM92="",TABLERO!AM92=0),"",TABLERO!AM92)</f>
        <v/>
      </c>
      <c r="T92" s="562" t="str">
        <f>IF(OR(TABLERO!AN92="",TABLERO!AN92=0),"",TABLERO!AN92)</f>
        <v/>
      </c>
      <c r="U92" s="562" t="str">
        <f>IF(OR(TABLERO!AO92="",TABLERO!AO92=0),"",TABLERO!AO92)</f>
        <v/>
      </c>
      <c r="V92" s="562" t="str">
        <f>IF(OR(TABLERO!AP92="",TABLERO!AP92=0),"",TABLERO!AP92)</f>
        <v/>
      </c>
      <c r="W92" s="562" t="str">
        <f>IF(OR(TABLERO!AQ92="",TABLERO!AQ92=0),"",TABLERO!AQ92)</f>
        <v/>
      </c>
      <c r="X92" s="562" t="str">
        <f>IF(OR(TABLERO!AR92="",TABLERO!AR92=0),"",TABLERO!AR92)</f>
        <v/>
      </c>
      <c r="Y92" s="562" t="str">
        <f>IF(OR(TABLERO!AS92="",TABLERO!AS92=0),"",TABLERO!AS92)</f>
        <v/>
      </c>
      <c r="Z92" s="562" t="str">
        <f>IF(OR(TABLERO!AT92="",TABLERO!AT92=0),"",TABLERO!AT92)</f>
        <v/>
      </c>
      <c r="AA92" s="562" t="str">
        <f>IF(OR(TABLERO!AU92="",TABLERO!AU92=0),"",TABLERO!AU92)</f>
        <v/>
      </c>
      <c r="AB92" s="562" t="str">
        <f>IF(OR(TABLERO!AV92="",TABLERO!AV92=0),"",TABLERO!AV92)</f>
        <v/>
      </c>
      <c r="AC92" s="562" t="str">
        <f>IF(OR(TABLERO!AW92="",TABLERO!AW92=0),"",TABLERO!AW92)</f>
        <v/>
      </c>
      <c r="AD92" s="562" t="str">
        <f>IF(OR(TABLERO!AX92="",TABLERO!AX92=0),"",TABLERO!AX92)</f>
        <v/>
      </c>
      <c r="AE92" s="562" t="str">
        <f>IF(OR(TABLERO!AY92="",TABLERO!AY92=0),"",TABLERO!AY92)</f>
        <v/>
      </c>
      <c r="AF92" s="562" t="str">
        <f>IF(OR(TABLERO!AZ92="",TABLERO!AZ92=0),"",TABLERO!AZ92)</f>
        <v/>
      </c>
      <c r="AG92" s="562" t="str">
        <f>IF(OR(TABLERO!BA92="",TABLERO!BA92=0),"",TABLERO!BA92)</f>
        <v/>
      </c>
      <c r="AH92" s="48" t="str">
        <f>IF(TABLERO!BB92=0,"",IF(TABLERO!$F$17&lt;&gt;"KVA",TABLERO!BB92*1000,TABLERO!BB92*1000/TABLERO!DA92))</f>
        <v/>
      </c>
      <c r="AI92" s="48" t="str">
        <f>IF(TABLERO!BB92=0,"",IF(TABLERO!$F$17&lt;&gt;"KVA",TABLERO!BT92*1000,TABLERO!BT92*1000/TABLERO!DA92))</f>
        <v/>
      </c>
      <c r="AJ92" s="44" t="str">
        <f>IF(OR(TABLERO!BU92="",TABLERO!BU92=0),"",TABLERO!BU92)</f>
        <v/>
      </c>
      <c r="AK92" s="562" t="str">
        <f>IF(TABLERO!BB92=0,"",TABLERO!F92)</f>
        <v/>
      </c>
      <c r="AL92" s="562" t="str">
        <f>IF(TABLERO!BB92=0,"",TABLERO!G92)</f>
        <v/>
      </c>
      <c r="AM92" s="562" t="str">
        <f>IF(TABLERO!BB92=0,"",TABLERO!BV92)</f>
        <v/>
      </c>
      <c r="AN92" s="44" t="str">
        <f>IF(TABLERO!BB92=0,"",TABLERO!K92)</f>
        <v/>
      </c>
      <c r="AO92" s="562" t="str">
        <f>IF(TABLERO!BB92=0,"",TABLERO!J92)</f>
        <v/>
      </c>
      <c r="AP92" s="44" t="str">
        <f>IF(TABLERO!BB92=0,"",TABLERO!CT92)</f>
        <v/>
      </c>
      <c r="AQ92" s="44" t="str">
        <f>IF(TABLERO!BB92=0,"",TABLERO!CS92)</f>
        <v/>
      </c>
      <c r="AR92" s="44" t="str">
        <f>IF(TABLERO!BB92=0,"",TABLERO!CY92)</f>
        <v/>
      </c>
      <c r="AS92" s="562" t="str">
        <f>IF(TABLERO!BB92=0,"",TABLERO!N92)</f>
        <v/>
      </c>
      <c r="AT92" s="1079" t="str">
        <f>IF(TABLERO!BB92=0,"",TABLERO!BX92&amp;" "&amp;TABLERO!ED92&amp;", "&amp;TABLERO!I92)</f>
        <v/>
      </c>
      <c r="AU92" s="1080"/>
      <c r="AV92" s="44" t="str">
        <f>IF(TABLERO!BB92=0,"",TABLERO!BZ92)</f>
        <v/>
      </c>
      <c r="AW92" s="562" t="str">
        <f>IF(TABLERO!BB92=0,"",TABLERO!CA92)</f>
        <v/>
      </c>
      <c r="AX92" s="43" t="str">
        <f>IF(TABLERO!BB92=0,"",TABLERO!CB92)</f>
        <v/>
      </c>
      <c r="AY92" s="44" t="str">
        <f>IF(TABLERO!BB92=0,"",TABLERO!DL92)</f>
        <v/>
      </c>
      <c r="AZ92" s="576" t="str">
        <f>IF(OR(TABLERO!BB92=0,TABLERO!H92="RE"),"",TABLERO!F92&amp;"P-"&amp;TABLERO!BW92&amp;"A")</f>
        <v/>
      </c>
      <c r="BA92" s="44" t="str">
        <f>IF(TABLERO!BB92=0,"",TABLERO!CI92)</f>
        <v/>
      </c>
      <c r="BB92" s="44" t="str">
        <f>IF(TABLERO!BB92=0,"",TABLERO!CJ92)</f>
        <v/>
      </c>
      <c r="BC92" s="49" t="str">
        <f>IF(TABLERO!BB92=0,"",TABLERO!CK92)</f>
        <v/>
      </c>
      <c r="BG92" s="46">
        <f>IF(TABLERO!B92="",0,TABLERO!B92)</f>
        <v>62</v>
      </c>
      <c r="BH92" s="46">
        <f>IF(TABLERO!C92="",BG92,TABLERO!C92)</f>
        <v>62</v>
      </c>
      <c r="BI92" s="46">
        <f>IF(TABLERO!D92="",BG92,TABLERO!D92)</f>
        <v>62</v>
      </c>
      <c r="BJ92" s="50">
        <f t="shared" si="2"/>
        <v>0</v>
      </c>
    </row>
    <row r="93" spans="1:62" hidden="1">
      <c r="A93" s="46">
        <f>IF(OR(BG93&gt;TABLERO!$M$19,BH93&gt;TABLERO!$M$19,BI93&gt;TABLERO!$M$19,BG93=0,BH93=0,BI93=0),2,1)</f>
        <v>2</v>
      </c>
      <c r="B93" s="47" t="str">
        <f>TABLERO!B93&amp;IF(TABLERO!C93="","",","&amp;TABLERO!C93)&amp;IF(TABLERO!D93="","",","&amp;TABLERO!D93)</f>
        <v>63</v>
      </c>
      <c r="C93" s="42" t="str">
        <f>IF(TABLERO!E93=0,"",TABLERO!E93)</f>
        <v/>
      </c>
      <c r="D93" s="562" t="str">
        <f>IF(OR(TABLERO!X93="",TABLERO!X93=0),"",TABLERO!X93)</f>
        <v/>
      </c>
      <c r="E93" s="562" t="str">
        <f>IF(OR(TABLERO!Y93="",TABLERO!Y93=0),"",TABLERO!Y93)</f>
        <v/>
      </c>
      <c r="F93" s="562" t="str">
        <f>IF(OR(TABLERO!Z93="",TABLERO!Z93=0),"",TABLERO!Z93)</f>
        <v/>
      </c>
      <c r="G93" s="562" t="str">
        <f>IF(OR(TABLERO!AA93="",TABLERO!AA93=0),"",TABLERO!AA93)</f>
        <v/>
      </c>
      <c r="H93" s="562" t="str">
        <f>IF(OR(TABLERO!AB93="",TABLERO!AB93=0),"",TABLERO!AB93)</f>
        <v/>
      </c>
      <c r="I93" s="562" t="str">
        <f>IF(OR(TABLERO!AC93="",TABLERO!AC93=0),"",TABLERO!AC93)</f>
        <v/>
      </c>
      <c r="J93" s="562" t="str">
        <f>IF(OR(TABLERO!AD93="",TABLERO!AD93=0),"",TABLERO!AD93)</f>
        <v/>
      </c>
      <c r="K93" s="562" t="str">
        <f>IF(OR(TABLERO!AE93="",TABLERO!AE93=0),"",TABLERO!AE93)</f>
        <v/>
      </c>
      <c r="L93" s="562" t="str">
        <f>IF(OR(TABLERO!AF93="",TABLERO!AF93=0),"",TABLERO!AF93)</f>
        <v/>
      </c>
      <c r="M93" s="562" t="str">
        <f>IF(OR(TABLERO!AG93="",TABLERO!AG93=0),"",TABLERO!AG93)</f>
        <v/>
      </c>
      <c r="N93" s="562" t="str">
        <f>IF(OR(TABLERO!AH93="",TABLERO!AH93=0),"",TABLERO!AH93)</f>
        <v/>
      </c>
      <c r="O93" s="562" t="str">
        <f>IF(OR(TABLERO!AI93="",TABLERO!AI93=0),"",TABLERO!AI93)</f>
        <v/>
      </c>
      <c r="P93" s="562" t="str">
        <f>IF(OR(TABLERO!AJ93="",TABLERO!AJ93=0),"",TABLERO!AJ93)</f>
        <v/>
      </c>
      <c r="Q93" s="562" t="str">
        <f>IF(OR(TABLERO!AK93="",TABLERO!AK93=0),"",TABLERO!AK93)</f>
        <v/>
      </c>
      <c r="R93" s="562" t="str">
        <f>IF(OR(TABLERO!AL93="",TABLERO!AL93=0),"",TABLERO!AL93)</f>
        <v/>
      </c>
      <c r="S93" s="562" t="str">
        <f>IF(OR(TABLERO!AM93="",TABLERO!AM93=0),"",TABLERO!AM93)</f>
        <v/>
      </c>
      <c r="T93" s="562" t="str">
        <f>IF(OR(TABLERO!AN93="",TABLERO!AN93=0),"",TABLERO!AN93)</f>
        <v/>
      </c>
      <c r="U93" s="562" t="str">
        <f>IF(OR(TABLERO!AO93="",TABLERO!AO93=0),"",TABLERO!AO93)</f>
        <v/>
      </c>
      <c r="V93" s="562" t="str">
        <f>IF(OR(TABLERO!AP93="",TABLERO!AP93=0),"",TABLERO!AP93)</f>
        <v/>
      </c>
      <c r="W93" s="562" t="str">
        <f>IF(OR(TABLERO!AQ93="",TABLERO!AQ93=0),"",TABLERO!AQ93)</f>
        <v/>
      </c>
      <c r="X93" s="562" t="str">
        <f>IF(OR(TABLERO!AR93="",TABLERO!AR93=0),"",TABLERO!AR93)</f>
        <v/>
      </c>
      <c r="Y93" s="562" t="str">
        <f>IF(OR(TABLERO!AS93="",TABLERO!AS93=0),"",TABLERO!AS93)</f>
        <v/>
      </c>
      <c r="Z93" s="562" t="str">
        <f>IF(OR(TABLERO!AT93="",TABLERO!AT93=0),"",TABLERO!AT93)</f>
        <v/>
      </c>
      <c r="AA93" s="562" t="str">
        <f>IF(OR(TABLERO!AU93="",TABLERO!AU93=0),"",TABLERO!AU93)</f>
        <v/>
      </c>
      <c r="AB93" s="562" t="str">
        <f>IF(OR(TABLERO!AV93="",TABLERO!AV93=0),"",TABLERO!AV93)</f>
        <v/>
      </c>
      <c r="AC93" s="562" t="str">
        <f>IF(OR(TABLERO!AW93="",TABLERO!AW93=0),"",TABLERO!AW93)</f>
        <v/>
      </c>
      <c r="AD93" s="562" t="str">
        <f>IF(OR(TABLERO!AX93="",TABLERO!AX93=0),"",TABLERO!AX93)</f>
        <v/>
      </c>
      <c r="AE93" s="562" t="str">
        <f>IF(OR(TABLERO!AY93="",TABLERO!AY93=0),"",TABLERO!AY93)</f>
        <v/>
      </c>
      <c r="AF93" s="562" t="str">
        <f>IF(OR(TABLERO!AZ93="",TABLERO!AZ93=0),"",TABLERO!AZ93)</f>
        <v/>
      </c>
      <c r="AG93" s="562" t="str">
        <f>IF(OR(TABLERO!BA93="",TABLERO!BA93=0),"",TABLERO!BA93)</f>
        <v/>
      </c>
      <c r="AH93" s="48" t="str">
        <f>IF(TABLERO!BB93=0,"",IF(TABLERO!$F$17&lt;&gt;"KVA",TABLERO!BB93*1000,TABLERO!BB93*1000/TABLERO!DA93))</f>
        <v/>
      </c>
      <c r="AI93" s="48" t="str">
        <f>IF(TABLERO!BB93=0,"",IF(TABLERO!$F$17&lt;&gt;"KVA",TABLERO!BT93*1000,TABLERO!BT93*1000/TABLERO!DA93))</f>
        <v/>
      </c>
      <c r="AJ93" s="44" t="str">
        <f>IF(OR(TABLERO!BU93="",TABLERO!BU93=0),"",TABLERO!BU93)</f>
        <v/>
      </c>
      <c r="AK93" s="562" t="str">
        <f>IF(TABLERO!BB93=0,"",TABLERO!F93)</f>
        <v/>
      </c>
      <c r="AL93" s="562" t="str">
        <f>IF(TABLERO!BB93=0,"",TABLERO!G93)</f>
        <v/>
      </c>
      <c r="AM93" s="562" t="str">
        <f>IF(TABLERO!BB93=0,"",TABLERO!BV93)</f>
        <v/>
      </c>
      <c r="AN93" s="44" t="str">
        <f>IF(TABLERO!BB93=0,"",TABLERO!K93)</f>
        <v/>
      </c>
      <c r="AO93" s="562" t="str">
        <f>IF(TABLERO!BB93=0,"",TABLERO!J93)</f>
        <v/>
      </c>
      <c r="AP93" s="44" t="str">
        <f>IF(TABLERO!BB93=0,"",TABLERO!CT93)</f>
        <v/>
      </c>
      <c r="AQ93" s="44" t="str">
        <f>IF(TABLERO!BB93=0,"",TABLERO!CS93)</f>
        <v/>
      </c>
      <c r="AR93" s="44" t="str">
        <f>IF(TABLERO!BB93=0,"",TABLERO!CY93)</f>
        <v/>
      </c>
      <c r="AS93" s="562" t="str">
        <f>IF(TABLERO!BB93=0,"",TABLERO!N93)</f>
        <v/>
      </c>
      <c r="AT93" s="1079" t="str">
        <f>IF(TABLERO!BB93=0,"",TABLERO!BX93&amp;" "&amp;TABLERO!ED93&amp;", "&amp;TABLERO!I93)</f>
        <v/>
      </c>
      <c r="AU93" s="1080"/>
      <c r="AV93" s="44" t="str">
        <f>IF(TABLERO!BB93=0,"",TABLERO!BZ93)</f>
        <v/>
      </c>
      <c r="AW93" s="562" t="str">
        <f>IF(TABLERO!BB93=0,"",TABLERO!CA93)</f>
        <v/>
      </c>
      <c r="AX93" s="43" t="str">
        <f>IF(TABLERO!BB93=0,"",TABLERO!CB93)</f>
        <v/>
      </c>
      <c r="AY93" s="44" t="str">
        <f>IF(TABLERO!BB93=0,"",TABLERO!DL93)</f>
        <v/>
      </c>
      <c r="AZ93" s="576" t="str">
        <f>IF(OR(TABLERO!BB93=0,TABLERO!H93="RE"),"",TABLERO!F93&amp;"P-"&amp;TABLERO!BW93&amp;"A")</f>
        <v/>
      </c>
      <c r="BA93" s="44" t="str">
        <f>IF(TABLERO!BB93=0,"",TABLERO!CI93)</f>
        <v/>
      </c>
      <c r="BB93" s="44" t="str">
        <f>IF(TABLERO!BB93=0,"",TABLERO!CJ93)</f>
        <v/>
      </c>
      <c r="BC93" s="49" t="str">
        <f>IF(TABLERO!BB93=0,"",TABLERO!CK93)</f>
        <v/>
      </c>
      <c r="BG93" s="46">
        <f>IF(TABLERO!B93="",0,TABLERO!B93)</f>
        <v>63</v>
      </c>
      <c r="BH93" s="46">
        <f>IF(TABLERO!C93="",BG93,TABLERO!C93)</f>
        <v>63</v>
      </c>
      <c r="BI93" s="46">
        <f>IF(TABLERO!D93="",BG93,TABLERO!D93)</f>
        <v>63</v>
      </c>
      <c r="BJ93" s="50">
        <f t="shared" si="2"/>
        <v>0</v>
      </c>
    </row>
    <row r="94" spans="1:62" hidden="1">
      <c r="A94" s="46">
        <f>IF(OR(BG94&gt;TABLERO!$M$19,BH94&gt;TABLERO!$M$19,BI94&gt;TABLERO!$M$19,BG94=0,BH94=0,BI94=0),2,1)</f>
        <v>2</v>
      </c>
      <c r="B94" s="47" t="str">
        <f>TABLERO!B94&amp;IF(TABLERO!C94="","",","&amp;TABLERO!C94)&amp;IF(TABLERO!D94="","",","&amp;TABLERO!D94)</f>
        <v>64</v>
      </c>
      <c r="C94" s="42" t="str">
        <f>IF(TABLERO!E94=0,"",TABLERO!E94)</f>
        <v/>
      </c>
      <c r="D94" s="562" t="str">
        <f>IF(OR(TABLERO!X94="",TABLERO!X94=0),"",TABLERO!X94)</f>
        <v/>
      </c>
      <c r="E94" s="562" t="str">
        <f>IF(OR(TABLERO!Y94="",TABLERO!Y94=0),"",TABLERO!Y94)</f>
        <v/>
      </c>
      <c r="F94" s="562" t="str">
        <f>IF(OR(TABLERO!Z94="",TABLERO!Z94=0),"",TABLERO!Z94)</f>
        <v/>
      </c>
      <c r="G94" s="562" t="str">
        <f>IF(OR(TABLERO!AA94="",TABLERO!AA94=0),"",TABLERO!AA94)</f>
        <v/>
      </c>
      <c r="H94" s="562" t="str">
        <f>IF(OR(TABLERO!AB94="",TABLERO!AB94=0),"",TABLERO!AB94)</f>
        <v/>
      </c>
      <c r="I94" s="562" t="str">
        <f>IF(OR(TABLERO!AC94="",TABLERO!AC94=0),"",TABLERO!AC94)</f>
        <v/>
      </c>
      <c r="J94" s="562" t="str">
        <f>IF(OR(TABLERO!AD94="",TABLERO!AD94=0),"",TABLERO!AD94)</f>
        <v/>
      </c>
      <c r="K94" s="562" t="str">
        <f>IF(OR(TABLERO!AE94="",TABLERO!AE94=0),"",TABLERO!AE94)</f>
        <v/>
      </c>
      <c r="L94" s="562" t="str">
        <f>IF(OR(TABLERO!AF94="",TABLERO!AF94=0),"",TABLERO!AF94)</f>
        <v/>
      </c>
      <c r="M94" s="562" t="str">
        <f>IF(OR(TABLERO!AG94="",TABLERO!AG94=0),"",TABLERO!AG94)</f>
        <v/>
      </c>
      <c r="N94" s="562" t="str">
        <f>IF(OR(TABLERO!AH94="",TABLERO!AH94=0),"",TABLERO!AH94)</f>
        <v/>
      </c>
      <c r="O94" s="562" t="str">
        <f>IF(OR(TABLERO!AI94="",TABLERO!AI94=0),"",TABLERO!AI94)</f>
        <v/>
      </c>
      <c r="P94" s="562" t="str">
        <f>IF(OR(TABLERO!AJ94="",TABLERO!AJ94=0),"",TABLERO!AJ94)</f>
        <v/>
      </c>
      <c r="Q94" s="562" t="str">
        <f>IF(OR(TABLERO!AK94="",TABLERO!AK94=0),"",TABLERO!AK94)</f>
        <v/>
      </c>
      <c r="R94" s="562" t="str">
        <f>IF(OR(TABLERO!AL94="",TABLERO!AL94=0),"",TABLERO!AL94)</f>
        <v/>
      </c>
      <c r="S94" s="562" t="str">
        <f>IF(OR(TABLERO!AM94="",TABLERO!AM94=0),"",TABLERO!AM94)</f>
        <v/>
      </c>
      <c r="T94" s="562" t="str">
        <f>IF(OR(TABLERO!AN94="",TABLERO!AN94=0),"",TABLERO!AN94)</f>
        <v/>
      </c>
      <c r="U94" s="562" t="str">
        <f>IF(OR(TABLERO!AO94="",TABLERO!AO94=0),"",TABLERO!AO94)</f>
        <v/>
      </c>
      <c r="V94" s="562" t="str">
        <f>IF(OR(TABLERO!AP94="",TABLERO!AP94=0),"",TABLERO!AP94)</f>
        <v/>
      </c>
      <c r="W94" s="562" t="str">
        <f>IF(OR(TABLERO!AQ94="",TABLERO!AQ94=0),"",TABLERO!AQ94)</f>
        <v/>
      </c>
      <c r="X94" s="562" t="str">
        <f>IF(OR(TABLERO!AR94="",TABLERO!AR94=0),"",TABLERO!AR94)</f>
        <v/>
      </c>
      <c r="Y94" s="562" t="str">
        <f>IF(OR(TABLERO!AS94="",TABLERO!AS94=0),"",TABLERO!AS94)</f>
        <v/>
      </c>
      <c r="Z94" s="562" t="str">
        <f>IF(OR(TABLERO!AT94="",TABLERO!AT94=0),"",TABLERO!AT94)</f>
        <v/>
      </c>
      <c r="AA94" s="562" t="str">
        <f>IF(OR(TABLERO!AU94="",TABLERO!AU94=0),"",TABLERO!AU94)</f>
        <v/>
      </c>
      <c r="AB94" s="562" t="str">
        <f>IF(OR(TABLERO!AV94="",TABLERO!AV94=0),"",TABLERO!AV94)</f>
        <v/>
      </c>
      <c r="AC94" s="562" t="str">
        <f>IF(OR(TABLERO!AW94="",TABLERO!AW94=0),"",TABLERO!AW94)</f>
        <v/>
      </c>
      <c r="AD94" s="562" t="str">
        <f>IF(OR(TABLERO!AX94="",TABLERO!AX94=0),"",TABLERO!AX94)</f>
        <v/>
      </c>
      <c r="AE94" s="562" t="str">
        <f>IF(OR(TABLERO!AY94="",TABLERO!AY94=0),"",TABLERO!AY94)</f>
        <v/>
      </c>
      <c r="AF94" s="562" t="str">
        <f>IF(OR(TABLERO!AZ94="",TABLERO!AZ94=0),"",TABLERO!AZ94)</f>
        <v/>
      </c>
      <c r="AG94" s="562" t="str">
        <f>IF(OR(TABLERO!BA94="",TABLERO!BA94=0),"",TABLERO!BA94)</f>
        <v/>
      </c>
      <c r="AH94" s="48" t="str">
        <f>IF(TABLERO!BB94=0,"",IF(TABLERO!$F$17&lt;&gt;"KVA",TABLERO!BB94*1000,TABLERO!BB94*1000/TABLERO!DA94))</f>
        <v/>
      </c>
      <c r="AI94" s="48" t="str">
        <f>IF(TABLERO!BB94=0,"",IF(TABLERO!$F$17&lt;&gt;"KVA",TABLERO!BT94*1000,TABLERO!BT94*1000/TABLERO!DA94))</f>
        <v/>
      </c>
      <c r="AJ94" s="44" t="str">
        <f>IF(OR(TABLERO!BU94="",TABLERO!BU94=0),"",TABLERO!BU94)</f>
        <v/>
      </c>
      <c r="AK94" s="562" t="str">
        <f>IF(TABLERO!BB94=0,"",TABLERO!F94)</f>
        <v/>
      </c>
      <c r="AL94" s="562" t="str">
        <f>IF(TABLERO!BB94=0,"",TABLERO!G94)</f>
        <v/>
      </c>
      <c r="AM94" s="562" t="str">
        <f>IF(TABLERO!BB94=0,"",TABLERO!BV94)</f>
        <v/>
      </c>
      <c r="AN94" s="44" t="str">
        <f>IF(TABLERO!BB94=0,"",TABLERO!K94)</f>
        <v/>
      </c>
      <c r="AO94" s="562" t="str">
        <f>IF(TABLERO!BB94=0,"",TABLERO!J94)</f>
        <v/>
      </c>
      <c r="AP94" s="44" t="str">
        <f>IF(TABLERO!BB94=0,"",TABLERO!CT94)</f>
        <v/>
      </c>
      <c r="AQ94" s="44" t="str">
        <f>IF(TABLERO!BB94=0,"",TABLERO!CS94)</f>
        <v/>
      </c>
      <c r="AR94" s="44" t="str">
        <f>IF(TABLERO!BB94=0,"",TABLERO!CY94)</f>
        <v/>
      </c>
      <c r="AS94" s="562" t="str">
        <f>IF(TABLERO!BB94=0,"",TABLERO!N94)</f>
        <v/>
      </c>
      <c r="AT94" s="1079" t="str">
        <f>IF(TABLERO!BB94=0,"",TABLERO!BX94&amp;" "&amp;TABLERO!ED94&amp;", "&amp;TABLERO!I94)</f>
        <v/>
      </c>
      <c r="AU94" s="1080"/>
      <c r="AV94" s="44" t="str">
        <f>IF(TABLERO!BB94=0,"",TABLERO!BZ94)</f>
        <v/>
      </c>
      <c r="AW94" s="562" t="str">
        <f>IF(TABLERO!BB94=0,"",TABLERO!CA94)</f>
        <v/>
      </c>
      <c r="AX94" s="43" t="str">
        <f>IF(TABLERO!BB94=0,"",TABLERO!CB94)</f>
        <v/>
      </c>
      <c r="AY94" s="44" t="str">
        <f>IF(TABLERO!BB94=0,"",TABLERO!DL94)</f>
        <v/>
      </c>
      <c r="AZ94" s="576" t="str">
        <f>IF(OR(TABLERO!BB94=0,TABLERO!H94="RE"),"",TABLERO!F94&amp;"P-"&amp;TABLERO!BW94&amp;"A")</f>
        <v/>
      </c>
      <c r="BA94" s="44" t="str">
        <f>IF(TABLERO!BB94=0,"",TABLERO!CI94)</f>
        <v/>
      </c>
      <c r="BB94" s="44" t="str">
        <f>IF(TABLERO!BB94=0,"",TABLERO!CJ94)</f>
        <v/>
      </c>
      <c r="BC94" s="49" t="str">
        <f>IF(TABLERO!BB94=0,"",TABLERO!CK94)</f>
        <v/>
      </c>
      <c r="BG94" s="46">
        <f>IF(TABLERO!B94="",0,TABLERO!B94)</f>
        <v>64</v>
      </c>
      <c r="BH94" s="46">
        <f>IF(TABLERO!C94="",BG94,TABLERO!C94)</f>
        <v>64</v>
      </c>
      <c r="BI94" s="46">
        <f>IF(TABLERO!D94="",BG94,TABLERO!D94)</f>
        <v>64</v>
      </c>
      <c r="BJ94" s="50">
        <f t="shared" si="2"/>
        <v>0</v>
      </c>
    </row>
    <row r="95" spans="1:62" hidden="1">
      <c r="A95" s="46">
        <f>IF(OR(BG95&gt;TABLERO!$M$19,BH95&gt;TABLERO!$M$19,BI95&gt;TABLERO!$M$19,BG95=0,BH95=0,BI95=0),2,1)</f>
        <v>2</v>
      </c>
      <c r="B95" s="47" t="str">
        <f>TABLERO!B95&amp;IF(TABLERO!C95="","",","&amp;TABLERO!C95)&amp;IF(TABLERO!D95="","",","&amp;TABLERO!D95)</f>
        <v>65</v>
      </c>
      <c r="C95" s="42" t="str">
        <f>IF(TABLERO!E95=0,"",TABLERO!E95)</f>
        <v/>
      </c>
      <c r="D95" s="562" t="str">
        <f>IF(OR(TABLERO!X95="",TABLERO!X95=0),"",TABLERO!X95)</f>
        <v/>
      </c>
      <c r="E95" s="562" t="str">
        <f>IF(OR(TABLERO!Y95="",TABLERO!Y95=0),"",TABLERO!Y95)</f>
        <v/>
      </c>
      <c r="F95" s="562" t="str">
        <f>IF(OR(TABLERO!Z95="",TABLERO!Z95=0),"",TABLERO!Z95)</f>
        <v/>
      </c>
      <c r="G95" s="562" t="str">
        <f>IF(OR(TABLERO!AA95="",TABLERO!AA95=0),"",TABLERO!AA95)</f>
        <v/>
      </c>
      <c r="H95" s="562" t="str">
        <f>IF(OR(TABLERO!AB95="",TABLERO!AB95=0),"",TABLERO!AB95)</f>
        <v/>
      </c>
      <c r="I95" s="562" t="str">
        <f>IF(OR(TABLERO!AC95="",TABLERO!AC95=0),"",TABLERO!AC95)</f>
        <v/>
      </c>
      <c r="J95" s="562" t="str">
        <f>IF(OR(TABLERO!AD95="",TABLERO!AD95=0),"",TABLERO!AD95)</f>
        <v/>
      </c>
      <c r="K95" s="562" t="str">
        <f>IF(OR(TABLERO!AE95="",TABLERO!AE95=0),"",TABLERO!AE95)</f>
        <v/>
      </c>
      <c r="L95" s="562" t="str">
        <f>IF(OR(TABLERO!AF95="",TABLERO!AF95=0),"",TABLERO!AF95)</f>
        <v/>
      </c>
      <c r="M95" s="562" t="str">
        <f>IF(OR(TABLERO!AG95="",TABLERO!AG95=0),"",TABLERO!AG95)</f>
        <v/>
      </c>
      <c r="N95" s="562" t="str">
        <f>IF(OR(TABLERO!AH95="",TABLERO!AH95=0),"",TABLERO!AH95)</f>
        <v/>
      </c>
      <c r="O95" s="562" t="str">
        <f>IF(OR(TABLERO!AI95="",TABLERO!AI95=0),"",TABLERO!AI95)</f>
        <v/>
      </c>
      <c r="P95" s="562" t="str">
        <f>IF(OR(TABLERO!AJ95="",TABLERO!AJ95=0),"",TABLERO!AJ95)</f>
        <v/>
      </c>
      <c r="Q95" s="562" t="str">
        <f>IF(OR(TABLERO!AK95="",TABLERO!AK95=0),"",TABLERO!AK95)</f>
        <v/>
      </c>
      <c r="R95" s="562" t="str">
        <f>IF(OR(TABLERO!AL95="",TABLERO!AL95=0),"",TABLERO!AL95)</f>
        <v/>
      </c>
      <c r="S95" s="562" t="str">
        <f>IF(OR(TABLERO!AM95="",TABLERO!AM95=0),"",TABLERO!AM95)</f>
        <v/>
      </c>
      <c r="T95" s="562" t="str">
        <f>IF(OR(TABLERO!AN95="",TABLERO!AN95=0),"",TABLERO!AN95)</f>
        <v/>
      </c>
      <c r="U95" s="562" t="str">
        <f>IF(OR(TABLERO!AO95="",TABLERO!AO95=0),"",TABLERO!AO95)</f>
        <v/>
      </c>
      <c r="V95" s="562" t="str">
        <f>IF(OR(TABLERO!AP95="",TABLERO!AP95=0),"",TABLERO!AP95)</f>
        <v/>
      </c>
      <c r="W95" s="562" t="str">
        <f>IF(OR(TABLERO!AQ95="",TABLERO!AQ95=0),"",TABLERO!AQ95)</f>
        <v/>
      </c>
      <c r="X95" s="562" t="str">
        <f>IF(OR(TABLERO!AR95="",TABLERO!AR95=0),"",TABLERO!AR95)</f>
        <v/>
      </c>
      <c r="Y95" s="562" t="str">
        <f>IF(OR(TABLERO!AS95="",TABLERO!AS95=0),"",TABLERO!AS95)</f>
        <v/>
      </c>
      <c r="Z95" s="562" t="str">
        <f>IF(OR(TABLERO!AT95="",TABLERO!AT95=0),"",TABLERO!AT95)</f>
        <v/>
      </c>
      <c r="AA95" s="562" t="str">
        <f>IF(OR(TABLERO!AU95="",TABLERO!AU95=0),"",TABLERO!AU95)</f>
        <v/>
      </c>
      <c r="AB95" s="562" t="str">
        <f>IF(OR(TABLERO!AV95="",TABLERO!AV95=0),"",TABLERO!AV95)</f>
        <v/>
      </c>
      <c r="AC95" s="562" t="str">
        <f>IF(OR(TABLERO!AW95="",TABLERO!AW95=0),"",TABLERO!AW95)</f>
        <v/>
      </c>
      <c r="AD95" s="562" t="str">
        <f>IF(OR(TABLERO!AX95="",TABLERO!AX95=0),"",TABLERO!AX95)</f>
        <v/>
      </c>
      <c r="AE95" s="562" t="str">
        <f>IF(OR(TABLERO!AY95="",TABLERO!AY95=0),"",TABLERO!AY95)</f>
        <v/>
      </c>
      <c r="AF95" s="562" t="str">
        <f>IF(OR(TABLERO!AZ95="",TABLERO!AZ95=0),"",TABLERO!AZ95)</f>
        <v/>
      </c>
      <c r="AG95" s="562" t="str">
        <f>IF(OR(TABLERO!BA95="",TABLERO!BA95=0),"",TABLERO!BA95)</f>
        <v/>
      </c>
      <c r="AH95" s="48" t="str">
        <f>IF(TABLERO!BB95=0,"",IF(TABLERO!$F$17&lt;&gt;"KVA",TABLERO!BB95*1000,TABLERO!BB95*1000/TABLERO!DA95))</f>
        <v/>
      </c>
      <c r="AI95" s="48" t="str">
        <f>IF(TABLERO!BB95=0,"",IF(TABLERO!$F$17&lt;&gt;"KVA",TABLERO!BT95*1000,TABLERO!BT95*1000/TABLERO!DA95))</f>
        <v/>
      </c>
      <c r="AJ95" s="44" t="str">
        <f>IF(OR(TABLERO!BU95="",TABLERO!BU95=0),"",TABLERO!BU95)</f>
        <v/>
      </c>
      <c r="AK95" s="562" t="str">
        <f>IF(TABLERO!BB95=0,"",TABLERO!F95)</f>
        <v/>
      </c>
      <c r="AL95" s="562" t="str">
        <f>IF(TABLERO!BB95=0,"",TABLERO!G95)</f>
        <v/>
      </c>
      <c r="AM95" s="562" t="str">
        <f>IF(TABLERO!BB95=0,"",TABLERO!BV95)</f>
        <v/>
      </c>
      <c r="AN95" s="44" t="str">
        <f>IF(TABLERO!BB95=0,"",TABLERO!K95)</f>
        <v/>
      </c>
      <c r="AO95" s="562" t="str">
        <f>IF(TABLERO!BB95=0,"",TABLERO!J95)</f>
        <v/>
      </c>
      <c r="AP95" s="44" t="str">
        <f>IF(TABLERO!BB95=0,"",TABLERO!CT95)</f>
        <v/>
      </c>
      <c r="AQ95" s="44" t="str">
        <f>IF(TABLERO!BB95=0,"",TABLERO!CS95)</f>
        <v/>
      </c>
      <c r="AR95" s="44" t="str">
        <f>IF(TABLERO!BB95=0,"",TABLERO!CY95)</f>
        <v/>
      </c>
      <c r="AS95" s="562" t="str">
        <f>IF(TABLERO!BB95=0,"",TABLERO!N95)</f>
        <v/>
      </c>
      <c r="AT95" s="1079" t="str">
        <f>IF(TABLERO!BB95=0,"",TABLERO!BX95&amp;" "&amp;TABLERO!ED95&amp;", "&amp;TABLERO!I95)</f>
        <v/>
      </c>
      <c r="AU95" s="1080"/>
      <c r="AV95" s="44" t="str">
        <f>IF(TABLERO!BB95=0,"",TABLERO!BZ95)</f>
        <v/>
      </c>
      <c r="AW95" s="562" t="str">
        <f>IF(TABLERO!BB95=0,"",TABLERO!CA95)</f>
        <v/>
      </c>
      <c r="AX95" s="43" t="str">
        <f>IF(TABLERO!BB95=0,"",TABLERO!CB95)</f>
        <v/>
      </c>
      <c r="AY95" s="44" t="str">
        <f>IF(TABLERO!BB95=0,"",TABLERO!DL95)</f>
        <v/>
      </c>
      <c r="AZ95" s="576" t="str">
        <f>IF(OR(TABLERO!BB95=0,TABLERO!H95="RE"),"",TABLERO!F95&amp;"P-"&amp;TABLERO!BW95&amp;"A")</f>
        <v/>
      </c>
      <c r="BA95" s="44" t="str">
        <f>IF(TABLERO!BB95=0,"",TABLERO!CI95)</f>
        <v/>
      </c>
      <c r="BB95" s="44" t="str">
        <f>IF(TABLERO!BB95=0,"",TABLERO!CJ95)</f>
        <v/>
      </c>
      <c r="BC95" s="49" t="str">
        <f>IF(TABLERO!BB95=0,"",TABLERO!CK95)</f>
        <v/>
      </c>
      <c r="BG95" s="46">
        <f>IF(TABLERO!B95="",0,TABLERO!B95)</f>
        <v>65</v>
      </c>
      <c r="BH95" s="46">
        <f>IF(TABLERO!C95="",BG95,TABLERO!C95)</f>
        <v>65</v>
      </c>
      <c r="BI95" s="46">
        <f>IF(TABLERO!D95="",BG95,TABLERO!D95)</f>
        <v>65</v>
      </c>
      <c r="BJ95" s="50">
        <f t="shared" si="2"/>
        <v>0</v>
      </c>
    </row>
    <row r="96" spans="1:62" hidden="1">
      <c r="A96" s="46">
        <f>IF(OR(BG96&gt;TABLERO!$M$19,BH96&gt;TABLERO!$M$19,BI96&gt;TABLERO!$M$19,BG96=0,BH96=0,BI96=0),2,1)</f>
        <v>2</v>
      </c>
      <c r="B96" s="47" t="str">
        <f>TABLERO!B96&amp;IF(TABLERO!C96="","",","&amp;TABLERO!C96)&amp;IF(TABLERO!D96="","",","&amp;TABLERO!D96)</f>
        <v>66</v>
      </c>
      <c r="C96" s="42" t="str">
        <f>IF(TABLERO!E96=0,"",TABLERO!E96)</f>
        <v/>
      </c>
      <c r="D96" s="562" t="str">
        <f>IF(OR(TABLERO!X96="",TABLERO!X96=0),"",TABLERO!X96)</f>
        <v/>
      </c>
      <c r="E96" s="562" t="str">
        <f>IF(OR(TABLERO!Y96="",TABLERO!Y96=0),"",TABLERO!Y96)</f>
        <v/>
      </c>
      <c r="F96" s="562" t="str">
        <f>IF(OR(TABLERO!Z96="",TABLERO!Z96=0),"",TABLERO!Z96)</f>
        <v/>
      </c>
      <c r="G96" s="562" t="str">
        <f>IF(OR(TABLERO!AA96="",TABLERO!AA96=0),"",TABLERO!AA96)</f>
        <v/>
      </c>
      <c r="H96" s="562" t="str">
        <f>IF(OR(TABLERO!AB96="",TABLERO!AB96=0),"",TABLERO!AB96)</f>
        <v/>
      </c>
      <c r="I96" s="562" t="str">
        <f>IF(OR(TABLERO!AC96="",TABLERO!AC96=0),"",TABLERO!AC96)</f>
        <v/>
      </c>
      <c r="J96" s="562" t="str">
        <f>IF(OR(TABLERO!AD96="",TABLERO!AD96=0),"",TABLERO!AD96)</f>
        <v/>
      </c>
      <c r="K96" s="562" t="str">
        <f>IF(OR(TABLERO!AE96="",TABLERO!AE96=0),"",TABLERO!AE96)</f>
        <v/>
      </c>
      <c r="L96" s="562" t="str">
        <f>IF(OR(TABLERO!AF96="",TABLERO!AF96=0),"",TABLERO!AF96)</f>
        <v/>
      </c>
      <c r="M96" s="562" t="str">
        <f>IF(OR(TABLERO!AG96="",TABLERO!AG96=0),"",TABLERO!AG96)</f>
        <v/>
      </c>
      <c r="N96" s="562" t="str">
        <f>IF(OR(TABLERO!AH96="",TABLERO!AH96=0),"",TABLERO!AH96)</f>
        <v/>
      </c>
      <c r="O96" s="562" t="str">
        <f>IF(OR(TABLERO!AI96="",TABLERO!AI96=0),"",TABLERO!AI96)</f>
        <v/>
      </c>
      <c r="P96" s="562" t="str">
        <f>IF(OR(TABLERO!AJ96="",TABLERO!AJ96=0),"",TABLERO!AJ96)</f>
        <v/>
      </c>
      <c r="Q96" s="562" t="str">
        <f>IF(OR(TABLERO!AK96="",TABLERO!AK96=0),"",TABLERO!AK96)</f>
        <v/>
      </c>
      <c r="R96" s="562" t="str">
        <f>IF(OR(TABLERO!AL96="",TABLERO!AL96=0),"",TABLERO!AL96)</f>
        <v/>
      </c>
      <c r="S96" s="562" t="str">
        <f>IF(OR(TABLERO!AM96="",TABLERO!AM96=0),"",TABLERO!AM96)</f>
        <v/>
      </c>
      <c r="T96" s="562" t="str">
        <f>IF(OR(TABLERO!AN96="",TABLERO!AN96=0),"",TABLERO!AN96)</f>
        <v/>
      </c>
      <c r="U96" s="562" t="str">
        <f>IF(OR(TABLERO!AO96="",TABLERO!AO96=0),"",TABLERO!AO96)</f>
        <v/>
      </c>
      <c r="V96" s="562" t="str">
        <f>IF(OR(TABLERO!AP96="",TABLERO!AP96=0),"",TABLERO!AP96)</f>
        <v/>
      </c>
      <c r="W96" s="562" t="str">
        <f>IF(OR(TABLERO!AQ96="",TABLERO!AQ96=0),"",TABLERO!AQ96)</f>
        <v/>
      </c>
      <c r="X96" s="562" t="str">
        <f>IF(OR(TABLERO!AR96="",TABLERO!AR96=0),"",TABLERO!AR96)</f>
        <v/>
      </c>
      <c r="Y96" s="562" t="str">
        <f>IF(OR(TABLERO!AS96="",TABLERO!AS96=0),"",TABLERO!AS96)</f>
        <v/>
      </c>
      <c r="Z96" s="562" t="str">
        <f>IF(OR(TABLERO!AT96="",TABLERO!AT96=0),"",TABLERO!AT96)</f>
        <v/>
      </c>
      <c r="AA96" s="562" t="str">
        <f>IF(OR(TABLERO!AU96="",TABLERO!AU96=0),"",TABLERO!AU96)</f>
        <v/>
      </c>
      <c r="AB96" s="562" t="str">
        <f>IF(OR(TABLERO!AV96="",TABLERO!AV96=0),"",TABLERO!AV96)</f>
        <v/>
      </c>
      <c r="AC96" s="562" t="str">
        <f>IF(OR(TABLERO!AW96="",TABLERO!AW96=0),"",TABLERO!AW96)</f>
        <v/>
      </c>
      <c r="AD96" s="562" t="str">
        <f>IF(OR(TABLERO!AX96="",TABLERO!AX96=0),"",TABLERO!AX96)</f>
        <v/>
      </c>
      <c r="AE96" s="562" t="str">
        <f>IF(OR(TABLERO!AY96="",TABLERO!AY96=0),"",TABLERO!AY96)</f>
        <v/>
      </c>
      <c r="AF96" s="562" t="str">
        <f>IF(OR(TABLERO!AZ96="",TABLERO!AZ96=0),"",TABLERO!AZ96)</f>
        <v/>
      </c>
      <c r="AG96" s="562" t="str">
        <f>IF(OR(TABLERO!BA96="",TABLERO!BA96=0),"",TABLERO!BA96)</f>
        <v/>
      </c>
      <c r="AH96" s="48" t="str">
        <f>IF(TABLERO!BB96=0,"",IF(TABLERO!$F$17&lt;&gt;"KVA",TABLERO!BB96*1000,TABLERO!BB96*1000/TABLERO!DA96))</f>
        <v/>
      </c>
      <c r="AI96" s="48" t="str">
        <f>IF(TABLERO!BB96=0,"",IF(TABLERO!$F$17&lt;&gt;"KVA",TABLERO!BT96*1000,TABLERO!BT96*1000/TABLERO!DA96))</f>
        <v/>
      </c>
      <c r="AJ96" s="44" t="str">
        <f>IF(OR(TABLERO!BU96="",TABLERO!BU96=0),"",TABLERO!BU96)</f>
        <v/>
      </c>
      <c r="AK96" s="562" t="str">
        <f>IF(TABLERO!BB96=0,"",TABLERO!F96)</f>
        <v/>
      </c>
      <c r="AL96" s="562" t="str">
        <f>IF(TABLERO!BB96=0,"",TABLERO!G96)</f>
        <v/>
      </c>
      <c r="AM96" s="562" t="str">
        <f>IF(TABLERO!BB96=0,"",TABLERO!BV96)</f>
        <v/>
      </c>
      <c r="AN96" s="44" t="str">
        <f>IF(TABLERO!BB96=0,"",TABLERO!K96)</f>
        <v/>
      </c>
      <c r="AO96" s="562" t="str">
        <f>IF(TABLERO!BB96=0,"",TABLERO!J96)</f>
        <v/>
      </c>
      <c r="AP96" s="44" t="str">
        <f>IF(TABLERO!BB96=0,"",TABLERO!CT96)</f>
        <v/>
      </c>
      <c r="AQ96" s="44" t="str">
        <f>IF(TABLERO!BB96=0,"",TABLERO!CS96)</f>
        <v/>
      </c>
      <c r="AR96" s="44" t="str">
        <f>IF(TABLERO!BB96=0,"",TABLERO!CY96)</f>
        <v/>
      </c>
      <c r="AS96" s="562" t="str">
        <f>IF(TABLERO!BB96=0,"",TABLERO!N96)</f>
        <v/>
      </c>
      <c r="AT96" s="1079" t="str">
        <f>IF(TABLERO!BB96=0,"",TABLERO!BX96&amp;" "&amp;TABLERO!ED96&amp;", "&amp;TABLERO!I96)</f>
        <v/>
      </c>
      <c r="AU96" s="1080"/>
      <c r="AV96" s="44" t="str">
        <f>IF(TABLERO!BB96=0,"",TABLERO!BZ96)</f>
        <v/>
      </c>
      <c r="AW96" s="562" t="str">
        <f>IF(TABLERO!BB96=0,"",TABLERO!CA96)</f>
        <v/>
      </c>
      <c r="AX96" s="43" t="str">
        <f>IF(TABLERO!BB96=0,"",TABLERO!CB96)</f>
        <v/>
      </c>
      <c r="AY96" s="44" t="str">
        <f>IF(TABLERO!BB96=0,"",TABLERO!DL96)</f>
        <v/>
      </c>
      <c r="AZ96" s="576" t="str">
        <f>IF(OR(TABLERO!BB96=0,TABLERO!H96="RE"),"",TABLERO!F96&amp;"P-"&amp;TABLERO!BW96&amp;"A")</f>
        <v/>
      </c>
      <c r="BA96" s="44" t="str">
        <f>IF(TABLERO!BB96=0,"",TABLERO!CI96)</f>
        <v/>
      </c>
      <c r="BB96" s="44" t="str">
        <f>IF(TABLERO!BB96=0,"",TABLERO!CJ96)</f>
        <v/>
      </c>
      <c r="BC96" s="49" t="str">
        <f>IF(TABLERO!BB96=0,"",TABLERO!CK96)</f>
        <v/>
      </c>
      <c r="BG96" s="46">
        <f>IF(TABLERO!B96="",0,TABLERO!B96)</f>
        <v>66</v>
      </c>
      <c r="BH96" s="46">
        <f>IF(TABLERO!C96="",BG96,TABLERO!C96)</f>
        <v>66</v>
      </c>
      <c r="BI96" s="46">
        <f>IF(TABLERO!D96="",BG96,TABLERO!D96)</f>
        <v>66</v>
      </c>
      <c r="BJ96" s="50">
        <f t="shared" si="2"/>
        <v>0</v>
      </c>
    </row>
    <row r="97" spans="1:62" hidden="1">
      <c r="A97" s="46">
        <f>IF(OR(BG97&gt;TABLERO!$M$19,BH97&gt;TABLERO!$M$19,BI97&gt;TABLERO!$M$19,BG97=0,BH97=0,BI97=0),2,1)</f>
        <v>2</v>
      </c>
      <c r="B97" s="47" t="str">
        <f>TABLERO!B97&amp;IF(TABLERO!C97="","",","&amp;TABLERO!C97)&amp;IF(TABLERO!D97="","",","&amp;TABLERO!D97)</f>
        <v>67</v>
      </c>
      <c r="C97" s="42" t="str">
        <f>IF(TABLERO!E97=0,"",TABLERO!E97)</f>
        <v/>
      </c>
      <c r="D97" s="562" t="str">
        <f>IF(OR(TABLERO!X97="",TABLERO!X97=0),"",TABLERO!X97)</f>
        <v/>
      </c>
      <c r="E97" s="562" t="str">
        <f>IF(OR(TABLERO!Y97="",TABLERO!Y97=0),"",TABLERO!Y97)</f>
        <v/>
      </c>
      <c r="F97" s="562" t="str">
        <f>IF(OR(TABLERO!Z97="",TABLERO!Z97=0),"",TABLERO!Z97)</f>
        <v/>
      </c>
      <c r="G97" s="562" t="str">
        <f>IF(OR(TABLERO!AA97="",TABLERO!AA97=0),"",TABLERO!AA97)</f>
        <v/>
      </c>
      <c r="H97" s="562" t="str">
        <f>IF(OR(TABLERO!AB97="",TABLERO!AB97=0),"",TABLERO!AB97)</f>
        <v/>
      </c>
      <c r="I97" s="562" t="str">
        <f>IF(OR(TABLERO!AC97="",TABLERO!AC97=0),"",TABLERO!AC97)</f>
        <v/>
      </c>
      <c r="J97" s="562" t="str">
        <f>IF(OR(TABLERO!AD97="",TABLERO!AD97=0),"",TABLERO!AD97)</f>
        <v/>
      </c>
      <c r="K97" s="562" t="str">
        <f>IF(OR(TABLERO!AE97="",TABLERO!AE97=0),"",TABLERO!AE97)</f>
        <v/>
      </c>
      <c r="L97" s="562" t="str">
        <f>IF(OR(TABLERO!AF97="",TABLERO!AF97=0),"",TABLERO!AF97)</f>
        <v/>
      </c>
      <c r="M97" s="562" t="str">
        <f>IF(OR(TABLERO!AG97="",TABLERO!AG97=0),"",TABLERO!AG97)</f>
        <v/>
      </c>
      <c r="N97" s="562" t="str">
        <f>IF(OR(TABLERO!AH97="",TABLERO!AH97=0),"",TABLERO!AH97)</f>
        <v/>
      </c>
      <c r="O97" s="562" t="str">
        <f>IF(OR(TABLERO!AI97="",TABLERO!AI97=0),"",TABLERO!AI97)</f>
        <v/>
      </c>
      <c r="P97" s="562" t="str">
        <f>IF(OR(TABLERO!AJ97="",TABLERO!AJ97=0),"",TABLERO!AJ97)</f>
        <v/>
      </c>
      <c r="Q97" s="562" t="str">
        <f>IF(OR(TABLERO!AK97="",TABLERO!AK97=0),"",TABLERO!AK97)</f>
        <v/>
      </c>
      <c r="R97" s="562" t="str">
        <f>IF(OR(TABLERO!AL97="",TABLERO!AL97=0),"",TABLERO!AL97)</f>
        <v/>
      </c>
      <c r="S97" s="562" t="str">
        <f>IF(OR(TABLERO!AM97="",TABLERO!AM97=0),"",TABLERO!AM97)</f>
        <v/>
      </c>
      <c r="T97" s="562" t="str">
        <f>IF(OR(TABLERO!AN97="",TABLERO!AN97=0),"",TABLERO!AN97)</f>
        <v/>
      </c>
      <c r="U97" s="562" t="str">
        <f>IF(OR(TABLERO!AO97="",TABLERO!AO97=0),"",TABLERO!AO97)</f>
        <v/>
      </c>
      <c r="V97" s="562" t="str">
        <f>IF(OR(TABLERO!AP97="",TABLERO!AP97=0),"",TABLERO!AP97)</f>
        <v/>
      </c>
      <c r="W97" s="562" t="str">
        <f>IF(OR(TABLERO!AQ97="",TABLERO!AQ97=0),"",TABLERO!AQ97)</f>
        <v/>
      </c>
      <c r="X97" s="562" t="str">
        <f>IF(OR(TABLERO!AR97="",TABLERO!AR97=0),"",TABLERO!AR97)</f>
        <v/>
      </c>
      <c r="Y97" s="562" t="str">
        <f>IF(OR(TABLERO!AS97="",TABLERO!AS97=0),"",TABLERO!AS97)</f>
        <v/>
      </c>
      <c r="Z97" s="562" t="str">
        <f>IF(OR(TABLERO!AT97="",TABLERO!AT97=0),"",TABLERO!AT97)</f>
        <v/>
      </c>
      <c r="AA97" s="562" t="str">
        <f>IF(OR(TABLERO!AU97="",TABLERO!AU97=0),"",TABLERO!AU97)</f>
        <v/>
      </c>
      <c r="AB97" s="562" t="str">
        <f>IF(OR(TABLERO!AV97="",TABLERO!AV97=0),"",TABLERO!AV97)</f>
        <v/>
      </c>
      <c r="AC97" s="562" t="str">
        <f>IF(OR(TABLERO!AW97="",TABLERO!AW97=0),"",TABLERO!AW97)</f>
        <v/>
      </c>
      <c r="AD97" s="562" t="str">
        <f>IF(OR(TABLERO!AX97="",TABLERO!AX97=0),"",TABLERO!AX97)</f>
        <v/>
      </c>
      <c r="AE97" s="562" t="str">
        <f>IF(OR(TABLERO!AY97="",TABLERO!AY97=0),"",TABLERO!AY97)</f>
        <v/>
      </c>
      <c r="AF97" s="562" t="str">
        <f>IF(OR(TABLERO!AZ97="",TABLERO!AZ97=0),"",TABLERO!AZ97)</f>
        <v/>
      </c>
      <c r="AG97" s="562" t="str">
        <f>IF(OR(TABLERO!BA97="",TABLERO!BA97=0),"",TABLERO!BA97)</f>
        <v/>
      </c>
      <c r="AH97" s="48" t="str">
        <f>IF(TABLERO!BB97=0,"",IF(TABLERO!$F$17&lt;&gt;"KVA",TABLERO!BB97*1000,TABLERO!BB97*1000/TABLERO!DA97))</f>
        <v/>
      </c>
      <c r="AI97" s="48" t="str">
        <f>IF(TABLERO!BB97=0,"",IF(TABLERO!$F$17&lt;&gt;"KVA",TABLERO!BT97*1000,TABLERO!BT97*1000/TABLERO!DA97))</f>
        <v/>
      </c>
      <c r="AJ97" s="44" t="str">
        <f>IF(OR(TABLERO!BU97="",TABLERO!BU97=0),"",TABLERO!BU97)</f>
        <v/>
      </c>
      <c r="AK97" s="562" t="str">
        <f>IF(TABLERO!BB97=0,"",TABLERO!F97)</f>
        <v/>
      </c>
      <c r="AL97" s="562" t="str">
        <f>IF(TABLERO!BB97=0,"",TABLERO!G97)</f>
        <v/>
      </c>
      <c r="AM97" s="562" t="str">
        <f>IF(TABLERO!BB97=0,"",TABLERO!BV97)</f>
        <v/>
      </c>
      <c r="AN97" s="44" t="str">
        <f>IF(TABLERO!BB97=0,"",TABLERO!K97)</f>
        <v/>
      </c>
      <c r="AO97" s="562" t="str">
        <f>IF(TABLERO!BB97=0,"",TABLERO!J97)</f>
        <v/>
      </c>
      <c r="AP97" s="44" t="str">
        <f>IF(TABLERO!BB97=0,"",TABLERO!CT97)</f>
        <v/>
      </c>
      <c r="AQ97" s="44" t="str">
        <f>IF(TABLERO!BB97=0,"",TABLERO!CS97)</f>
        <v/>
      </c>
      <c r="AR97" s="44" t="str">
        <f>IF(TABLERO!BB97=0,"",TABLERO!CY97)</f>
        <v/>
      </c>
      <c r="AS97" s="562" t="str">
        <f>IF(TABLERO!BB97=0,"",TABLERO!N97)</f>
        <v/>
      </c>
      <c r="AT97" s="1079" t="str">
        <f>IF(TABLERO!BB97=0,"",TABLERO!BX97&amp;" "&amp;TABLERO!ED97&amp;", "&amp;TABLERO!I97)</f>
        <v/>
      </c>
      <c r="AU97" s="1080"/>
      <c r="AV97" s="44" t="str">
        <f>IF(TABLERO!BB97=0,"",TABLERO!BZ97)</f>
        <v/>
      </c>
      <c r="AW97" s="562" t="str">
        <f>IF(TABLERO!BB97=0,"",TABLERO!CA97)</f>
        <v/>
      </c>
      <c r="AX97" s="43" t="str">
        <f>IF(TABLERO!BB97=0,"",TABLERO!CB97)</f>
        <v/>
      </c>
      <c r="AY97" s="44" t="str">
        <f>IF(TABLERO!BB97=0,"",TABLERO!DL97)</f>
        <v/>
      </c>
      <c r="AZ97" s="576" t="str">
        <f>IF(OR(TABLERO!BB97=0,TABLERO!H97="RE"),"",TABLERO!F97&amp;"P-"&amp;TABLERO!BW97&amp;"A")</f>
        <v/>
      </c>
      <c r="BA97" s="44" t="str">
        <f>IF(TABLERO!BB97=0,"",TABLERO!CI97)</f>
        <v/>
      </c>
      <c r="BB97" s="44" t="str">
        <f>IF(TABLERO!BB97=0,"",TABLERO!CJ97)</f>
        <v/>
      </c>
      <c r="BC97" s="49" t="str">
        <f>IF(TABLERO!BB97=0,"",TABLERO!CK97)</f>
        <v/>
      </c>
      <c r="BG97" s="46">
        <f>IF(TABLERO!B97="",0,TABLERO!B97)</f>
        <v>67</v>
      </c>
      <c r="BH97" s="46">
        <f>IF(TABLERO!C97="",BG97,TABLERO!C97)</f>
        <v>67</v>
      </c>
      <c r="BI97" s="46">
        <f>IF(TABLERO!D97="",BG97,TABLERO!D97)</f>
        <v>67</v>
      </c>
      <c r="BJ97" s="50">
        <f t="shared" si="2"/>
        <v>0</v>
      </c>
    </row>
    <row r="98" spans="1:62" hidden="1">
      <c r="A98" s="46">
        <f>IF(OR(BG98&gt;TABLERO!$M$19,BH98&gt;TABLERO!$M$19,BI98&gt;TABLERO!$M$19,BG98=0,BH98=0,BI98=0),2,1)</f>
        <v>2</v>
      </c>
      <c r="B98" s="47" t="str">
        <f>TABLERO!B98&amp;IF(TABLERO!C98="","",","&amp;TABLERO!C98)&amp;IF(TABLERO!D98="","",","&amp;TABLERO!D98)</f>
        <v>68</v>
      </c>
      <c r="C98" s="42" t="str">
        <f>IF(TABLERO!E98=0,"",TABLERO!E98)</f>
        <v/>
      </c>
      <c r="D98" s="562" t="str">
        <f>IF(OR(TABLERO!X98="",TABLERO!X98=0),"",TABLERO!X98)</f>
        <v/>
      </c>
      <c r="E98" s="562" t="str">
        <f>IF(OR(TABLERO!Y98="",TABLERO!Y98=0),"",TABLERO!Y98)</f>
        <v/>
      </c>
      <c r="F98" s="562" t="str">
        <f>IF(OR(TABLERO!Z98="",TABLERO!Z98=0),"",TABLERO!Z98)</f>
        <v/>
      </c>
      <c r="G98" s="562" t="str">
        <f>IF(OR(TABLERO!AA98="",TABLERO!AA98=0),"",TABLERO!AA98)</f>
        <v/>
      </c>
      <c r="H98" s="562" t="str">
        <f>IF(OR(TABLERO!AB98="",TABLERO!AB98=0),"",TABLERO!AB98)</f>
        <v/>
      </c>
      <c r="I98" s="562" t="str">
        <f>IF(OR(TABLERO!AC98="",TABLERO!AC98=0),"",TABLERO!AC98)</f>
        <v/>
      </c>
      <c r="J98" s="562" t="str">
        <f>IF(OR(TABLERO!AD98="",TABLERO!AD98=0),"",TABLERO!AD98)</f>
        <v/>
      </c>
      <c r="K98" s="562" t="str">
        <f>IF(OR(TABLERO!AE98="",TABLERO!AE98=0),"",TABLERO!AE98)</f>
        <v/>
      </c>
      <c r="L98" s="562" t="str">
        <f>IF(OR(TABLERO!AF98="",TABLERO!AF98=0),"",TABLERO!AF98)</f>
        <v/>
      </c>
      <c r="M98" s="562" t="str">
        <f>IF(OR(TABLERO!AG98="",TABLERO!AG98=0),"",TABLERO!AG98)</f>
        <v/>
      </c>
      <c r="N98" s="562" t="str">
        <f>IF(OR(TABLERO!AH98="",TABLERO!AH98=0),"",TABLERO!AH98)</f>
        <v/>
      </c>
      <c r="O98" s="562" t="str">
        <f>IF(OR(TABLERO!AI98="",TABLERO!AI98=0),"",TABLERO!AI98)</f>
        <v/>
      </c>
      <c r="P98" s="562" t="str">
        <f>IF(OR(TABLERO!AJ98="",TABLERO!AJ98=0),"",TABLERO!AJ98)</f>
        <v/>
      </c>
      <c r="Q98" s="562" t="str">
        <f>IF(OR(TABLERO!AK98="",TABLERO!AK98=0),"",TABLERO!AK98)</f>
        <v/>
      </c>
      <c r="R98" s="562" t="str">
        <f>IF(OR(TABLERO!AL98="",TABLERO!AL98=0),"",TABLERO!AL98)</f>
        <v/>
      </c>
      <c r="S98" s="562" t="str">
        <f>IF(OR(TABLERO!AM98="",TABLERO!AM98=0),"",TABLERO!AM98)</f>
        <v/>
      </c>
      <c r="T98" s="562" t="str">
        <f>IF(OR(TABLERO!AN98="",TABLERO!AN98=0),"",TABLERO!AN98)</f>
        <v/>
      </c>
      <c r="U98" s="562" t="str">
        <f>IF(OR(TABLERO!AO98="",TABLERO!AO98=0),"",TABLERO!AO98)</f>
        <v/>
      </c>
      <c r="V98" s="562" t="str">
        <f>IF(OR(TABLERO!AP98="",TABLERO!AP98=0),"",TABLERO!AP98)</f>
        <v/>
      </c>
      <c r="W98" s="562" t="str">
        <f>IF(OR(TABLERO!AQ98="",TABLERO!AQ98=0),"",TABLERO!AQ98)</f>
        <v/>
      </c>
      <c r="X98" s="562" t="str">
        <f>IF(OR(TABLERO!AR98="",TABLERO!AR98=0),"",TABLERO!AR98)</f>
        <v/>
      </c>
      <c r="Y98" s="562" t="str">
        <f>IF(OR(TABLERO!AS98="",TABLERO!AS98=0),"",TABLERO!AS98)</f>
        <v/>
      </c>
      <c r="Z98" s="562" t="str">
        <f>IF(OR(TABLERO!AT98="",TABLERO!AT98=0),"",TABLERO!AT98)</f>
        <v/>
      </c>
      <c r="AA98" s="562" t="str">
        <f>IF(OR(TABLERO!AU98="",TABLERO!AU98=0),"",TABLERO!AU98)</f>
        <v/>
      </c>
      <c r="AB98" s="562" t="str">
        <f>IF(OR(TABLERO!AV98="",TABLERO!AV98=0),"",TABLERO!AV98)</f>
        <v/>
      </c>
      <c r="AC98" s="562" t="str">
        <f>IF(OR(TABLERO!AW98="",TABLERO!AW98=0),"",TABLERO!AW98)</f>
        <v/>
      </c>
      <c r="AD98" s="562" t="str">
        <f>IF(OR(TABLERO!AX98="",TABLERO!AX98=0),"",TABLERO!AX98)</f>
        <v/>
      </c>
      <c r="AE98" s="562" t="str">
        <f>IF(OR(TABLERO!AY98="",TABLERO!AY98=0),"",TABLERO!AY98)</f>
        <v/>
      </c>
      <c r="AF98" s="562" t="str">
        <f>IF(OR(TABLERO!AZ98="",TABLERO!AZ98=0),"",TABLERO!AZ98)</f>
        <v/>
      </c>
      <c r="AG98" s="562" t="str">
        <f>IF(OR(TABLERO!BA98="",TABLERO!BA98=0),"",TABLERO!BA98)</f>
        <v/>
      </c>
      <c r="AH98" s="48" t="str">
        <f>IF(TABLERO!BB98=0,"",IF(TABLERO!$F$17&lt;&gt;"KVA",TABLERO!BB98*1000,TABLERO!BB98*1000/TABLERO!DA98))</f>
        <v/>
      </c>
      <c r="AI98" s="48" t="str">
        <f>IF(TABLERO!BB98=0,"",IF(TABLERO!$F$17&lt;&gt;"KVA",TABLERO!BT98*1000,TABLERO!BT98*1000/TABLERO!DA98))</f>
        <v/>
      </c>
      <c r="AJ98" s="44" t="str">
        <f>IF(OR(TABLERO!BU98="",TABLERO!BU98=0),"",TABLERO!BU98)</f>
        <v/>
      </c>
      <c r="AK98" s="562" t="str">
        <f>IF(TABLERO!BB98=0,"",TABLERO!F98)</f>
        <v/>
      </c>
      <c r="AL98" s="562" t="str">
        <f>IF(TABLERO!BB98=0,"",TABLERO!G98)</f>
        <v/>
      </c>
      <c r="AM98" s="562" t="str">
        <f>IF(TABLERO!BB98=0,"",TABLERO!BV98)</f>
        <v/>
      </c>
      <c r="AN98" s="44" t="str">
        <f>IF(TABLERO!BB98=0,"",TABLERO!K98)</f>
        <v/>
      </c>
      <c r="AO98" s="562" t="str">
        <f>IF(TABLERO!BB98=0,"",TABLERO!J98)</f>
        <v/>
      </c>
      <c r="AP98" s="44" t="str">
        <f>IF(TABLERO!BB98=0,"",TABLERO!CT98)</f>
        <v/>
      </c>
      <c r="AQ98" s="44" t="str">
        <f>IF(TABLERO!BB98=0,"",TABLERO!CS98)</f>
        <v/>
      </c>
      <c r="AR98" s="44" t="str">
        <f>IF(TABLERO!BB98=0,"",TABLERO!CY98)</f>
        <v/>
      </c>
      <c r="AS98" s="562" t="str">
        <f>IF(TABLERO!BB98=0,"",TABLERO!N98)</f>
        <v/>
      </c>
      <c r="AT98" s="1079" t="str">
        <f>IF(TABLERO!BB98=0,"",TABLERO!BX98&amp;" "&amp;TABLERO!ED98&amp;", "&amp;TABLERO!I98)</f>
        <v/>
      </c>
      <c r="AU98" s="1080"/>
      <c r="AV98" s="44" t="str">
        <f>IF(TABLERO!BB98=0,"",TABLERO!BZ98)</f>
        <v/>
      </c>
      <c r="AW98" s="562" t="str">
        <f>IF(TABLERO!BB98=0,"",TABLERO!CA98)</f>
        <v/>
      </c>
      <c r="AX98" s="43" t="str">
        <f>IF(TABLERO!BB98=0,"",TABLERO!CB98)</f>
        <v/>
      </c>
      <c r="AY98" s="44" t="str">
        <f>IF(TABLERO!BB98=0,"",TABLERO!DL98)</f>
        <v/>
      </c>
      <c r="AZ98" s="576" t="str">
        <f>IF(OR(TABLERO!BB98=0,TABLERO!H98="RE"),"",TABLERO!F98&amp;"P-"&amp;TABLERO!BW98&amp;"A")</f>
        <v/>
      </c>
      <c r="BA98" s="44" t="str">
        <f>IF(TABLERO!BB98=0,"",TABLERO!CI98)</f>
        <v/>
      </c>
      <c r="BB98" s="44" t="str">
        <f>IF(TABLERO!BB98=0,"",TABLERO!CJ98)</f>
        <v/>
      </c>
      <c r="BC98" s="49" t="str">
        <f>IF(TABLERO!BB98=0,"",TABLERO!CK98)</f>
        <v/>
      </c>
      <c r="BG98" s="46">
        <f>IF(TABLERO!B98="",0,TABLERO!B98)</f>
        <v>68</v>
      </c>
      <c r="BH98" s="46">
        <f>IF(TABLERO!C98="",BG98,TABLERO!C98)</f>
        <v>68</v>
      </c>
      <c r="BI98" s="46">
        <f>IF(TABLERO!D98="",BG98,TABLERO!D98)</f>
        <v>68</v>
      </c>
      <c r="BJ98" s="50">
        <f t="shared" si="2"/>
        <v>0</v>
      </c>
    </row>
    <row r="99" spans="1:62" hidden="1">
      <c r="A99" s="46">
        <f>IF(OR(BG99&gt;TABLERO!$M$19,BH99&gt;TABLERO!$M$19,BI99&gt;TABLERO!$M$19,BG99=0,BH99=0,BI99=0),2,1)</f>
        <v>2</v>
      </c>
      <c r="B99" s="47" t="str">
        <f>TABLERO!B99&amp;IF(TABLERO!C99="","",","&amp;TABLERO!C99)&amp;IF(TABLERO!D99="","",","&amp;TABLERO!D99)</f>
        <v>69</v>
      </c>
      <c r="C99" s="42" t="str">
        <f>IF(TABLERO!E99=0,"",TABLERO!E99)</f>
        <v/>
      </c>
      <c r="D99" s="562" t="str">
        <f>IF(OR(TABLERO!X99="",TABLERO!X99=0),"",TABLERO!X99)</f>
        <v/>
      </c>
      <c r="E99" s="562" t="str">
        <f>IF(OR(TABLERO!Y99="",TABLERO!Y99=0),"",TABLERO!Y99)</f>
        <v/>
      </c>
      <c r="F99" s="562" t="str">
        <f>IF(OR(TABLERO!Z99="",TABLERO!Z99=0),"",TABLERO!Z99)</f>
        <v/>
      </c>
      <c r="G99" s="562" t="str">
        <f>IF(OR(TABLERO!AA99="",TABLERO!AA99=0),"",TABLERO!AA99)</f>
        <v/>
      </c>
      <c r="H99" s="562" t="str">
        <f>IF(OR(TABLERO!AB99="",TABLERO!AB99=0),"",TABLERO!AB99)</f>
        <v/>
      </c>
      <c r="I99" s="562" t="str">
        <f>IF(OR(TABLERO!AC99="",TABLERO!AC99=0),"",TABLERO!AC99)</f>
        <v/>
      </c>
      <c r="J99" s="562" t="str">
        <f>IF(OR(TABLERO!AD99="",TABLERO!AD99=0),"",TABLERO!AD99)</f>
        <v/>
      </c>
      <c r="K99" s="562" t="str">
        <f>IF(OR(TABLERO!AE99="",TABLERO!AE99=0),"",TABLERO!AE99)</f>
        <v/>
      </c>
      <c r="L99" s="562" t="str">
        <f>IF(OR(TABLERO!AF99="",TABLERO!AF99=0),"",TABLERO!AF99)</f>
        <v/>
      </c>
      <c r="M99" s="562" t="str">
        <f>IF(OR(TABLERO!AG99="",TABLERO!AG99=0),"",TABLERO!AG99)</f>
        <v/>
      </c>
      <c r="N99" s="562" t="str">
        <f>IF(OR(TABLERO!AH99="",TABLERO!AH99=0),"",TABLERO!AH99)</f>
        <v/>
      </c>
      <c r="O99" s="562" t="str">
        <f>IF(OR(TABLERO!AI99="",TABLERO!AI99=0),"",TABLERO!AI99)</f>
        <v/>
      </c>
      <c r="P99" s="562" t="str">
        <f>IF(OR(TABLERO!AJ99="",TABLERO!AJ99=0),"",TABLERO!AJ99)</f>
        <v/>
      </c>
      <c r="Q99" s="562" t="str">
        <f>IF(OR(TABLERO!AK99="",TABLERO!AK99=0),"",TABLERO!AK99)</f>
        <v/>
      </c>
      <c r="R99" s="562" t="str">
        <f>IF(OR(TABLERO!AL99="",TABLERO!AL99=0),"",TABLERO!AL99)</f>
        <v/>
      </c>
      <c r="S99" s="562" t="str">
        <f>IF(OR(TABLERO!AM99="",TABLERO!AM99=0),"",TABLERO!AM99)</f>
        <v/>
      </c>
      <c r="T99" s="562" t="str">
        <f>IF(OR(TABLERO!AN99="",TABLERO!AN99=0),"",TABLERO!AN99)</f>
        <v/>
      </c>
      <c r="U99" s="562" t="str">
        <f>IF(OR(TABLERO!AO99="",TABLERO!AO99=0),"",TABLERO!AO99)</f>
        <v/>
      </c>
      <c r="V99" s="562" t="str">
        <f>IF(OR(TABLERO!AP99="",TABLERO!AP99=0),"",TABLERO!AP99)</f>
        <v/>
      </c>
      <c r="W99" s="562" t="str">
        <f>IF(OR(TABLERO!AQ99="",TABLERO!AQ99=0),"",TABLERO!AQ99)</f>
        <v/>
      </c>
      <c r="X99" s="562" t="str">
        <f>IF(OR(TABLERO!AR99="",TABLERO!AR99=0),"",TABLERO!AR99)</f>
        <v/>
      </c>
      <c r="Y99" s="562" t="str">
        <f>IF(OR(TABLERO!AS99="",TABLERO!AS99=0),"",TABLERO!AS99)</f>
        <v/>
      </c>
      <c r="Z99" s="562" t="str">
        <f>IF(OR(TABLERO!AT99="",TABLERO!AT99=0),"",TABLERO!AT99)</f>
        <v/>
      </c>
      <c r="AA99" s="562" t="str">
        <f>IF(OR(TABLERO!AU99="",TABLERO!AU99=0),"",TABLERO!AU99)</f>
        <v/>
      </c>
      <c r="AB99" s="562" t="str">
        <f>IF(OR(TABLERO!AV99="",TABLERO!AV99=0),"",TABLERO!AV99)</f>
        <v/>
      </c>
      <c r="AC99" s="562" t="str">
        <f>IF(OR(TABLERO!AW99="",TABLERO!AW99=0),"",TABLERO!AW99)</f>
        <v/>
      </c>
      <c r="AD99" s="562" t="str">
        <f>IF(OR(TABLERO!AX99="",TABLERO!AX99=0),"",TABLERO!AX99)</f>
        <v/>
      </c>
      <c r="AE99" s="562" t="str">
        <f>IF(OR(TABLERO!AY99="",TABLERO!AY99=0),"",TABLERO!AY99)</f>
        <v/>
      </c>
      <c r="AF99" s="562" t="str">
        <f>IF(OR(TABLERO!AZ99="",TABLERO!AZ99=0),"",TABLERO!AZ99)</f>
        <v/>
      </c>
      <c r="AG99" s="562" t="str">
        <f>IF(OR(TABLERO!BA99="",TABLERO!BA99=0),"",TABLERO!BA99)</f>
        <v/>
      </c>
      <c r="AH99" s="48" t="str">
        <f>IF(TABLERO!BB99=0,"",IF(TABLERO!$F$17&lt;&gt;"KVA",TABLERO!BB99*1000,TABLERO!BB99*1000/TABLERO!DA99))</f>
        <v/>
      </c>
      <c r="AI99" s="48" t="str">
        <f>IF(TABLERO!BB99=0,"",IF(TABLERO!$F$17&lt;&gt;"KVA",TABLERO!BT99*1000,TABLERO!BT99*1000/TABLERO!DA99))</f>
        <v/>
      </c>
      <c r="AJ99" s="44" t="str">
        <f>IF(OR(TABLERO!BU99="",TABLERO!BU99=0),"",TABLERO!BU99)</f>
        <v/>
      </c>
      <c r="AK99" s="562" t="str">
        <f>IF(TABLERO!BB99=0,"",TABLERO!F99)</f>
        <v/>
      </c>
      <c r="AL99" s="562" t="str">
        <f>IF(TABLERO!BB99=0,"",TABLERO!G99)</f>
        <v/>
      </c>
      <c r="AM99" s="562" t="str">
        <f>IF(TABLERO!BB99=0,"",TABLERO!BV99)</f>
        <v/>
      </c>
      <c r="AN99" s="44" t="str">
        <f>IF(TABLERO!BB99=0,"",TABLERO!K99)</f>
        <v/>
      </c>
      <c r="AO99" s="562" t="str">
        <f>IF(TABLERO!BB99=0,"",TABLERO!J99)</f>
        <v/>
      </c>
      <c r="AP99" s="44" t="str">
        <f>IF(TABLERO!BB99=0,"",TABLERO!CT99)</f>
        <v/>
      </c>
      <c r="AQ99" s="44" t="str">
        <f>IF(TABLERO!BB99=0,"",TABLERO!CS99)</f>
        <v/>
      </c>
      <c r="AR99" s="44" t="str">
        <f>IF(TABLERO!BB99=0,"",TABLERO!CY99)</f>
        <v/>
      </c>
      <c r="AS99" s="562" t="str">
        <f>IF(TABLERO!BB99=0,"",TABLERO!N99)</f>
        <v/>
      </c>
      <c r="AT99" s="1079" t="str">
        <f>IF(TABLERO!BB99=0,"",TABLERO!BX99&amp;" "&amp;TABLERO!ED99&amp;", "&amp;TABLERO!I99)</f>
        <v/>
      </c>
      <c r="AU99" s="1080"/>
      <c r="AV99" s="44" t="str">
        <f>IF(TABLERO!BB99=0,"",TABLERO!BZ99)</f>
        <v/>
      </c>
      <c r="AW99" s="562" t="str">
        <f>IF(TABLERO!BB99=0,"",TABLERO!CA99)</f>
        <v/>
      </c>
      <c r="AX99" s="43" t="str">
        <f>IF(TABLERO!BB99=0,"",TABLERO!CB99)</f>
        <v/>
      </c>
      <c r="AY99" s="44" t="str">
        <f>IF(TABLERO!BB99=0,"",TABLERO!DL99)</f>
        <v/>
      </c>
      <c r="AZ99" s="576" t="str">
        <f>IF(OR(TABLERO!BB99=0,TABLERO!H99="RE"),"",TABLERO!F99&amp;"P-"&amp;TABLERO!BW99&amp;"A")</f>
        <v/>
      </c>
      <c r="BA99" s="44" t="str">
        <f>IF(TABLERO!BB99=0,"",TABLERO!CI99)</f>
        <v/>
      </c>
      <c r="BB99" s="44" t="str">
        <f>IF(TABLERO!BB99=0,"",TABLERO!CJ99)</f>
        <v/>
      </c>
      <c r="BC99" s="49" t="str">
        <f>IF(TABLERO!BB99=0,"",TABLERO!CK99)</f>
        <v/>
      </c>
      <c r="BG99" s="46">
        <f>IF(TABLERO!B99="",0,TABLERO!B99)</f>
        <v>69</v>
      </c>
      <c r="BH99" s="46">
        <f>IF(TABLERO!C99="",BG99,TABLERO!C99)</f>
        <v>69</v>
      </c>
      <c r="BI99" s="46">
        <f>IF(TABLERO!D99="",BG99,TABLERO!D99)</f>
        <v>69</v>
      </c>
      <c r="BJ99" s="50">
        <f t="shared" si="2"/>
        <v>0</v>
      </c>
    </row>
    <row r="100" spans="1:62" hidden="1">
      <c r="A100" s="46">
        <f>IF(OR(BG100&gt;TABLERO!$M$19,BH100&gt;TABLERO!$M$19,BI100&gt;TABLERO!$M$19,BG100=0,BH100=0,BI100=0),2,1)</f>
        <v>2</v>
      </c>
      <c r="B100" s="47" t="str">
        <f>TABLERO!B100&amp;IF(TABLERO!C100="","",","&amp;TABLERO!C100)&amp;IF(TABLERO!D100="","",","&amp;TABLERO!D100)</f>
        <v>70</v>
      </c>
      <c r="C100" s="42" t="str">
        <f>IF(TABLERO!E100=0,"",TABLERO!E100)</f>
        <v/>
      </c>
      <c r="D100" s="562" t="str">
        <f>IF(OR(TABLERO!X100="",TABLERO!X100=0),"",TABLERO!X100)</f>
        <v/>
      </c>
      <c r="E100" s="562" t="str">
        <f>IF(OR(TABLERO!Y100="",TABLERO!Y100=0),"",TABLERO!Y100)</f>
        <v/>
      </c>
      <c r="F100" s="562" t="str">
        <f>IF(OR(TABLERO!Z100="",TABLERO!Z100=0),"",TABLERO!Z100)</f>
        <v/>
      </c>
      <c r="G100" s="562" t="str">
        <f>IF(OR(TABLERO!AA100="",TABLERO!AA100=0),"",TABLERO!AA100)</f>
        <v/>
      </c>
      <c r="H100" s="562" t="str">
        <f>IF(OR(TABLERO!AB100="",TABLERO!AB100=0),"",TABLERO!AB100)</f>
        <v/>
      </c>
      <c r="I100" s="562" t="str">
        <f>IF(OR(TABLERO!AC100="",TABLERO!AC100=0),"",TABLERO!AC100)</f>
        <v/>
      </c>
      <c r="J100" s="562" t="str">
        <f>IF(OR(TABLERO!AD100="",TABLERO!AD100=0),"",TABLERO!AD100)</f>
        <v/>
      </c>
      <c r="K100" s="562" t="str">
        <f>IF(OR(TABLERO!AE100="",TABLERO!AE100=0),"",TABLERO!AE100)</f>
        <v/>
      </c>
      <c r="L100" s="562" t="str">
        <f>IF(OR(TABLERO!AF100="",TABLERO!AF100=0),"",TABLERO!AF100)</f>
        <v/>
      </c>
      <c r="M100" s="562" t="str">
        <f>IF(OR(TABLERO!AG100="",TABLERO!AG100=0),"",TABLERO!AG100)</f>
        <v/>
      </c>
      <c r="N100" s="562" t="str">
        <f>IF(OR(TABLERO!AH100="",TABLERO!AH100=0),"",TABLERO!AH100)</f>
        <v/>
      </c>
      <c r="O100" s="562" t="str">
        <f>IF(OR(TABLERO!AI100="",TABLERO!AI100=0),"",TABLERO!AI100)</f>
        <v/>
      </c>
      <c r="P100" s="562" t="str">
        <f>IF(OR(TABLERO!AJ100="",TABLERO!AJ100=0),"",TABLERO!AJ100)</f>
        <v/>
      </c>
      <c r="Q100" s="562" t="str">
        <f>IF(OR(TABLERO!AK100="",TABLERO!AK100=0),"",TABLERO!AK100)</f>
        <v/>
      </c>
      <c r="R100" s="562" t="str">
        <f>IF(OR(TABLERO!AL100="",TABLERO!AL100=0),"",TABLERO!AL100)</f>
        <v/>
      </c>
      <c r="S100" s="562" t="str">
        <f>IF(OR(TABLERO!AM100="",TABLERO!AM100=0),"",TABLERO!AM100)</f>
        <v/>
      </c>
      <c r="T100" s="562" t="str">
        <f>IF(OR(TABLERO!AN100="",TABLERO!AN100=0),"",TABLERO!AN100)</f>
        <v/>
      </c>
      <c r="U100" s="562" t="str">
        <f>IF(OR(TABLERO!AO100="",TABLERO!AO100=0),"",TABLERO!AO100)</f>
        <v/>
      </c>
      <c r="V100" s="562" t="str">
        <f>IF(OR(TABLERO!AP100="",TABLERO!AP100=0),"",TABLERO!AP100)</f>
        <v/>
      </c>
      <c r="W100" s="562" t="str">
        <f>IF(OR(TABLERO!AQ100="",TABLERO!AQ100=0),"",TABLERO!AQ100)</f>
        <v/>
      </c>
      <c r="X100" s="562" t="str">
        <f>IF(OR(TABLERO!AR100="",TABLERO!AR100=0),"",TABLERO!AR100)</f>
        <v/>
      </c>
      <c r="Y100" s="562" t="str">
        <f>IF(OR(TABLERO!AS100="",TABLERO!AS100=0),"",TABLERO!AS100)</f>
        <v/>
      </c>
      <c r="Z100" s="562" t="str">
        <f>IF(OR(TABLERO!AT100="",TABLERO!AT100=0),"",TABLERO!AT100)</f>
        <v/>
      </c>
      <c r="AA100" s="562" t="str">
        <f>IF(OR(TABLERO!AU100="",TABLERO!AU100=0),"",TABLERO!AU100)</f>
        <v/>
      </c>
      <c r="AB100" s="562" t="str">
        <f>IF(OR(TABLERO!AV100="",TABLERO!AV100=0),"",TABLERO!AV100)</f>
        <v/>
      </c>
      <c r="AC100" s="562" t="str">
        <f>IF(OR(TABLERO!AW100="",TABLERO!AW100=0),"",TABLERO!AW100)</f>
        <v/>
      </c>
      <c r="AD100" s="562" t="str">
        <f>IF(OR(TABLERO!AX100="",TABLERO!AX100=0),"",TABLERO!AX100)</f>
        <v/>
      </c>
      <c r="AE100" s="562" t="str">
        <f>IF(OR(TABLERO!AY100="",TABLERO!AY100=0),"",TABLERO!AY100)</f>
        <v/>
      </c>
      <c r="AF100" s="562" t="str">
        <f>IF(OR(TABLERO!AZ100="",TABLERO!AZ100=0),"",TABLERO!AZ100)</f>
        <v/>
      </c>
      <c r="AG100" s="562" t="str">
        <f>IF(OR(TABLERO!BA100="",TABLERO!BA100=0),"",TABLERO!BA100)</f>
        <v/>
      </c>
      <c r="AH100" s="48" t="str">
        <f>IF(TABLERO!BB100=0,"",IF(TABLERO!$F$17&lt;&gt;"KVA",TABLERO!BB100*1000,TABLERO!BB100*1000/TABLERO!DA100))</f>
        <v/>
      </c>
      <c r="AI100" s="48" t="str">
        <f>IF(TABLERO!BB100=0,"",IF(TABLERO!$F$17&lt;&gt;"KVA",TABLERO!BT100*1000,TABLERO!BT100*1000/TABLERO!DA100))</f>
        <v/>
      </c>
      <c r="AJ100" s="44" t="str">
        <f>IF(OR(TABLERO!BU100="",TABLERO!BU100=0),"",TABLERO!BU100)</f>
        <v/>
      </c>
      <c r="AK100" s="562" t="str">
        <f>IF(TABLERO!BB100=0,"",TABLERO!F100)</f>
        <v/>
      </c>
      <c r="AL100" s="562" t="str">
        <f>IF(TABLERO!BB100=0,"",TABLERO!G100)</f>
        <v/>
      </c>
      <c r="AM100" s="562" t="str">
        <f>IF(TABLERO!BB100=0,"",TABLERO!BV100)</f>
        <v/>
      </c>
      <c r="AN100" s="44" t="str">
        <f>IF(TABLERO!BB100=0,"",TABLERO!K100)</f>
        <v/>
      </c>
      <c r="AO100" s="562" t="str">
        <f>IF(TABLERO!BB100=0,"",TABLERO!J100)</f>
        <v/>
      </c>
      <c r="AP100" s="44" t="str">
        <f>IF(TABLERO!BB100=0,"",TABLERO!CT100)</f>
        <v/>
      </c>
      <c r="AQ100" s="44" t="str">
        <f>IF(TABLERO!BB100=0,"",TABLERO!CS100)</f>
        <v/>
      </c>
      <c r="AR100" s="44" t="str">
        <f>IF(TABLERO!BB100=0,"",TABLERO!CY100)</f>
        <v/>
      </c>
      <c r="AS100" s="562" t="str">
        <f>IF(TABLERO!BB100=0,"",TABLERO!N100)</f>
        <v/>
      </c>
      <c r="AT100" s="1079" t="str">
        <f>IF(TABLERO!BB100=0,"",TABLERO!BX100&amp;" "&amp;TABLERO!ED100&amp;", "&amp;TABLERO!I100)</f>
        <v/>
      </c>
      <c r="AU100" s="1080"/>
      <c r="AV100" s="44" t="str">
        <f>IF(TABLERO!BB100=0,"",TABLERO!BZ100)</f>
        <v/>
      </c>
      <c r="AW100" s="562" t="str">
        <f>IF(TABLERO!BB100=0,"",TABLERO!CA100)</f>
        <v/>
      </c>
      <c r="AX100" s="43" t="str">
        <f>IF(TABLERO!BB100=0,"",TABLERO!CB100)</f>
        <v/>
      </c>
      <c r="AY100" s="44" t="str">
        <f>IF(TABLERO!BB100=0,"",TABLERO!DL100)</f>
        <v/>
      </c>
      <c r="AZ100" s="576" t="str">
        <f>IF(OR(TABLERO!BB100=0,TABLERO!H100="RE"),"",TABLERO!F100&amp;"P-"&amp;TABLERO!BW100&amp;"A")</f>
        <v/>
      </c>
      <c r="BA100" s="44" t="str">
        <f>IF(TABLERO!BB100=0,"",TABLERO!CI100)</f>
        <v/>
      </c>
      <c r="BB100" s="44" t="str">
        <f>IF(TABLERO!BB100=0,"",TABLERO!CJ100)</f>
        <v/>
      </c>
      <c r="BC100" s="49" t="str">
        <f>IF(TABLERO!BB100=0,"",TABLERO!CK100)</f>
        <v/>
      </c>
      <c r="BG100" s="46">
        <f>IF(TABLERO!B100="",0,TABLERO!B100)</f>
        <v>70</v>
      </c>
      <c r="BH100" s="46">
        <f>IF(TABLERO!C100="",BG100,TABLERO!C100)</f>
        <v>70</v>
      </c>
      <c r="BI100" s="46">
        <f>IF(TABLERO!D100="",BG100,TABLERO!D100)</f>
        <v>70</v>
      </c>
      <c r="BJ100" s="50">
        <f t="shared" si="2"/>
        <v>0</v>
      </c>
    </row>
    <row r="101" spans="1:62" hidden="1">
      <c r="A101" s="46">
        <f>IF(OR(BG101&gt;TABLERO!$M$19,BH101&gt;TABLERO!$M$19,BI101&gt;TABLERO!$M$19,BG101=0,BH101=0,BI101=0),2,1)</f>
        <v>2</v>
      </c>
      <c r="B101" s="47" t="str">
        <f>TABLERO!B101&amp;IF(TABLERO!C101="","",","&amp;TABLERO!C101)&amp;IF(TABLERO!D101="","",","&amp;TABLERO!D101)</f>
        <v>71</v>
      </c>
      <c r="C101" s="42" t="str">
        <f>IF(TABLERO!E101=0,"",TABLERO!E101)</f>
        <v/>
      </c>
      <c r="D101" s="562" t="str">
        <f>IF(OR(TABLERO!X101="",TABLERO!X101=0),"",TABLERO!X101)</f>
        <v/>
      </c>
      <c r="E101" s="562" t="str">
        <f>IF(OR(TABLERO!Y101="",TABLERO!Y101=0),"",TABLERO!Y101)</f>
        <v/>
      </c>
      <c r="F101" s="562" t="str">
        <f>IF(OR(TABLERO!Z101="",TABLERO!Z101=0),"",TABLERO!Z101)</f>
        <v/>
      </c>
      <c r="G101" s="562" t="str">
        <f>IF(OR(TABLERO!AA101="",TABLERO!AA101=0),"",TABLERO!AA101)</f>
        <v/>
      </c>
      <c r="H101" s="562" t="str">
        <f>IF(OR(TABLERO!AB101="",TABLERO!AB101=0),"",TABLERO!AB101)</f>
        <v/>
      </c>
      <c r="I101" s="562" t="str">
        <f>IF(OR(TABLERO!AC101="",TABLERO!AC101=0),"",TABLERO!AC101)</f>
        <v/>
      </c>
      <c r="J101" s="562" t="str">
        <f>IF(OR(TABLERO!AD101="",TABLERO!AD101=0),"",TABLERO!AD101)</f>
        <v/>
      </c>
      <c r="K101" s="562" t="str">
        <f>IF(OR(TABLERO!AE101="",TABLERO!AE101=0),"",TABLERO!AE101)</f>
        <v/>
      </c>
      <c r="L101" s="562" t="str">
        <f>IF(OR(TABLERO!AF101="",TABLERO!AF101=0),"",TABLERO!AF101)</f>
        <v/>
      </c>
      <c r="M101" s="562" t="str">
        <f>IF(OR(TABLERO!AG101="",TABLERO!AG101=0),"",TABLERO!AG101)</f>
        <v/>
      </c>
      <c r="N101" s="562" t="str">
        <f>IF(OR(TABLERO!AH101="",TABLERO!AH101=0),"",TABLERO!AH101)</f>
        <v/>
      </c>
      <c r="O101" s="562" t="str">
        <f>IF(OR(TABLERO!AI101="",TABLERO!AI101=0),"",TABLERO!AI101)</f>
        <v/>
      </c>
      <c r="P101" s="562" t="str">
        <f>IF(OR(TABLERO!AJ101="",TABLERO!AJ101=0),"",TABLERO!AJ101)</f>
        <v/>
      </c>
      <c r="Q101" s="562" t="str">
        <f>IF(OR(TABLERO!AK101="",TABLERO!AK101=0),"",TABLERO!AK101)</f>
        <v/>
      </c>
      <c r="R101" s="562" t="str">
        <f>IF(OR(TABLERO!AL101="",TABLERO!AL101=0),"",TABLERO!AL101)</f>
        <v/>
      </c>
      <c r="S101" s="562" t="str">
        <f>IF(OR(TABLERO!AM101="",TABLERO!AM101=0),"",TABLERO!AM101)</f>
        <v/>
      </c>
      <c r="T101" s="562" t="str">
        <f>IF(OR(TABLERO!AN101="",TABLERO!AN101=0),"",TABLERO!AN101)</f>
        <v/>
      </c>
      <c r="U101" s="562" t="str">
        <f>IF(OR(TABLERO!AO101="",TABLERO!AO101=0),"",TABLERO!AO101)</f>
        <v/>
      </c>
      <c r="V101" s="562" t="str">
        <f>IF(OR(TABLERO!AP101="",TABLERO!AP101=0),"",TABLERO!AP101)</f>
        <v/>
      </c>
      <c r="W101" s="562" t="str">
        <f>IF(OR(TABLERO!AQ101="",TABLERO!AQ101=0),"",TABLERO!AQ101)</f>
        <v/>
      </c>
      <c r="X101" s="562" t="str">
        <f>IF(OR(TABLERO!AR101="",TABLERO!AR101=0),"",TABLERO!AR101)</f>
        <v/>
      </c>
      <c r="Y101" s="562" t="str">
        <f>IF(OR(TABLERO!AS101="",TABLERO!AS101=0),"",TABLERO!AS101)</f>
        <v/>
      </c>
      <c r="Z101" s="562" t="str">
        <f>IF(OR(TABLERO!AT101="",TABLERO!AT101=0),"",TABLERO!AT101)</f>
        <v/>
      </c>
      <c r="AA101" s="562" t="str">
        <f>IF(OR(TABLERO!AU101="",TABLERO!AU101=0),"",TABLERO!AU101)</f>
        <v/>
      </c>
      <c r="AB101" s="562" t="str">
        <f>IF(OR(TABLERO!AV101="",TABLERO!AV101=0),"",TABLERO!AV101)</f>
        <v/>
      </c>
      <c r="AC101" s="562" t="str">
        <f>IF(OR(TABLERO!AW101="",TABLERO!AW101=0),"",TABLERO!AW101)</f>
        <v/>
      </c>
      <c r="AD101" s="562" t="str">
        <f>IF(OR(TABLERO!AX101="",TABLERO!AX101=0),"",TABLERO!AX101)</f>
        <v/>
      </c>
      <c r="AE101" s="562" t="str">
        <f>IF(OR(TABLERO!AY101="",TABLERO!AY101=0),"",TABLERO!AY101)</f>
        <v/>
      </c>
      <c r="AF101" s="562" t="str">
        <f>IF(OR(TABLERO!AZ101="",TABLERO!AZ101=0),"",TABLERO!AZ101)</f>
        <v/>
      </c>
      <c r="AG101" s="562" t="str">
        <f>IF(OR(TABLERO!BA101="",TABLERO!BA101=0),"",TABLERO!BA101)</f>
        <v/>
      </c>
      <c r="AH101" s="48" t="str">
        <f>IF(TABLERO!BB101=0,"",IF(TABLERO!$F$17&lt;&gt;"KVA",TABLERO!BB101*1000,TABLERO!BB101*1000/TABLERO!DA101))</f>
        <v/>
      </c>
      <c r="AI101" s="48" t="str">
        <f>IF(TABLERO!BB101=0,"",IF(TABLERO!$F$17&lt;&gt;"KVA",TABLERO!BT101*1000,TABLERO!BT101*1000/TABLERO!DA101))</f>
        <v/>
      </c>
      <c r="AJ101" s="44" t="str">
        <f>IF(OR(TABLERO!BU101="",TABLERO!BU101=0),"",TABLERO!BU101)</f>
        <v/>
      </c>
      <c r="AK101" s="562" t="str">
        <f>IF(TABLERO!BB101=0,"",TABLERO!F101)</f>
        <v/>
      </c>
      <c r="AL101" s="562" t="str">
        <f>IF(TABLERO!BB101=0,"",TABLERO!G101)</f>
        <v/>
      </c>
      <c r="AM101" s="562" t="str">
        <f>IF(TABLERO!BB101=0,"",TABLERO!BV101)</f>
        <v/>
      </c>
      <c r="AN101" s="44" t="str">
        <f>IF(TABLERO!BB101=0,"",TABLERO!K101)</f>
        <v/>
      </c>
      <c r="AO101" s="562" t="str">
        <f>IF(TABLERO!BB101=0,"",TABLERO!J101)</f>
        <v/>
      </c>
      <c r="AP101" s="44" t="str">
        <f>IF(TABLERO!BB101=0,"",TABLERO!CT101)</f>
        <v/>
      </c>
      <c r="AQ101" s="44" t="str">
        <f>IF(TABLERO!BB101=0,"",TABLERO!CS101)</f>
        <v/>
      </c>
      <c r="AR101" s="44" t="str">
        <f>IF(TABLERO!BB101=0,"",TABLERO!CY101)</f>
        <v/>
      </c>
      <c r="AS101" s="562" t="str">
        <f>IF(TABLERO!BB101=0,"",TABLERO!N101)</f>
        <v/>
      </c>
      <c r="AT101" s="1079" t="str">
        <f>IF(TABLERO!BB101=0,"",TABLERO!BX101&amp;" "&amp;TABLERO!ED101&amp;", "&amp;TABLERO!I101)</f>
        <v/>
      </c>
      <c r="AU101" s="1080"/>
      <c r="AV101" s="44" t="str">
        <f>IF(TABLERO!BB101=0,"",TABLERO!BZ101)</f>
        <v/>
      </c>
      <c r="AW101" s="562" t="str">
        <f>IF(TABLERO!BB101=0,"",TABLERO!CA101)</f>
        <v/>
      </c>
      <c r="AX101" s="43" t="str">
        <f>IF(TABLERO!BB101=0,"",TABLERO!CB101)</f>
        <v/>
      </c>
      <c r="AY101" s="44" t="str">
        <f>IF(TABLERO!BB101=0,"",TABLERO!DL101)</f>
        <v/>
      </c>
      <c r="AZ101" s="576" t="str">
        <f>IF(OR(TABLERO!BB101=0,TABLERO!H101="RE"),"",TABLERO!F101&amp;"P-"&amp;TABLERO!BW101&amp;"A")</f>
        <v/>
      </c>
      <c r="BA101" s="44" t="str">
        <f>IF(TABLERO!BB101=0,"",TABLERO!CI101)</f>
        <v/>
      </c>
      <c r="BB101" s="44" t="str">
        <f>IF(TABLERO!BB101=0,"",TABLERO!CJ101)</f>
        <v/>
      </c>
      <c r="BC101" s="49" t="str">
        <f>IF(TABLERO!BB101=0,"",TABLERO!CK101)</f>
        <v/>
      </c>
      <c r="BG101" s="46">
        <f>IF(TABLERO!B101="",0,TABLERO!B101)</f>
        <v>71</v>
      </c>
      <c r="BH101" s="46">
        <f>IF(TABLERO!C101="",BG101,TABLERO!C101)</f>
        <v>71</v>
      </c>
      <c r="BI101" s="46">
        <f>IF(TABLERO!D101="",BG101,TABLERO!D101)</f>
        <v>71</v>
      </c>
      <c r="BJ101" s="50">
        <f t="shared" si="2"/>
        <v>0</v>
      </c>
    </row>
    <row r="102" spans="1:62" hidden="1">
      <c r="A102" s="46">
        <f>IF(OR(BG102&gt;TABLERO!$M$19,BH102&gt;TABLERO!$M$19,BI102&gt;TABLERO!$M$19,BG102=0,BH102=0,BI102=0),2,1)</f>
        <v>2</v>
      </c>
      <c r="B102" s="47" t="str">
        <f>TABLERO!B102&amp;IF(TABLERO!C102="","",","&amp;TABLERO!C102)&amp;IF(TABLERO!D102="","",","&amp;TABLERO!D102)</f>
        <v>72</v>
      </c>
      <c r="C102" s="42" t="str">
        <f>IF(TABLERO!E102=0,"",TABLERO!E102)</f>
        <v/>
      </c>
      <c r="D102" s="562" t="str">
        <f>IF(OR(TABLERO!X102="",TABLERO!X102=0),"",TABLERO!X102)</f>
        <v/>
      </c>
      <c r="E102" s="562" t="str">
        <f>IF(OR(TABLERO!Y102="",TABLERO!Y102=0),"",TABLERO!Y102)</f>
        <v/>
      </c>
      <c r="F102" s="562" t="str">
        <f>IF(OR(TABLERO!Z102="",TABLERO!Z102=0),"",TABLERO!Z102)</f>
        <v/>
      </c>
      <c r="G102" s="562" t="str">
        <f>IF(OR(TABLERO!AA102="",TABLERO!AA102=0),"",TABLERO!AA102)</f>
        <v/>
      </c>
      <c r="H102" s="562" t="str">
        <f>IF(OR(TABLERO!AB102="",TABLERO!AB102=0),"",TABLERO!AB102)</f>
        <v/>
      </c>
      <c r="I102" s="562" t="str">
        <f>IF(OR(TABLERO!AC102="",TABLERO!AC102=0),"",TABLERO!AC102)</f>
        <v/>
      </c>
      <c r="J102" s="562" t="str">
        <f>IF(OR(TABLERO!AD102="",TABLERO!AD102=0),"",TABLERO!AD102)</f>
        <v/>
      </c>
      <c r="K102" s="562" t="str">
        <f>IF(OR(TABLERO!AE102="",TABLERO!AE102=0),"",TABLERO!AE102)</f>
        <v/>
      </c>
      <c r="L102" s="562" t="str">
        <f>IF(OR(TABLERO!AF102="",TABLERO!AF102=0),"",TABLERO!AF102)</f>
        <v/>
      </c>
      <c r="M102" s="562" t="str">
        <f>IF(OR(TABLERO!AG102="",TABLERO!AG102=0),"",TABLERO!AG102)</f>
        <v/>
      </c>
      <c r="N102" s="562" t="str">
        <f>IF(OR(TABLERO!AH102="",TABLERO!AH102=0),"",TABLERO!AH102)</f>
        <v/>
      </c>
      <c r="O102" s="562" t="str">
        <f>IF(OR(TABLERO!AI102="",TABLERO!AI102=0),"",TABLERO!AI102)</f>
        <v/>
      </c>
      <c r="P102" s="562" t="str">
        <f>IF(OR(TABLERO!AJ102="",TABLERO!AJ102=0),"",TABLERO!AJ102)</f>
        <v/>
      </c>
      <c r="Q102" s="562" t="str">
        <f>IF(OR(TABLERO!AK102="",TABLERO!AK102=0),"",TABLERO!AK102)</f>
        <v/>
      </c>
      <c r="R102" s="562" t="str">
        <f>IF(OR(TABLERO!AL102="",TABLERO!AL102=0),"",TABLERO!AL102)</f>
        <v/>
      </c>
      <c r="S102" s="562" t="str">
        <f>IF(OR(TABLERO!AM102="",TABLERO!AM102=0),"",TABLERO!AM102)</f>
        <v/>
      </c>
      <c r="T102" s="562" t="str">
        <f>IF(OR(TABLERO!AN102="",TABLERO!AN102=0),"",TABLERO!AN102)</f>
        <v/>
      </c>
      <c r="U102" s="562" t="str">
        <f>IF(OR(TABLERO!AO102="",TABLERO!AO102=0),"",TABLERO!AO102)</f>
        <v/>
      </c>
      <c r="V102" s="562" t="str">
        <f>IF(OR(TABLERO!AP102="",TABLERO!AP102=0),"",TABLERO!AP102)</f>
        <v/>
      </c>
      <c r="W102" s="562" t="str">
        <f>IF(OR(TABLERO!AQ102="",TABLERO!AQ102=0),"",TABLERO!AQ102)</f>
        <v/>
      </c>
      <c r="X102" s="562" t="str">
        <f>IF(OR(TABLERO!AR102="",TABLERO!AR102=0),"",TABLERO!AR102)</f>
        <v/>
      </c>
      <c r="Y102" s="562" t="str">
        <f>IF(OR(TABLERO!AS102="",TABLERO!AS102=0),"",TABLERO!AS102)</f>
        <v/>
      </c>
      <c r="Z102" s="562" t="str">
        <f>IF(OR(TABLERO!AT102="",TABLERO!AT102=0),"",TABLERO!AT102)</f>
        <v/>
      </c>
      <c r="AA102" s="562" t="str">
        <f>IF(OR(TABLERO!AU102="",TABLERO!AU102=0),"",TABLERO!AU102)</f>
        <v/>
      </c>
      <c r="AB102" s="562" t="str">
        <f>IF(OR(TABLERO!AV102="",TABLERO!AV102=0),"",TABLERO!AV102)</f>
        <v/>
      </c>
      <c r="AC102" s="562" t="str">
        <f>IF(OR(TABLERO!AW102="",TABLERO!AW102=0),"",TABLERO!AW102)</f>
        <v/>
      </c>
      <c r="AD102" s="562" t="str">
        <f>IF(OR(TABLERO!AX102="",TABLERO!AX102=0),"",TABLERO!AX102)</f>
        <v/>
      </c>
      <c r="AE102" s="562" t="str">
        <f>IF(OR(TABLERO!AY102="",TABLERO!AY102=0),"",TABLERO!AY102)</f>
        <v/>
      </c>
      <c r="AF102" s="562" t="str">
        <f>IF(OR(TABLERO!AZ102="",TABLERO!AZ102=0),"",TABLERO!AZ102)</f>
        <v/>
      </c>
      <c r="AG102" s="562" t="str">
        <f>IF(OR(TABLERO!BA102="",TABLERO!BA102=0),"",TABLERO!BA102)</f>
        <v/>
      </c>
      <c r="AH102" s="48" t="str">
        <f>IF(TABLERO!BB102=0,"",IF(TABLERO!$F$17&lt;&gt;"KVA",TABLERO!BB102*1000,TABLERO!BB102*1000/TABLERO!DA102))</f>
        <v/>
      </c>
      <c r="AI102" s="48" t="str">
        <f>IF(TABLERO!BB102=0,"",IF(TABLERO!$F$17&lt;&gt;"KVA",TABLERO!BT102*1000,TABLERO!BT102*1000/TABLERO!DA102))</f>
        <v/>
      </c>
      <c r="AJ102" s="44" t="str">
        <f>IF(OR(TABLERO!BU102="",TABLERO!BU102=0),"",TABLERO!BU102)</f>
        <v/>
      </c>
      <c r="AK102" s="562" t="str">
        <f>IF(TABLERO!BB102=0,"",TABLERO!F102)</f>
        <v/>
      </c>
      <c r="AL102" s="562" t="str">
        <f>IF(TABLERO!BB102=0,"",TABLERO!G102)</f>
        <v/>
      </c>
      <c r="AM102" s="562" t="str">
        <f>IF(TABLERO!BB102=0,"",TABLERO!BV102)</f>
        <v/>
      </c>
      <c r="AN102" s="44" t="str">
        <f>IF(TABLERO!BB102=0,"",TABLERO!K102)</f>
        <v/>
      </c>
      <c r="AO102" s="562" t="str">
        <f>IF(TABLERO!BB102=0,"",TABLERO!J102)</f>
        <v/>
      </c>
      <c r="AP102" s="44" t="str">
        <f>IF(TABLERO!BB102=0,"",TABLERO!CT102)</f>
        <v/>
      </c>
      <c r="AQ102" s="44" t="str">
        <f>IF(TABLERO!BB102=0,"",TABLERO!CS102)</f>
        <v/>
      </c>
      <c r="AR102" s="44" t="str">
        <f>IF(TABLERO!BB102=0,"",TABLERO!CY102)</f>
        <v/>
      </c>
      <c r="AS102" s="562" t="str">
        <f>IF(TABLERO!BB102=0,"",TABLERO!N102)</f>
        <v/>
      </c>
      <c r="AT102" s="1079" t="str">
        <f>IF(TABLERO!BB102=0,"",TABLERO!BX102&amp;" "&amp;TABLERO!ED102&amp;", "&amp;TABLERO!I102)</f>
        <v/>
      </c>
      <c r="AU102" s="1080"/>
      <c r="AV102" s="44" t="str">
        <f>IF(TABLERO!BB102=0,"",TABLERO!BZ102)</f>
        <v/>
      </c>
      <c r="AW102" s="562" t="str">
        <f>IF(TABLERO!BB102=0,"",TABLERO!CA102)</f>
        <v/>
      </c>
      <c r="AX102" s="43" t="str">
        <f>IF(TABLERO!BB102=0,"",TABLERO!CB102)</f>
        <v/>
      </c>
      <c r="AY102" s="44" t="str">
        <f>IF(TABLERO!BB102=0,"",TABLERO!DL102)</f>
        <v/>
      </c>
      <c r="AZ102" s="576" t="str">
        <f>IF(OR(TABLERO!BB102=0,TABLERO!H102="RE"),"",TABLERO!F102&amp;"P-"&amp;TABLERO!BW102&amp;"A")</f>
        <v/>
      </c>
      <c r="BA102" s="44" t="str">
        <f>IF(TABLERO!BB102=0,"",TABLERO!CI102)</f>
        <v/>
      </c>
      <c r="BB102" s="44" t="str">
        <f>IF(TABLERO!BB102=0,"",TABLERO!CJ102)</f>
        <v/>
      </c>
      <c r="BC102" s="49" t="str">
        <f>IF(TABLERO!BB102=0,"",TABLERO!CK102)</f>
        <v/>
      </c>
      <c r="BG102" s="46">
        <f>IF(TABLERO!B102="",0,TABLERO!B102)</f>
        <v>72</v>
      </c>
      <c r="BH102" s="46">
        <f>IF(TABLERO!C102="",BG102,TABLERO!C102)</f>
        <v>72</v>
      </c>
      <c r="BI102" s="46">
        <f>IF(TABLERO!D102="",BG102,TABLERO!D102)</f>
        <v>72</v>
      </c>
      <c r="BJ102" s="50">
        <f t="shared" si="2"/>
        <v>0</v>
      </c>
    </row>
    <row r="103" spans="1:62" hidden="1">
      <c r="A103" s="46">
        <f>IF(OR(BG103&gt;TABLERO!$M$19,BH103&gt;TABLERO!$M$19,BI103&gt;TABLERO!$M$19,BG103=0,BH103=0,BI103=0),2,1)</f>
        <v>2</v>
      </c>
      <c r="B103" s="47" t="str">
        <f>TABLERO!B103&amp;IF(TABLERO!C103="","",","&amp;TABLERO!C103)&amp;IF(TABLERO!D103="","",","&amp;TABLERO!D103)</f>
        <v>73</v>
      </c>
      <c r="C103" s="42" t="str">
        <f>IF(TABLERO!E103=0,"",TABLERO!E103)</f>
        <v/>
      </c>
      <c r="D103" s="562" t="str">
        <f>IF(OR(TABLERO!X103="",TABLERO!X103=0),"",TABLERO!X103)</f>
        <v/>
      </c>
      <c r="E103" s="562" t="str">
        <f>IF(OR(TABLERO!Y103="",TABLERO!Y103=0),"",TABLERO!Y103)</f>
        <v/>
      </c>
      <c r="F103" s="562" t="str">
        <f>IF(OR(TABLERO!Z103="",TABLERO!Z103=0),"",TABLERO!Z103)</f>
        <v/>
      </c>
      <c r="G103" s="562" t="str">
        <f>IF(OR(TABLERO!AA103="",TABLERO!AA103=0),"",TABLERO!AA103)</f>
        <v/>
      </c>
      <c r="H103" s="562" t="str">
        <f>IF(OR(TABLERO!AB103="",TABLERO!AB103=0),"",TABLERO!AB103)</f>
        <v/>
      </c>
      <c r="I103" s="562" t="str">
        <f>IF(OR(TABLERO!AC103="",TABLERO!AC103=0),"",TABLERO!AC103)</f>
        <v/>
      </c>
      <c r="J103" s="562" t="str">
        <f>IF(OR(TABLERO!AD103="",TABLERO!AD103=0),"",TABLERO!AD103)</f>
        <v/>
      </c>
      <c r="K103" s="562" t="str">
        <f>IF(OR(TABLERO!AE103="",TABLERO!AE103=0),"",TABLERO!AE103)</f>
        <v/>
      </c>
      <c r="L103" s="562" t="str">
        <f>IF(OR(TABLERO!AF103="",TABLERO!AF103=0),"",TABLERO!AF103)</f>
        <v/>
      </c>
      <c r="M103" s="562" t="str">
        <f>IF(OR(TABLERO!AG103="",TABLERO!AG103=0),"",TABLERO!AG103)</f>
        <v/>
      </c>
      <c r="N103" s="562" t="str">
        <f>IF(OR(TABLERO!AH103="",TABLERO!AH103=0),"",TABLERO!AH103)</f>
        <v/>
      </c>
      <c r="O103" s="562" t="str">
        <f>IF(OR(TABLERO!AI103="",TABLERO!AI103=0),"",TABLERO!AI103)</f>
        <v/>
      </c>
      <c r="P103" s="562" t="str">
        <f>IF(OR(TABLERO!AJ103="",TABLERO!AJ103=0),"",TABLERO!AJ103)</f>
        <v/>
      </c>
      <c r="Q103" s="562" t="str">
        <f>IF(OR(TABLERO!AK103="",TABLERO!AK103=0),"",TABLERO!AK103)</f>
        <v/>
      </c>
      <c r="R103" s="562" t="str">
        <f>IF(OR(TABLERO!AL103="",TABLERO!AL103=0),"",TABLERO!AL103)</f>
        <v/>
      </c>
      <c r="S103" s="562" t="str">
        <f>IF(OR(TABLERO!AM103="",TABLERO!AM103=0),"",TABLERO!AM103)</f>
        <v/>
      </c>
      <c r="T103" s="562" t="str">
        <f>IF(OR(TABLERO!AN103="",TABLERO!AN103=0),"",TABLERO!AN103)</f>
        <v/>
      </c>
      <c r="U103" s="562" t="str">
        <f>IF(OR(TABLERO!AO103="",TABLERO!AO103=0),"",TABLERO!AO103)</f>
        <v/>
      </c>
      <c r="V103" s="562" t="str">
        <f>IF(OR(TABLERO!AP103="",TABLERO!AP103=0),"",TABLERO!AP103)</f>
        <v/>
      </c>
      <c r="W103" s="562" t="str">
        <f>IF(OR(TABLERO!AQ103="",TABLERO!AQ103=0),"",TABLERO!AQ103)</f>
        <v/>
      </c>
      <c r="X103" s="562" t="str">
        <f>IF(OR(TABLERO!AR103="",TABLERO!AR103=0),"",TABLERO!AR103)</f>
        <v/>
      </c>
      <c r="Y103" s="562" t="str">
        <f>IF(OR(TABLERO!AS103="",TABLERO!AS103=0),"",TABLERO!AS103)</f>
        <v/>
      </c>
      <c r="Z103" s="562" t="str">
        <f>IF(OR(TABLERO!AT103="",TABLERO!AT103=0),"",TABLERO!AT103)</f>
        <v/>
      </c>
      <c r="AA103" s="562" t="str">
        <f>IF(OR(TABLERO!AU103="",TABLERO!AU103=0),"",TABLERO!AU103)</f>
        <v/>
      </c>
      <c r="AB103" s="562" t="str">
        <f>IF(OR(TABLERO!AV103="",TABLERO!AV103=0),"",TABLERO!AV103)</f>
        <v/>
      </c>
      <c r="AC103" s="562" t="str">
        <f>IF(OR(TABLERO!AW103="",TABLERO!AW103=0),"",TABLERO!AW103)</f>
        <v/>
      </c>
      <c r="AD103" s="562" t="str">
        <f>IF(OR(TABLERO!AX103="",TABLERO!AX103=0),"",TABLERO!AX103)</f>
        <v/>
      </c>
      <c r="AE103" s="562" t="str">
        <f>IF(OR(TABLERO!AY103="",TABLERO!AY103=0),"",TABLERO!AY103)</f>
        <v/>
      </c>
      <c r="AF103" s="562" t="str">
        <f>IF(OR(TABLERO!AZ103="",TABLERO!AZ103=0),"",TABLERO!AZ103)</f>
        <v/>
      </c>
      <c r="AG103" s="562" t="str">
        <f>IF(OR(TABLERO!BA103="",TABLERO!BA103=0),"",TABLERO!BA103)</f>
        <v/>
      </c>
      <c r="AH103" s="48" t="str">
        <f>IF(TABLERO!BB103=0,"",IF(TABLERO!$F$17&lt;&gt;"KVA",TABLERO!BB103*1000,TABLERO!BB103*1000/TABLERO!DA103))</f>
        <v/>
      </c>
      <c r="AI103" s="48" t="str">
        <f>IF(TABLERO!BB103=0,"",IF(TABLERO!$F$17&lt;&gt;"KVA",TABLERO!BT103*1000,TABLERO!BT103*1000/TABLERO!DA103))</f>
        <v/>
      </c>
      <c r="AJ103" s="44" t="str">
        <f>IF(OR(TABLERO!BU103="",TABLERO!BU103=0),"",TABLERO!BU103)</f>
        <v/>
      </c>
      <c r="AK103" s="562" t="str">
        <f>IF(TABLERO!BB103=0,"",TABLERO!F103)</f>
        <v/>
      </c>
      <c r="AL103" s="562" t="str">
        <f>IF(TABLERO!BB103=0,"",TABLERO!G103)</f>
        <v/>
      </c>
      <c r="AM103" s="562" t="str">
        <f>IF(TABLERO!BB103=0,"",TABLERO!BV103)</f>
        <v/>
      </c>
      <c r="AN103" s="44" t="str">
        <f>IF(TABLERO!BB103=0,"",TABLERO!K103)</f>
        <v/>
      </c>
      <c r="AO103" s="562" t="str">
        <f>IF(TABLERO!BB103=0,"",TABLERO!J103)</f>
        <v/>
      </c>
      <c r="AP103" s="44" t="str">
        <f>IF(TABLERO!BB103=0,"",TABLERO!CT103)</f>
        <v/>
      </c>
      <c r="AQ103" s="44" t="str">
        <f>IF(TABLERO!BB103=0,"",TABLERO!CS103)</f>
        <v/>
      </c>
      <c r="AR103" s="44" t="str">
        <f>IF(TABLERO!BB103=0,"",TABLERO!CY103)</f>
        <v/>
      </c>
      <c r="AS103" s="562" t="str">
        <f>IF(TABLERO!BB103=0,"",TABLERO!N103)</f>
        <v/>
      </c>
      <c r="AT103" s="1079" t="str">
        <f>IF(TABLERO!BB103=0,"",TABLERO!BX103&amp;" "&amp;TABLERO!ED103&amp;", "&amp;TABLERO!I103)</f>
        <v/>
      </c>
      <c r="AU103" s="1080"/>
      <c r="AV103" s="44" t="str">
        <f>IF(TABLERO!BB103=0,"",TABLERO!BZ103)</f>
        <v/>
      </c>
      <c r="AW103" s="562" t="str">
        <f>IF(TABLERO!BB103=0,"",TABLERO!CA103)</f>
        <v/>
      </c>
      <c r="AX103" s="43" t="str">
        <f>IF(TABLERO!BB103=0,"",TABLERO!CB103)</f>
        <v/>
      </c>
      <c r="AY103" s="44" t="str">
        <f>IF(TABLERO!BB103=0,"",TABLERO!DL103)</f>
        <v/>
      </c>
      <c r="AZ103" s="576" t="str">
        <f>IF(OR(TABLERO!BB103=0,TABLERO!H103="RE"),"",TABLERO!F103&amp;"P-"&amp;TABLERO!BW103&amp;"A")</f>
        <v/>
      </c>
      <c r="BA103" s="44" t="str">
        <f>IF(TABLERO!BB103=0,"",TABLERO!CI103)</f>
        <v/>
      </c>
      <c r="BB103" s="44" t="str">
        <f>IF(TABLERO!BB103=0,"",TABLERO!CJ103)</f>
        <v/>
      </c>
      <c r="BC103" s="49" t="str">
        <f>IF(TABLERO!BB103=0,"",TABLERO!CK103)</f>
        <v/>
      </c>
      <c r="BG103" s="46">
        <f>IF(TABLERO!B103="",0,TABLERO!B103)</f>
        <v>73</v>
      </c>
      <c r="BH103" s="46">
        <f>IF(TABLERO!C103="",BG103,TABLERO!C103)</f>
        <v>73</v>
      </c>
      <c r="BI103" s="46">
        <f>IF(TABLERO!D103="",BG103,TABLERO!D103)</f>
        <v>73</v>
      </c>
      <c r="BJ103" s="50">
        <f t="shared" si="2"/>
        <v>0</v>
      </c>
    </row>
    <row r="104" spans="1:62" hidden="1">
      <c r="A104" s="46">
        <f>IF(OR(BG104&gt;TABLERO!$M$19,BH104&gt;TABLERO!$M$19,BI104&gt;TABLERO!$M$19,BG104=0,BH104=0,BI104=0),2,1)</f>
        <v>2</v>
      </c>
      <c r="B104" s="47" t="str">
        <f>TABLERO!B104&amp;IF(TABLERO!C104="","",","&amp;TABLERO!C104)&amp;IF(TABLERO!D104="","",","&amp;TABLERO!D104)</f>
        <v>74</v>
      </c>
      <c r="C104" s="42" t="str">
        <f>IF(TABLERO!E104=0,"",TABLERO!E104)</f>
        <v/>
      </c>
      <c r="D104" s="562" t="str">
        <f>IF(OR(TABLERO!X104="",TABLERO!X104=0),"",TABLERO!X104)</f>
        <v/>
      </c>
      <c r="E104" s="562" t="str">
        <f>IF(OR(TABLERO!Y104="",TABLERO!Y104=0),"",TABLERO!Y104)</f>
        <v/>
      </c>
      <c r="F104" s="562" t="str">
        <f>IF(OR(TABLERO!Z104="",TABLERO!Z104=0),"",TABLERO!Z104)</f>
        <v/>
      </c>
      <c r="G104" s="562" t="str">
        <f>IF(OR(TABLERO!AA104="",TABLERO!AA104=0),"",TABLERO!AA104)</f>
        <v/>
      </c>
      <c r="H104" s="562" t="str">
        <f>IF(OR(TABLERO!AB104="",TABLERO!AB104=0),"",TABLERO!AB104)</f>
        <v/>
      </c>
      <c r="I104" s="562" t="str">
        <f>IF(OR(TABLERO!AC104="",TABLERO!AC104=0),"",TABLERO!AC104)</f>
        <v/>
      </c>
      <c r="J104" s="562" t="str">
        <f>IF(OR(TABLERO!AD104="",TABLERO!AD104=0),"",TABLERO!AD104)</f>
        <v/>
      </c>
      <c r="K104" s="562" t="str">
        <f>IF(OR(TABLERO!AE104="",TABLERO!AE104=0),"",TABLERO!AE104)</f>
        <v/>
      </c>
      <c r="L104" s="562" t="str">
        <f>IF(OR(TABLERO!AF104="",TABLERO!AF104=0),"",TABLERO!AF104)</f>
        <v/>
      </c>
      <c r="M104" s="562" t="str">
        <f>IF(OR(TABLERO!AG104="",TABLERO!AG104=0),"",TABLERO!AG104)</f>
        <v/>
      </c>
      <c r="N104" s="562" t="str">
        <f>IF(OR(TABLERO!AH104="",TABLERO!AH104=0),"",TABLERO!AH104)</f>
        <v/>
      </c>
      <c r="O104" s="562" t="str">
        <f>IF(OR(TABLERO!AI104="",TABLERO!AI104=0),"",TABLERO!AI104)</f>
        <v/>
      </c>
      <c r="P104" s="562" t="str">
        <f>IF(OR(TABLERO!AJ104="",TABLERO!AJ104=0),"",TABLERO!AJ104)</f>
        <v/>
      </c>
      <c r="Q104" s="562" t="str">
        <f>IF(OR(TABLERO!AK104="",TABLERO!AK104=0),"",TABLERO!AK104)</f>
        <v/>
      </c>
      <c r="R104" s="562" t="str">
        <f>IF(OR(TABLERO!AL104="",TABLERO!AL104=0),"",TABLERO!AL104)</f>
        <v/>
      </c>
      <c r="S104" s="562" t="str">
        <f>IF(OR(TABLERO!AM104="",TABLERO!AM104=0),"",TABLERO!AM104)</f>
        <v/>
      </c>
      <c r="T104" s="562" t="str">
        <f>IF(OR(TABLERO!AN104="",TABLERO!AN104=0),"",TABLERO!AN104)</f>
        <v/>
      </c>
      <c r="U104" s="562" t="str">
        <f>IF(OR(TABLERO!AO104="",TABLERO!AO104=0),"",TABLERO!AO104)</f>
        <v/>
      </c>
      <c r="V104" s="562" t="str">
        <f>IF(OR(TABLERO!AP104="",TABLERO!AP104=0),"",TABLERO!AP104)</f>
        <v/>
      </c>
      <c r="W104" s="562" t="str">
        <f>IF(OR(TABLERO!AQ104="",TABLERO!AQ104=0),"",TABLERO!AQ104)</f>
        <v/>
      </c>
      <c r="X104" s="562" t="str">
        <f>IF(OR(TABLERO!AR104="",TABLERO!AR104=0),"",TABLERO!AR104)</f>
        <v/>
      </c>
      <c r="Y104" s="562" t="str">
        <f>IF(OR(TABLERO!AS104="",TABLERO!AS104=0),"",TABLERO!AS104)</f>
        <v/>
      </c>
      <c r="Z104" s="562" t="str">
        <f>IF(OR(TABLERO!AT104="",TABLERO!AT104=0),"",TABLERO!AT104)</f>
        <v/>
      </c>
      <c r="AA104" s="562" t="str">
        <f>IF(OR(TABLERO!AU104="",TABLERO!AU104=0),"",TABLERO!AU104)</f>
        <v/>
      </c>
      <c r="AB104" s="562" t="str">
        <f>IF(OR(TABLERO!AV104="",TABLERO!AV104=0),"",TABLERO!AV104)</f>
        <v/>
      </c>
      <c r="AC104" s="562" t="str">
        <f>IF(OR(TABLERO!AW104="",TABLERO!AW104=0),"",TABLERO!AW104)</f>
        <v/>
      </c>
      <c r="AD104" s="562" t="str">
        <f>IF(OR(TABLERO!AX104="",TABLERO!AX104=0),"",TABLERO!AX104)</f>
        <v/>
      </c>
      <c r="AE104" s="562" t="str">
        <f>IF(OR(TABLERO!AY104="",TABLERO!AY104=0),"",TABLERO!AY104)</f>
        <v/>
      </c>
      <c r="AF104" s="562" t="str">
        <f>IF(OR(TABLERO!AZ104="",TABLERO!AZ104=0),"",TABLERO!AZ104)</f>
        <v/>
      </c>
      <c r="AG104" s="562" t="str">
        <f>IF(OR(TABLERO!BA104="",TABLERO!BA104=0),"",TABLERO!BA104)</f>
        <v/>
      </c>
      <c r="AH104" s="48" t="str">
        <f>IF(TABLERO!BB104=0,"",IF(TABLERO!$F$17&lt;&gt;"KVA",TABLERO!BB104*1000,TABLERO!BB104*1000/TABLERO!DA104))</f>
        <v/>
      </c>
      <c r="AI104" s="48" t="str">
        <f>IF(TABLERO!BB104=0,"",IF(TABLERO!$F$17&lt;&gt;"KVA",TABLERO!BT104*1000,TABLERO!BT104*1000/TABLERO!DA104))</f>
        <v/>
      </c>
      <c r="AJ104" s="44" t="str">
        <f>IF(OR(TABLERO!BU104="",TABLERO!BU104=0),"",TABLERO!BU104)</f>
        <v/>
      </c>
      <c r="AK104" s="562" t="str">
        <f>IF(TABLERO!BB104=0,"",TABLERO!F104)</f>
        <v/>
      </c>
      <c r="AL104" s="562" t="str">
        <f>IF(TABLERO!BB104=0,"",TABLERO!G104)</f>
        <v/>
      </c>
      <c r="AM104" s="562" t="str">
        <f>IF(TABLERO!BB104=0,"",TABLERO!BV104)</f>
        <v/>
      </c>
      <c r="AN104" s="44" t="str">
        <f>IF(TABLERO!BB104=0,"",TABLERO!K104)</f>
        <v/>
      </c>
      <c r="AO104" s="562" t="str">
        <f>IF(TABLERO!BB104=0,"",TABLERO!J104)</f>
        <v/>
      </c>
      <c r="AP104" s="44" t="str">
        <f>IF(TABLERO!BB104=0,"",TABLERO!CT104)</f>
        <v/>
      </c>
      <c r="AQ104" s="44" t="str">
        <f>IF(TABLERO!BB104=0,"",TABLERO!CS104)</f>
        <v/>
      </c>
      <c r="AR104" s="44" t="str">
        <f>IF(TABLERO!BB104=0,"",TABLERO!CY104)</f>
        <v/>
      </c>
      <c r="AS104" s="562" t="str">
        <f>IF(TABLERO!BB104=0,"",TABLERO!N104)</f>
        <v/>
      </c>
      <c r="AT104" s="1079" t="str">
        <f>IF(TABLERO!BB104=0,"",TABLERO!BX104&amp;" "&amp;TABLERO!ED104&amp;", "&amp;TABLERO!I104)</f>
        <v/>
      </c>
      <c r="AU104" s="1080"/>
      <c r="AV104" s="44" t="str">
        <f>IF(TABLERO!BB104=0,"",TABLERO!BZ104)</f>
        <v/>
      </c>
      <c r="AW104" s="562" t="str">
        <f>IF(TABLERO!BB104=0,"",TABLERO!CA104)</f>
        <v/>
      </c>
      <c r="AX104" s="43" t="str">
        <f>IF(TABLERO!BB104=0,"",TABLERO!CB104)</f>
        <v/>
      </c>
      <c r="AY104" s="44" t="str">
        <f>IF(TABLERO!BB104=0,"",TABLERO!DL104)</f>
        <v/>
      </c>
      <c r="AZ104" s="576" t="str">
        <f>IF(OR(TABLERO!BB104=0,TABLERO!H104="RE"),"",TABLERO!F104&amp;"P-"&amp;TABLERO!BW104&amp;"A")</f>
        <v/>
      </c>
      <c r="BA104" s="44" t="str">
        <f>IF(TABLERO!BB104=0,"",TABLERO!CI104)</f>
        <v/>
      </c>
      <c r="BB104" s="44" t="str">
        <f>IF(TABLERO!BB104=0,"",TABLERO!CJ104)</f>
        <v/>
      </c>
      <c r="BC104" s="49" t="str">
        <f>IF(TABLERO!BB104=0,"",TABLERO!CK104)</f>
        <v/>
      </c>
      <c r="BG104" s="46">
        <f>IF(TABLERO!B104="",0,TABLERO!B104)</f>
        <v>74</v>
      </c>
      <c r="BH104" s="46">
        <f>IF(TABLERO!C104="",BG104,TABLERO!C104)</f>
        <v>74</v>
      </c>
      <c r="BI104" s="46">
        <f>IF(TABLERO!D104="",BG104,TABLERO!D104)</f>
        <v>74</v>
      </c>
      <c r="BJ104" s="50">
        <f t="shared" si="2"/>
        <v>0</v>
      </c>
    </row>
    <row r="105" spans="1:62" hidden="1">
      <c r="A105" s="46">
        <f>IF(OR(BG105&gt;TABLERO!$M$19,BH105&gt;TABLERO!$M$19,BI105&gt;TABLERO!$M$19,BG105=0,BH105=0,BI105=0),2,1)</f>
        <v>2</v>
      </c>
      <c r="B105" s="47" t="str">
        <f>TABLERO!B105&amp;IF(TABLERO!C105="","",","&amp;TABLERO!C105)&amp;IF(TABLERO!D105="","",","&amp;TABLERO!D105)</f>
        <v>75</v>
      </c>
      <c r="C105" s="42" t="str">
        <f>IF(TABLERO!E105=0,"",TABLERO!E105)</f>
        <v/>
      </c>
      <c r="D105" s="562" t="str">
        <f>IF(OR(TABLERO!X105="",TABLERO!X105=0),"",TABLERO!X105)</f>
        <v/>
      </c>
      <c r="E105" s="562" t="str">
        <f>IF(OR(TABLERO!Y105="",TABLERO!Y105=0),"",TABLERO!Y105)</f>
        <v/>
      </c>
      <c r="F105" s="562" t="str">
        <f>IF(OR(TABLERO!Z105="",TABLERO!Z105=0),"",TABLERO!Z105)</f>
        <v/>
      </c>
      <c r="G105" s="562" t="str">
        <f>IF(OR(TABLERO!AA105="",TABLERO!AA105=0),"",TABLERO!AA105)</f>
        <v/>
      </c>
      <c r="H105" s="562" t="str">
        <f>IF(OR(TABLERO!AB105="",TABLERO!AB105=0),"",TABLERO!AB105)</f>
        <v/>
      </c>
      <c r="I105" s="562" t="str">
        <f>IF(OR(TABLERO!AC105="",TABLERO!AC105=0),"",TABLERO!AC105)</f>
        <v/>
      </c>
      <c r="J105" s="562" t="str">
        <f>IF(OR(TABLERO!AD105="",TABLERO!AD105=0),"",TABLERO!AD105)</f>
        <v/>
      </c>
      <c r="K105" s="562" t="str">
        <f>IF(OR(TABLERO!AE105="",TABLERO!AE105=0),"",TABLERO!AE105)</f>
        <v/>
      </c>
      <c r="L105" s="562" t="str">
        <f>IF(OR(TABLERO!AF105="",TABLERO!AF105=0),"",TABLERO!AF105)</f>
        <v/>
      </c>
      <c r="M105" s="562" t="str">
        <f>IF(OR(TABLERO!AG105="",TABLERO!AG105=0),"",TABLERO!AG105)</f>
        <v/>
      </c>
      <c r="N105" s="562" t="str">
        <f>IF(OR(TABLERO!AH105="",TABLERO!AH105=0),"",TABLERO!AH105)</f>
        <v/>
      </c>
      <c r="O105" s="562" t="str">
        <f>IF(OR(TABLERO!AI105="",TABLERO!AI105=0),"",TABLERO!AI105)</f>
        <v/>
      </c>
      <c r="P105" s="562" t="str">
        <f>IF(OR(TABLERO!AJ105="",TABLERO!AJ105=0),"",TABLERO!AJ105)</f>
        <v/>
      </c>
      <c r="Q105" s="562" t="str">
        <f>IF(OR(TABLERO!AK105="",TABLERO!AK105=0),"",TABLERO!AK105)</f>
        <v/>
      </c>
      <c r="R105" s="562" t="str">
        <f>IF(OR(TABLERO!AL105="",TABLERO!AL105=0),"",TABLERO!AL105)</f>
        <v/>
      </c>
      <c r="S105" s="562" t="str">
        <f>IF(OR(TABLERO!AM105="",TABLERO!AM105=0),"",TABLERO!AM105)</f>
        <v/>
      </c>
      <c r="T105" s="562" t="str">
        <f>IF(OR(TABLERO!AN105="",TABLERO!AN105=0),"",TABLERO!AN105)</f>
        <v/>
      </c>
      <c r="U105" s="562" t="str">
        <f>IF(OR(TABLERO!AO105="",TABLERO!AO105=0),"",TABLERO!AO105)</f>
        <v/>
      </c>
      <c r="V105" s="562" t="str">
        <f>IF(OR(TABLERO!AP105="",TABLERO!AP105=0),"",TABLERO!AP105)</f>
        <v/>
      </c>
      <c r="W105" s="562" t="str">
        <f>IF(OR(TABLERO!AQ105="",TABLERO!AQ105=0),"",TABLERO!AQ105)</f>
        <v/>
      </c>
      <c r="X105" s="562" t="str">
        <f>IF(OR(TABLERO!AR105="",TABLERO!AR105=0),"",TABLERO!AR105)</f>
        <v/>
      </c>
      <c r="Y105" s="562" t="str">
        <f>IF(OR(TABLERO!AS105="",TABLERO!AS105=0),"",TABLERO!AS105)</f>
        <v/>
      </c>
      <c r="Z105" s="562" t="str">
        <f>IF(OR(TABLERO!AT105="",TABLERO!AT105=0),"",TABLERO!AT105)</f>
        <v/>
      </c>
      <c r="AA105" s="562" t="str">
        <f>IF(OR(TABLERO!AU105="",TABLERO!AU105=0),"",TABLERO!AU105)</f>
        <v/>
      </c>
      <c r="AB105" s="562" t="str">
        <f>IF(OR(TABLERO!AV105="",TABLERO!AV105=0),"",TABLERO!AV105)</f>
        <v/>
      </c>
      <c r="AC105" s="562" t="str">
        <f>IF(OR(TABLERO!AW105="",TABLERO!AW105=0),"",TABLERO!AW105)</f>
        <v/>
      </c>
      <c r="AD105" s="562" t="str">
        <f>IF(OR(TABLERO!AX105="",TABLERO!AX105=0),"",TABLERO!AX105)</f>
        <v/>
      </c>
      <c r="AE105" s="562" t="str">
        <f>IF(OR(TABLERO!AY105="",TABLERO!AY105=0),"",TABLERO!AY105)</f>
        <v/>
      </c>
      <c r="AF105" s="562" t="str">
        <f>IF(OR(TABLERO!AZ105="",TABLERO!AZ105=0),"",TABLERO!AZ105)</f>
        <v/>
      </c>
      <c r="AG105" s="562" t="str">
        <f>IF(OR(TABLERO!BA105="",TABLERO!BA105=0),"",TABLERO!BA105)</f>
        <v/>
      </c>
      <c r="AH105" s="48" t="str">
        <f>IF(TABLERO!BB105=0,"",IF(TABLERO!$F$17&lt;&gt;"KVA",TABLERO!BB105*1000,TABLERO!BB105*1000/TABLERO!DA105))</f>
        <v/>
      </c>
      <c r="AI105" s="48" t="str">
        <f>IF(TABLERO!BB105=0,"",IF(TABLERO!$F$17&lt;&gt;"KVA",TABLERO!BT105*1000,TABLERO!BT105*1000/TABLERO!DA105))</f>
        <v/>
      </c>
      <c r="AJ105" s="44" t="str">
        <f>IF(OR(TABLERO!BU105="",TABLERO!BU105=0),"",TABLERO!BU105)</f>
        <v/>
      </c>
      <c r="AK105" s="562" t="str">
        <f>IF(TABLERO!BB105=0,"",TABLERO!F105)</f>
        <v/>
      </c>
      <c r="AL105" s="562" t="str">
        <f>IF(TABLERO!BB105=0,"",TABLERO!G105)</f>
        <v/>
      </c>
      <c r="AM105" s="562" t="str">
        <f>IF(TABLERO!BB105=0,"",TABLERO!BV105)</f>
        <v/>
      </c>
      <c r="AN105" s="44" t="str">
        <f>IF(TABLERO!BB105=0,"",TABLERO!K105)</f>
        <v/>
      </c>
      <c r="AO105" s="562" t="str">
        <f>IF(TABLERO!BB105=0,"",TABLERO!J105)</f>
        <v/>
      </c>
      <c r="AP105" s="44" t="str">
        <f>IF(TABLERO!BB105=0,"",TABLERO!CT105)</f>
        <v/>
      </c>
      <c r="AQ105" s="44" t="str">
        <f>IF(TABLERO!BB105=0,"",TABLERO!CS105)</f>
        <v/>
      </c>
      <c r="AR105" s="44" t="str">
        <f>IF(TABLERO!BB105=0,"",TABLERO!CY105)</f>
        <v/>
      </c>
      <c r="AS105" s="562" t="str">
        <f>IF(TABLERO!BB105=0,"",TABLERO!N105)</f>
        <v/>
      </c>
      <c r="AT105" s="1079" t="str">
        <f>IF(TABLERO!BB105=0,"",TABLERO!BX105&amp;" "&amp;TABLERO!ED105&amp;", "&amp;TABLERO!I105)</f>
        <v/>
      </c>
      <c r="AU105" s="1080"/>
      <c r="AV105" s="44" t="str">
        <f>IF(TABLERO!BB105=0,"",TABLERO!BZ105)</f>
        <v/>
      </c>
      <c r="AW105" s="562" t="str">
        <f>IF(TABLERO!BB105=0,"",TABLERO!CA105)</f>
        <v/>
      </c>
      <c r="AX105" s="43" t="str">
        <f>IF(TABLERO!BB105=0,"",TABLERO!CB105)</f>
        <v/>
      </c>
      <c r="AY105" s="44" t="str">
        <f>IF(TABLERO!BB105=0,"",TABLERO!DL105)</f>
        <v/>
      </c>
      <c r="AZ105" s="576" t="str">
        <f>IF(OR(TABLERO!BB105=0,TABLERO!H105="RE"),"",TABLERO!F105&amp;"P-"&amp;TABLERO!BW105&amp;"A")</f>
        <v/>
      </c>
      <c r="BA105" s="44" t="str">
        <f>IF(TABLERO!BB105=0,"",TABLERO!CI105)</f>
        <v/>
      </c>
      <c r="BB105" s="44" t="str">
        <f>IF(TABLERO!BB105=0,"",TABLERO!CJ105)</f>
        <v/>
      </c>
      <c r="BC105" s="49" t="str">
        <f>IF(TABLERO!BB105=0,"",TABLERO!CK105)</f>
        <v/>
      </c>
      <c r="BG105" s="46">
        <f>IF(TABLERO!B105="",0,TABLERO!B105)</f>
        <v>75</v>
      </c>
      <c r="BH105" s="46">
        <f>IF(TABLERO!C105="",BG105,TABLERO!C105)</f>
        <v>75</v>
      </c>
      <c r="BI105" s="46">
        <f>IF(TABLERO!D105="",BG105,TABLERO!D105)</f>
        <v>75</v>
      </c>
      <c r="BJ105" s="50">
        <f t="shared" si="2"/>
        <v>0</v>
      </c>
    </row>
    <row r="106" spans="1:62" hidden="1">
      <c r="A106" s="46">
        <f>IF(OR(BG106&gt;TABLERO!$M$19,BH106&gt;TABLERO!$M$19,BI106&gt;TABLERO!$M$19,BG106=0,BH106=0,BI106=0),2,1)</f>
        <v>2</v>
      </c>
      <c r="B106" s="47" t="str">
        <f>TABLERO!B106&amp;IF(TABLERO!C106="","",","&amp;TABLERO!C106)&amp;IF(TABLERO!D106="","",","&amp;TABLERO!D106)</f>
        <v>76</v>
      </c>
      <c r="C106" s="42" t="str">
        <f>IF(TABLERO!E106=0,"",TABLERO!E106)</f>
        <v/>
      </c>
      <c r="D106" s="562" t="str">
        <f>IF(OR(TABLERO!X106="",TABLERO!X106=0),"",TABLERO!X106)</f>
        <v/>
      </c>
      <c r="E106" s="562" t="str">
        <f>IF(OR(TABLERO!Y106="",TABLERO!Y106=0),"",TABLERO!Y106)</f>
        <v/>
      </c>
      <c r="F106" s="562" t="str">
        <f>IF(OR(TABLERO!Z106="",TABLERO!Z106=0),"",TABLERO!Z106)</f>
        <v/>
      </c>
      <c r="G106" s="562" t="str">
        <f>IF(OR(TABLERO!AA106="",TABLERO!AA106=0),"",TABLERO!AA106)</f>
        <v/>
      </c>
      <c r="H106" s="562" t="str">
        <f>IF(OR(TABLERO!AB106="",TABLERO!AB106=0),"",TABLERO!AB106)</f>
        <v/>
      </c>
      <c r="I106" s="562" t="str">
        <f>IF(OR(TABLERO!AC106="",TABLERO!AC106=0),"",TABLERO!AC106)</f>
        <v/>
      </c>
      <c r="J106" s="562" t="str">
        <f>IF(OR(TABLERO!AD106="",TABLERO!AD106=0),"",TABLERO!AD106)</f>
        <v/>
      </c>
      <c r="K106" s="562" t="str">
        <f>IF(OR(TABLERO!AE106="",TABLERO!AE106=0),"",TABLERO!AE106)</f>
        <v/>
      </c>
      <c r="L106" s="562" t="str">
        <f>IF(OR(TABLERO!AF106="",TABLERO!AF106=0),"",TABLERO!AF106)</f>
        <v/>
      </c>
      <c r="M106" s="562" t="str">
        <f>IF(OR(TABLERO!AG106="",TABLERO!AG106=0),"",TABLERO!AG106)</f>
        <v/>
      </c>
      <c r="N106" s="562" t="str">
        <f>IF(OR(TABLERO!AH106="",TABLERO!AH106=0),"",TABLERO!AH106)</f>
        <v/>
      </c>
      <c r="O106" s="562" t="str">
        <f>IF(OR(TABLERO!AI106="",TABLERO!AI106=0),"",TABLERO!AI106)</f>
        <v/>
      </c>
      <c r="P106" s="562" t="str">
        <f>IF(OR(TABLERO!AJ106="",TABLERO!AJ106=0),"",TABLERO!AJ106)</f>
        <v/>
      </c>
      <c r="Q106" s="562" t="str">
        <f>IF(OR(TABLERO!AK106="",TABLERO!AK106=0),"",TABLERO!AK106)</f>
        <v/>
      </c>
      <c r="R106" s="562" t="str">
        <f>IF(OR(TABLERO!AL106="",TABLERO!AL106=0),"",TABLERO!AL106)</f>
        <v/>
      </c>
      <c r="S106" s="562" t="str">
        <f>IF(OR(TABLERO!AM106="",TABLERO!AM106=0),"",TABLERO!AM106)</f>
        <v/>
      </c>
      <c r="T106" s="562" t="str">
        <f>IF(OR(TABLERO!AN106="",TABLERO!AN106=0),"",TABLERO!AN106)</f>
        <v/>
      </c>
      <c r="U106" s="562" t="str">
        <f>IF(OR(TABLERO!AO106="",TABLERO!AO106=0),"",TABLERO!AO106)</f>
        <v/>
      </c>
      <c r="V106" s="562" t="str">
        <f>IF(OR(TABLERO!AP106="",TABLERO!AP106=0),"",TABLERO!AP106)</f>
        <v/>
      </c>
      <c r="W106" s="562" t="str">
        <f>IF(OR(TABLERO!AQ106="",TABLERO!AQ106=0),"",TABLERO!AQ106)</f>
        <v/>
      </c>
      <c r="X106" s="562" t="str">
        <f>IF(OR(TABLERO!AR106="",TABLERO!AR106=0),"",TABLERO!AR106)</f>
        <v/>
      </c>
      <c r="Y106" s="562" t="str">
        <f>IF(OR(TABLERO!AS106="",TABLERO!AS106=0),"",TABLERO!AS106)</f>
        <v/>
      </c>
      <c r="Z106" s="562" t="str">
        <f>IF(OR(TABLERO!AT106="",TABLERO!AT106=0),"",TABLERO!AT106)</f>
        <v/>
      </c>
      <c r="AA106" s="562" t="str">
        <f>IF(OR(TABLERO!AU106="",TABLERO!AU106=0),"",TABLERO!AU106)</f>
        <v/>
      </c>
      <c r="AB106" s="562" t="str">
        <f>IF(OR(TABLERO!AV106="",TABLERO!AV106=0),"",TABLERO!AV106)</f>
        <v/>
      </c>
      <c r="AC106" s="562" t="str">
        <f>IF(OR(TABLERO!AW106="",TABLERO!AW106=0),"",TABLERO!AW106)</f>
        <v/>
      </c>
      <c r="AD106" s="562" t="str">
        <f>IF(OR(TABLERO!AX106="",TABLERO!AX106=0),"",TABLERO!AX106)</f>
        <v/>
      </c>
      <c r="AE106" s="562" t="str">
        <f>IF(OR(TABLERO!AY106="",TABLERO!AY106=0),"",TABLERO!AY106)</f>
        <v/>
      </c>
      <c r="AF106" s="562" t="str">
        <f>IF(OR(TABLERO!AZ106="",TABLERO!AZ106=0),"",TABLERO!AZ106)</f>
        <v/>
      </c>
      <c r="AG106" s="562" t="str">
        <f>IF(OR(TABLERO!BA106="",TABLERO!BA106=0),"",TABLERO!BA106)</f>
        <v/>
      </c>
      <c r="AH106" s="48" t="str">
        <f>IF(TABLERO!BB106=0,"",IF(TABLERO!$F$17&lt;&gt;"KVA",TABLERO!BB106*1000,TABLERO!BB106*1000/TABLERO!DA106))</f>
        <v/>
      </c>
      <c r="AI106" s="48" t="str">
        <f>IF(TABLERO!BB106=0,"",IF(TABLERO!$F$17&lt;&gt;"KVA",TABLERO!BT106*1000,TABLERO!BT106*1000/TABLERO!DA106))</f>
        <v/>
      </c>
      <c r="AJ106" s="44" t="str">
        <f>IF(OR(TABLERO!BU106="",TABLERO!BU106=0),"",TABLERO!BU106)</f>
        <v/>
      </c>
      <c r="AK106" s="562" t="str">
        <f>IF(TABLERO!BB106=0,"",TABLERO!F106)</f>
        <v/>
      </c>
      <c r="AL106" s="562" t="str">
        <f>IF(TABLERO!BB106=0,"",TABLERO!G106)</f>
        <v/>
      </c>
      <c r="AM106" s="562" t="str">
        <f>IF(TABLERO!BB106=0,"",TABLERO!BV106)</f>
        <v/>
      </c>
      <c r="AN106" s="44" t="str">
        <f>IF(TABLERO!BB106=0,"",TABLERO!K106)</f>
        <v/>
      </c>
      <c r="AO106" s="562" t="str">
        <f>IF(TABLERO!BB106=0,"",TABLERO!J106)</f>
        <v/>
      </c>
      <c r="AP106" s="44" t="str">
        <f>IF(TABLERO!BB106=0,"",TABLERO!CT106)</f>
        <v/>
      </c>
      <c r="AQ106" s="44" t="str">
        <f>IF(TABLERO!BB106=0,"",TABLERO!CS106)</f>
        <v/>
      </c>
      <c r="AR106" s="44" t="str">
        <f>IF(TABLERO!BB106=0,"",TABLERO!CY106)</f>
        <v/>
      </c>
      <c r="AS106" s="562" t="str">
        <f>IF(TABLERO!BB106=0,"",TABLERO!N106)</f>
        <v/>
      </c>
      <c r="AT106" s="1079" t="str">
        <f>IF(TABLERO!BB106=0,"",TABLERO!BX106&amp;" "&amp;TABLERO!ED106&amp;", "&amp;TABLERO!I106)</f>
        <v/>
      </c>
      <c r="AU106" s="1080"/>
      <c r="AV106" s="44" t="str">
        <f>IF(TABLERO!BB106=0,"",TABLERO!BZ106)</f>
        <v/>
      </c>
      <c r="AW106" s="562" t="str">
        <f>IF(TABLERO!BB106=0,"",TABLERO!CA106)</f>
        <v/>
      </c>
      <c r="AX106" s="43" t="str">
        <f>IF(TABLERO!BB106=0,"",TABLERO!CB106)</f>
        <v/>
      </c>
      <c r="AY106" s="44" t="str">
        <f>IF(TABLERO!BB106=0,"",TABLERO!DL106)</f>
        <v/>
      </c>
      <c r="AZ106" s="576" t="str">
        <f>IF(OR(TABLERO!BB106=0,TABLERO!H106="RE"),"",TABLERO!F106&amp;"P-"&amp;TABLERO!BW106&amp;"A")</f>
        <v/>
      </c>
      <c r="BA106" s="44" t="str">
        <f>IF(TABLERO!BB106=0,"",TABLERO!CI106)</f>
        <v/>
      </c>
      <c r="BB106" s="44" t="str">
        <f>IF(TABLERO!BB106=0,"",TABLERO!CJ106)</f>
        <v/>
      </c>
      <c r="BC106" s="49" t="str">
        <f>IF(TABLERO!BB106=0,"",TABLERO!CK106)</f>
        <v/>
      </c>
      <c r="BG106" s="46">
        <f>IF(TABLERO!B106="",0,TABLERO!B106)</f>
        <v>76</v>
      </c>
      <c r="BH106" s="46">
        <f>IF(TABLERO!C106="",BG106,TABLERO!C106)</f>
        <v>76</v>
      </c>
      <c r="BI106" s="46">
        <f>IF(TABLERO!D106="",BG106,TABLERO!D106)</f>
        <v>76</v>
      </c>
      <c r="BJ106" s="50">
        <f t="shared" si="2"/>
        <v>0</v>
      </c>
    </row>
    <row r="107" spans="1:62" hidden="1">
      <c r="A107" s="46">
        <f>IF(OR(BG107&gt;TABLERO!$M$19,BH107&gt;TABLERO!$M$19,BI107&gt;TABLERO!$M$19,BG107=0,BH107=0,BI107=0),2,1)</f>
        <v>2</v>
      </c>
      <c r="B107" s="47" t="str">
        <f>TABLERO!B107&amp;IF(TABLERO!C107="","",","&amp;TABLERO!C107)&amp;IF(TABLERO!D107="","",","&amp;TABLERO!D107)</f>
        <v>77</v>
      </c>
      <c r="C107" s="42" t="str">
        <f>IF(TABLERO!E107=0,"",TABLERO!E107)</f>
        <v/>
      </c>
      <c r="D107" s="562" t="str">
        <f>IF(OR(TABLERO!X107="",TABLERO!X107=0),"",TABLERO!X107)</f>
        <v/>
      </c>
      <c r="E107" s="562" t="str">
        <f>IF(OR(TABLERO!Y107="",TABLERO!Y107=0),"",TABLERO!Y107)</f>
        <v/>
      </c>
      <c r="F107" s="562" t="str">
        <f>IF(OR(TABLERO!Z107="",TABLERO!Z107=0),"",TABLERO!Z107)</f>
        <v/>
      </c>
      <c r="G107" s="562" t="str">
        <f>IF(OR(TABLERO!AA107="",TABLERO!AA107=0),"",TABLERO!AA107)</f>
        <v/>
      </c>
      <c r="H107" s="562" t="str">
        <f>IF(OR(TABLERO!AB107="",TABLERO!AB107=0),"",TABLERO!AB107)</f>
        <v/>
      </c>
      <c r="I107" s="562" t="str">
        <f>IF(OR(TABLERO!AC107="",TABLERO!AC107=0),"",TABLERO!AC107)</f>
        <v/>
      </c>
      <c r="J107" s="562" t="str">
        <f>IF(OR(TABLERO!AD107="",TABLERO!AD107=0),"",TABLERO!AD107)</f>
        <v/>
      </c>
      <c r="K107" s="562" t="str">
        <f>IF(OR(TABLERO!AE107="",TABLERO!AE107=0),"",TABLERO!AE107)</f>
        <v/>
      </c>
      <c r="L107" s="562" t="str">
        <f>IF(OR(TABLERO!AF107="",TABLERO!AF107=0),"",TABLERO!AF107)</f>
        <v/>
      </c>
      <c r="M107" s="562" t="str">
        <f>IF(OR(TABLERO!AG107="",TABLERO!AG107=0),"",TABLERO!AG107)</f>
        <v/>
      </c>
      <c r="N107" s="562" t="str">
        <f>IF(OR(TABLERO!AH107="",TABLERO!AH107=0),"",TABLERO!AH107)</f>
        <v/>
      </c>
      <c r="O107" s="562" t="str">
        <f>IF(OR(TABLERO!AI107="",TABLERO!AI107=0),"",TABLERO!AI107)</f>
        <v/>
      </c>
      <c r="P107" s="562" t="str">
        <f>IF(OR(TABLERO!AJ107="",TABLERO!AJ107=0),"",TABLERO!AJ107)</f>
        <v/>
      </c>
      <c r="Q107" s="562" t="str">
        <f>IF(OR(TABLERO!AK107="",TABLERO!AK107=0),"",TABLERO!AK107)</f>
        <v/>
      </c>
      <c r="R107" s="562" t="str">
        <f>IF(OR(TABLERO!AL107="",TABLERO!AL107=0),"",TABLERO!AL107)</f>
        <v/>
      </c>
      <c r="S107" s="562" t="str">
        <f>IF(OR(TABLERO!AM107="",TABLERO!AM107=0),"",TABLERO!AM107)</f>
        <v/>
      </c>
      <c r="T107" s="562" t="str">
        <f>IF(OR(TABLERO!AN107="",TABLERO!AN107=0),"",TABLERO!AN107)</f>
        <v/>
      </c>
      <c r="U107" s="562" t="str">
        <f>IF(OR(TABLERO!AO107="",TABLERO!AO107=0),"",TABLERO!AO107)</f>
        <v/>
      </c>
      <c r="V107" s="562" t="str">
        <f>IF(OR(TABLERO!AP107="",TABLERO!AP107=0),"",TABLERO!AP107)</f>
        <v/>
      </c>
      <c r="W107" s="562" t="str">
        <f>IF(OR(TABLERO!AQ107="",TABLERO!AQ107=0),"",TABLERO!AQ107)</f>
        <v/>
      </c>
      <c r="X107" s="562" t="str">
        <f>IF(OR(TABLERO!AR107="",TABLERO!AR107=0),"",TABLERO!AR107)</f>
        <v/>
      </c>
      <c r="Y107" s="562" t="str">
        <f>IF(OR(TABLERO!AS107="",TABLERO!AS107=0),"",TABLERO!AS107)</f>
        <v/>
      </c>
      <c r="Z107" s="562" t="str">
        <f>IF(OR(TABLERO!AT107="",TABLERO!AT107=0),"",TABLERO!AT107)</f>
        <v/>
      </c>
      <c r="AA107" s="562" t="str">
        <f>IF(OR(TABLERO!AU107="",TABLERO!AU107=0),"",TABLERO!AU107)</f>
        <v/>
      </c>
      <c r="AB107" s="562" t="str">
        <f>IF(OR(TABLERO!AV107="",TABLERO!AV107=0),"",TABLERO!AV107)</f>
        <v/>
      </c>
      <c r="AC107" s="562" t="str">
        <f>IF(OR(TABLERO!AW107="",TABLERO!AW107=0),"",TABLERO!AW107)</f>
        <v/>
      </c>
      <c r="AD107" s="562" t="str">
        <f>IF(OR(TABLERO!AX107="",TABLERO!AX107=0),"",TABLERO!AX107)</f>
        <v/>
      </c>
      <c r="AE107" s="562" t="str">
        <f>IF(OR(TABLERO!AY107="",TABLERO!AY107=0),"",TABLERO!AY107)</f>
        <v/>
      </c>
      <c r="AF107" s="562" t="str">
        <f>IF(OR(TABLERO!AZ107="",TABLERO!AZ107=0),"",TABLERO!AZ107)</f>
        <v/>
      </c>
      <c r="AG107" s="562" t="str">
        <f>IF(OR(TABLERO!BA107="",TABLERO!BA107=0),"",TABLERO!BA107)</f>
        <v/>
      </c>
      <c r="AH107" s="48" t="str">
        <f>IF(TABLERO!BB107=0,"",IF(TABLERO!$F$17&lt;&gt;"KVA",TABLERO!BB107*1000,TABLERO!BB107*1000/TABLERO!DA107))</f>
        <v/>
      </c>
      <c r="AI107" s="48" t="str">
        <f>IF(TABLERO!BB107=0,"",IF(TABLERO!$F$17&lt;&gt;"KVA",TABLERO!BT107*1000,TABLERO!BT107*1000/TABLERO!DA107))</f>
        <v/>
      </c>
      <c r="AJ107" s="44" t="str">
        <f>IF(OR(TABLERO!BU107="",TABLERO!BU107=0),"",TABLERO!BU107)</f>
        <v/>
      </c>
      <c r="AK107" s="562" t="str">
        <f>IF(TABLERO!BB107=0,"",TABLERO!F107)</f>
        <v/>
      </c>
      <c r="AL107" s="562" t="str">
        <f>IF(TABLERO!BB107=0,"",TABLERO!G107)</f>
        <v/>
      </c>
      <c r="AM107" s="562" t="str">
        <f>IF(TABLERO!BB107=0,"",TABLERO!BV107)</f>
        <v/>
      </c>
      <c r="AN107" s="44" t="str">
        <f>IF(TABLERO!BB107=0,"",TABLERO!K107)</f>
        <v/>
      </c>
      <c r="AO107" s="562" t="str">
        <f>IF(TABLERO!BB107=0,"",TABLERO!J107)</f>
        <v/>
      </c>
      <c r="AP107" s="44" t="str">
        <f>IF(TABLERO!BB107=0,"",TABLERO!CT107)</f>
        <v/>
      </c>
      <c r="AQ107" s="44" t="str">
        <f>IF(TABLERO!BB107=0,"",TABLERO!CS107)</f>
        <v/>
      </c>
      <c r="AR107" s="44" t="str">
        <f>IF(TABLERO!BB107=0,"",TABLERO!CY107)</f>
        <v/>
      </c>
      <c r="AS107" s="562" t="str">
        <f>IF(TABLERO!BB107=0,"",TABLERO!N107)</f>
        <v/>
      </c>
      <c r="AT107" s="1079" t="str">
        <f>IF(TABLERO!BB107=0,"",TABLERO!BX107&amp;" "&amp;TABLERO!ED107&amp;", "&amp;TABLERO!I107)</f>
        <v/>
      </c>
      <c r="AU107" s="1080"/>
      <c r="AV107" s="44" t="str">
        <f>IF(TABLERO!BB107=0,"",TABLERO!BZ107)</f>
        <v/>
      </c>
      <c r="AW107" s="562" t="str">
        <f>IF(TABLERO!BB107=0,"",TABLERO!CA107)</f>
        <v/>
      </c>
      <c r="AX107" s="43" t="str">
        <f>IF(TABLERO!BB107=0,"",TABLERO!CB107)</f>
        <v/>
      </c>
      <c r="AY107" s="44" t="str">
        <f>IF(TABLERO!BB107=0,"",TABLERO!DL107)</f>
        <v/>
      </c>
      <c r="AZ107" s="576" t="str">
        <f>IF(OR(TABLERO!BB107=0,TABLERO!H107="RE"),"",TABLERO!F107&amp;"P-"&amp;TABLERO!BW107&amp;"A")</f>
        <v/>
      </c>
      <c r="BA107" s="44" t="str">
        <f>IF(TABLERO!BB107=0,"",TABLERO!CI107)</f>
        <v/>
      </c>
      <c r="BB107" s="44" t="str">
        <f>IF(TABLERO!BB107=0,"",TABLERO!CJ107)</f>
        <v/>
      </c>
      <c r="BC107" s="49" t="str">
        <f>IF(TABLERO!BB107=0,"",TABLERO!CK107)</f>
        <v/>
      </c>
      <c r="BG107" s="46">
        <f>IF(TABLERO!B107="",0,TABLERO!B107)</f>
        <v>77</v>
      </c>
      <c r="BH107" s="46">
        <f>IF(TABLERO!C107="",BG107,TABLERO!C107)</f>
        <v>77</v>
      </c>
      <c r="BI107" s="46">
        <f>IF(TABLERO!D107="",BG107,TABLERO!D107)</f>
        <v>77</v>
      </c>
      <c r="BJ107" s="50">
        <f t="shared" si="2"/>
        <v>0</v>
      </c>
    </row>
    <row r="108" spans="1:62" hidden="1">
      <c r="A108" s="46">
        <f>IF(OR(BG108&gt;TABLERO!$M$19,BH108&gt;TABLERO!$M$19,BI108&gt;TABLERO!$M$19,BG108=0,BH108=0,BI108=0),2,1)</f>
        <v>2</v>
      </c>
      <c r="B108" s="47" t="str">
        <f>TABLERO!B108&amp;IF(TABLERO!C108="","",","&amp;TABLERO!C108)&amp;IF(TABLERO!D108="","",","&amp;TABLERO!D108)</f>
        <v>78</v>
      </c>
      <c r="C108" s="42" t="str">
        <f>IF(TABLERO!E108=0,"",TABLERO!E108)</f>
        <v/>
      </c>
      <c r="D108" s="562" t="str">
        <f>IF(OR(TABLERO!X108="",TABLERO!X108=0),"",TABLERO!X108)</f>
        <v/>
      </c>
      <c r="E108" s="562" t="str">
        <f>IF(OR(TABLERO!Y108="",TABLERO!Y108=0),"",TABLERO!Y108)</f>
        <v/>
      </c>
      <c r="F108" s="562" t="str">
        <f>IF(OR(TABLERO!Z108="",TABLERO!Z108=0),"",TABLERO!Z108)</f>
        <v/>
      </c>
      <c r="G108" s="562" t="str">
        <f>IF(OR(TABLERO!AA108="",TABLERO!AA108=0),"",TABLERO!AA108)</f>
        <v/>
      </c>
      <c r="H108" s="562" t="str">
        <f>IF(OR(TABLERO!AB108="",TABLERO!AB108=0),"",TABLERO!AB108)</f>
        <v/>
      </c>
      <c r="I108" s="562" t="str">
        <f>IF(OR(TABLERO!AC108="",TABLERO!AC108=0),"",TABLERO!AC108)</f>
        <v/>
      </c>
      <c r="J108" s="562" t="str">
        <f>IF(OR(TABLERO!AD108="",TABLERO!AD108=0),"",TABLERO!AD108)</f>
        <v/>
      </c>
      <c r="K108" s="562" t="str">
        <f>IF(OR(TABLERO!AE108="",TABLERO!AE108=0),"",TABLERO!AE108)</f>
        <v/>
      </c>
      <c r="L108" s="562" t="str">
        <f>IF(OR(TABLERO!AF108="",TABLERO!AF108=0),"",TABLERO!AF108)</f>
        <v/>
      </c>
      <c r="M108" s="562" t="str">
        <f>IF(OR(TABLERO!AG108="",TABLERO!AG108=0),"",TABLERO!AG108)</f>
        <v/>
      </c>
      <c r="N108" s="562" t="str">
        <f>IF(OR(TABLERO!AH108="",TABLERO!AH108=0),"",TABLERO!AH108)</f>
        <v/>
      </c>
      <c r="O108" s="562" t="str">
        <f>IF(OR(TABLERO!AI108="",TABLERO!AI108=0),"",TABLERO!AI108)</f>
        <v/>
      </c>
      <c r="P108" s="562" t="str">
        <f>IF(OR(TABLERO!AJ108="",TABLERO!AJ108=0),"",TABLERO!AJ108)</f>
        <v/>
      </c>
      <c r="Q108" s="562" t="str">
        <f>IF(OR(TABLERO!AK108="",TABLERO!AK108=0),"",TABLERO!AK108)</f>
        <v/>
      </c>
      <c r="R108" s="562" t="str">
        <f>IF(OR(TABLERO!AL108="",TABLERO!AL108=0),"",TABLERO!AL108)</f>
        <v/>
      </c>
      <c r="S108" s="562" t="str">
        <f>IF(OR(TABLERO!AM108="",TABLERO!AM108=0),"",TABLERO!AM108)</f>
        <v/>
      </c>
      <c r="T108" s="562" t="str">
        <f>IF(OR(TABLERO!AN108="",TABLERO!AN108=0),"",TABLERO!AN108)</f>
        <v/>
      </c>
      <c r="U108" s="562" t="str">
        <f>IF(OR(TABLERO!AO108="",TABLERO!AO108=0),"",TABLERO!AO108)</f>
        <v/>
      </c>
      <c r="V108" s="562" t="str">
        <f>IF(OR(TABLERO!AP108="",TABLERO!AP108=0),"",TABLERO!AP108)</f>
        <v/>
      </c>
      <c r="W108" s="562" t="str">
        <f>IF(OR(TABLERO!AQ108="",TABLERO!AQ108=0),"",TABLERO!AQ108)</f>
        <v/>
      </c>
      <c r="X108" s="562" t="str">
        <f>IF(OR(TABLERO!AR108="",TABLERO!AR108=0),"",TABLERO!AR108)</f>
        <v/>
      </c>
      <c r="Y108" s="562" t="str">
        <f>IF(OR(TABLERO!AS108="",TABLERO!AS108=0),"",TABLERO!AS108)</f>
        <v/>
      </c>
      <c r="Z108" s="562" t="str">
        <f>IF(OR(TABLERO!AT108="",TABLERO!AT108=0),"",TABLERO!AT108)</f>
        <v/>
      </c>
      <c r="AA108" s="562" t="str">
        <f>IF(OR(TABLERO!AU108="",TABLERO!AU108=0),"",TABLERO!AU108)</f>
        <v/>
      </c>
      <c r="AB108" s="562" t="str">
        <f>IF(OR(TABLERO!AV108="",TABLERO!AV108=0),"",TABLERO!AV108)</f>
        <v/>
      </c>
      <c r="AC108" s="562" t="str">
        <f>IF(OR(TABLERO!AW108="",TABLERO!AW108=0),"",TABLERO!AW108)</f>
        <v/>
      </c>
      <c r="AD108" s="562" t="str">
        <f>IF(OR(TABLERO!AX108="",TABLERO!AX108=0),"",TABLERO!AX108)</f>
        <v/>
      </c>
      <c r="AE108" s="562" t="str">
        <f>IF(OR(TABLERO!AY108="",TABLERO!AY108=0),"",TABLERO!AY108)</f>
        <v/>
      </c>
      <c r="AF108" s="562" t="str">
        <f>IF(OR(TABLERO!AZ108="",TABLERO!AZ108=0),"",TABLERO!AZ108)</f>
        <v/>
      </c>
      <c r="AG108" s="562" t="str">
        <f>IF(OR(TABLERO!BA108="",TABLERO!BA108=0),"",TABLERO!BA108)</f>
        <v/>
      </c>
      <c r="AH108" s="48" t="str">
        <f>IF(TABLERO!BB108=0,"",IF(TABLERO!$F$17&lt;&gt;"KVA",TABLERO!BB108*1000,TABLERO!BB108*1000/TABLERO!DA108))</f>
        <v/>
      </c>
      <c r="AI108" s="48" t="str">
        <f>IF(TABLERO!BB108=0,"",IF(TABLERO!$F$17&lt;&gt;"KVA",TABLERO!BT108*1000,TABLERO!BT108*1000/TABLERO!DA108))</f>
        <v/>
      </c>
      <c r="AJ108" s="44" t="str">
        <f>IF(OR(TABLERO!BU108="",TABLERO!BU108=0),"",TABLERO!BU108)</f>
        <v/>
      </c>
      <c r="AK108" s="562" t="str">
        <f>IF(TABLERO!BB108=0,"",TABLERO!F108)</f>
        <v/>
      </c>
      <c r="AL108" s="562" t="str">
        <f>IF(TABLERO!BB108=0,"",TABLERO!G108)</f>
        <v/>
      </c>
      <c r="AM108" s="562" t="str">
        <f>IF(TABLERO!BB108=0,"",TABLERO!BV108)</f>
        <v/>
      </c>
      <c r="AN108" s="44" t="str">
        <f>IF(TABLERO!BB108=0,"",TABLERO!K108)</f>
        <v/>
      </c>
      <c r="AO108" s="562" t="str">
        <f>IF(TABLERO!BB108=0,"",TABLERO!J108)</f>
        <v/>
      </c>
      <c r="AP108" s="44" t="str">
        <f>IF(TABLERO!BB108=0,"",TABLERO!CT108)</f>
        <v/>
      </c>
      <c r="AQ108" s="44" t="str">
        <f>IF(TABLERO!BB108=0,"",TABLERO!CS108)</f>
        <v/>
      </c>
      <c r="AR108" s="44" t="str">
        <f>IF(TABLERO!BB108=0,"",TABLERO!CY108)</f>
        <v/>
      </c>
      <c r="AS108" s="562" t="str">
        <f>IF(TABLERO!BB108=0,"",TABLERO!N108)</f>
        <v/>
      </c>
      <c r="AT108" s="1079" t="str">
        <f>IF(TABLERO!BB108=0,"",TABLERO!BX108&amp;" "&amp;TABLERO!ED108&amp;", "&amp;TABLERO!I108)</f>
        <v/>
      </c>
      <c r="AU108" s="1080"/>
      <c r="AV108" s="44" t="str">
        <f>IF(TABLERO!BB108=0,"",TABLERO!BZ108)</f>
        <v/>
      </c>
      <c r="AW108" s="562" t="str">
        <f>IF(TABLERO!BB108=0,"",TABLERO!CA108)</f>
        <v/>
      </c>
      <c r="AX108" s="43" t="str">
        <f>IF(TABLERO!BB108=0,"",TABLERO!CB108)</f>
        <v/>
      </c>
      <c r="AY108" s="44" t="str">
        <f>IF(TABLERO!BB108=0,"",TABLERO!DL108)</f>
        <v/>
      </c>
      <c r="AZ108" s="576" t="str">
        <f>IF(OR(TABLERO!BB108=0,TABLERO!H108="RE"),"",TABLERO!F108&amp;"P-"&amp;TABLERO!BW108&amp;"A")</f>
        <v/>
      </c>
      <c r="BA108" s="44" t="str">
        <f>IF(TABLERO!BB108=0,"",TABLERO!CI108)</f>
        <v/>
      </c>
      <c r="BB108" s="44" t="str">
        <f>IF(TABLERO!BB108=0,"",TABLERO!CJ108)</f>
        <v/>
      </c>
      <c r="BC108" s="49" t="str">
        <f>IF(TABLERO!BB108=0,"",TABLERO!CK108)</f>
        <v/>
      </c>
      <c r="BG108" s="46">
        <f>IF(TABLERO!B108="",0,TABLERO!B108)</f>
        <v>78</v>
      </c>
      <c r="BH108" s="46">
        <f>IF(TABLERO!C108="",BG108,TABLERO!C108)</f>
        <v>78</v>
      </c>
      <c r="BI108" s="46">
        <f>IF(TABLERO!D108="",BG108,TABLERO!D108)</f>
        <v>78</v>
      </c>
      <c r="BJ108" s="50">
        <f t="shared" si="2"/>
        <v>0</v>
      </c>
    </row>
    <row r="109" spans="1:62" hidden="1">
      <c r="A109" s="46">
        <f>IF(OR(BG109&gt;TABLERO!$M$19,BH109&gt;TABLERO!$M$19,BI109&gt;TABLERO!$M$19,BG109=0,BH109=0,BI109=0),2,1)</f>
        <v>2</v>
      </c>
      <c r="B109" s="47" t="str">
        <f>TABLERO!B109&amp;IF(TABLERO!C109="","",","&amp;TABLERO!C109)&amp;IF(TABLERO!D109="","",","&amp;TABLERO!D109)</f>
        <v>79</v>
      </c>
      <c r="C109" s="42" t="str">
        <f>IF(TABLERO!E109=0,"",TABLERO!E109)</f>
        <v/>
      </c>
      <c r="D109" s="562" t="str">
        <f>IF(OR(TABLERO!X109="",TABLERO!X109=0),"",TABLERO!X109)</f>
        <v/>
      </c>
      <c r="E109" s="562" t="str">
        <f>IF(OR(TABLERO!Y109="",TABLERO!Y109=0),"",TABLERO!Y109)</f>
        <v/>
      </c>
      <c r="F109" s="562" t="str">
        <f>IF(OR(TABLERO!Z109="",TABLERO!Z109=0),"",TABLERO!Z109)</f>
        <v/>
      </c>
      <c r="G109" s="562" t="str">
        <f>IF(OR(TABLERO!AA109="",TABLERO!AA109=0),"",TABLERO!AA109)</f>
        <v/>
      </c>
      <c r="H109" s="562" t="str">
        <f>IF(OR(TABLERO!AB109="",TABLERO!AB109=0),"",TABLERO!AB109)</f>
        <v/>
      </c>
      <c r="I109" s="562" t="str">
        <f>IF(OR(TABLERO!AC109="",TABLERO!AC109=0),"",TABLERO!AC109)</f>
        <v/>
      </c>
      <c r="J109" s="562" t="str">
        <f>IF(OR(TABLERO!AD109="",TABLERO!AD109=0),"",TABLERO!AD109)</f>
        <v/>
      </c>
      <c r="K109" s="562" t="str">
        <f>IF(OR(TABLERO!AE109="",TABLERO!AE109=0),"",TABLERO!AE109)</f>
        <v/>
      </c>
      <c r="L109" s="562" t="str">
        <f>IF(OR(TABLERO!AF109="",TABLERO!AF109=0),"",TABLERO!AF109)</f>
        <v/>
      </c>
      <c r="M109" s="562" t="str">
        <f>IF(OR(TABLERO!AG109="",TABLERO!AG109=0),"",TABLERO!AG109)</f>
        <v/>
      </c>
      <c r="N109" s="562" t="str">
        <f>IF(OR(TABLERO!AH109="",TABLERO!AH109=0),"",TABLERO!AH109)</f>
        <v/>
      </c>
      <c r="O109" s="562" t="str">
        <f>IF(OR(TABLERO!AI109="",TABLERO!AI109=0),"",TABLERO!AI109)</f>
        <v/>
      </c>
      <c r="P109" s="562" t="str">
        <f>IF(OR(TABLERO!AJ109="",TABLERO!AJ109=0),"",TABLERO!AJ109)</f>
        <v/>
      </c>
      <c r="Q109" s="562" t="str">
        <f>IF(OR(TABLERO!AK109="",TABLERO!AK109=0),"",TABLERO!AK109)</f>
        <v/>
      </c>
      <c r="R109" s="562" t="str">
        <f>IF(OR(TABLERO!AL109="",TABLERO!AL109=0),"",TABLERO!AL109)</f>
        <v/>
      </c>
      <c r="S109" s="562" t="str">
        <f>IF(OR(TABLERO!AM109="",TABLERO!AM109=0),"",TABLERO!AM109)</f>
        <v/>
      </c>
      <c r="T109" s="562" t="str">
        <f>IF(OR(TABLERO!AN109="",TABLERO!AN109=0),"",TABLERO!AN109)</f>
        <v/>
      </c>
      <c r="U109" s="562" t="str">
        <f>IF(OR(TABLERO!AO109="",TABLERO!AO109=0),"",TABLERO!AO109)</f>
        <v/>
      </c>
      <c r="V109" s="562" t="str">
        <f>IF(OR(TABLERO!AP109="",TABLERO!AP109=0),"",TABLERO!AP109)</f>
        <v/>
      </c>
      <c r="W109" s="562" t="str">
        <f>IF(OR(TABLERO!AQ109="",TABLERO!AQ109=0),"",TABLERO!AQ109)</f>
        <v/>
      </c>
      <c r="X109" s="562" t="str">
        <f>IF(OR(TABLERO!AR109="",TABLERO!AR109=0),"",TABLERO!AR109)</f>
        <v/>
      </c>
      <c r="Y109" s="562" t="str">
        <f>IF(OR(TABLERO!AS109="",TABLERO!AS109=0),"",TABLERO!AS109)</f>
        <v/>
      </c>
      <c r="Z109" s="562" t="str">
        <f>IF(OR(TABLERO!AT109="",TABLERO!AT109=0),"",TABLERO!AT109)</f>
        <v/>
      </c>
      <c r="AA109" s="562" t="str">
        <f>IF(OR(TABLERO!AU109="",TABLERO!AU109=0),"",TABLERO!AU109)</f>
        <v/>
      </c>
      <c r="AB109" s="562" t="str">
        <f>IF(OR(TABLERO!AV109="",TABLERO!AV109=0),"",TABLERO!AV109)</f>
        <v/>
      </c>
      <c r="AC109" s="562" t="str">
        <f>IF(OR(TABLERO!AW109="",TABLERO!AW109=0),"",TABLERO!AW109)</f>
        <v/>
      </c>
      <c r="AD109" s="562" t="str">
        <f>IF(OR(TABLERO!AX109="",TABLERO!AX109=0),"",TABLERO!AX109)</f>
        <v/>
      </c>
      <c r="AE109" s="562" t="str">
        <f>IF(OR(TABLERO!AY109="",TABLERO!AY109=0),"",TABLERO!AY109)</f>
        <v/>
      </c>
      <c r="AF109" s="562" t="str">
        <f>IF(OR(TABLERO!AZ109="",TABLERO!AZ109=0),"",TABLERO!AZ109)</f>
        <v/>
      </c>
      <c r="AG109" s="562" t="str">
        <f>IF(OR(TABLERO!BA109="",TABLERO!BA109=0),"",TABLERO!BA109)</f>
        <v/>
      </c>
      <c r="AH109" s="48" t="str">
        <f>IF(TABLERO!BB109=0,"",IF(TABLERO!$F$17&lt;&gt;"KVA",TABLERO!BB109*1000,TABLERO!BB109*1000/TABLERO!DA109))</f>
        <v/>
      </c>
      <c r="AI109" s="48" t="str">
        <f>IF(TABLERO!BB109=0,"",IF(TABLERO!$F$17&lt;&gt;"KVA",TABLERO!BT109*1000,TABLERO!BT109*1000/TABLERO!DA109))</f>
        <v/>
      </c>
      <c r="AJ109" s="44" t="str">
        <f>IF(OR(TABLERO!BU109="",TABLERO!BU109=0),"",TABLERO!BU109)</f>
        <v/>
      </c>
      <c r="AK109" s="562" t="str">
        <f>IF(TABLERO!BB109=0,"",TABLERO!F109)</f>
        <v/>
      </c>
      <c r="AL109" s="562" t="str">
        <f>IF(TABLERO!BB109=0,"",TABLERO!G109)</f>
        <v/>
      </c>
      <c r="AM109" s="562" t="str">
        <f>IF(TABLERO!BB109=0,"",TABLERO!BV109)</f>
        <v/>
      </c>
      <c r="AN109" s="44" t="str">
        <f>IF(TABLERO!BB109=0,"",TABLERO!K109)</f>
        <v/>
      </c>
      <c r="AO109" s="562" t="str">
        <f>IF(TABLERO!BB109=0,"",TABLERO!J109)</f>
        <v/>
      </c>
      <c r="AP109" s="44" t="str">
        <f>IF(TABLERO!BB109=0,"",TABLERO!CT109)</f>
        <v/>
      </c>
      <c r="AQ109" s="44" t="str">
        <f>IF(TABLERO!BB109=0,"",TABLERO!CS109)</f>
        <v/>
      </c>
      <c r="AR109" s="44" t="str">
        <f>IF(TABLERO!BB109=0,"",TABLERO!CY109)</f>
        <v/>
      </c>
      <c r="AS109" s="562" t="str">
        <f>IF(TABLERO!BB109=0,"",TABLERO!N109)</f>
        <v/>
      </c>
      <c r="AT109" s="1079" t="str">
        <f>IF(TABLERO!BB109=0,"",TABLERO!BX109&amp;" "&amp;TABLERO!ED109&amp;", "&amp;TABLERO!I109)</f>
        <v/>
      </c>
      <c r="AU109" s="1080"/>
      <c r="AV109" s="44" t="str">
        <f>IF(TABLERO!BB109=0,"",TABLERO!BZ109)</f>
        <v/>
      </c>
      <c r="AW109" s="562" t="str">
        <f>IF(TABLERO!BB109=0,"",TABLERO!CA109)</f>
        <v/>
      </c>
      <c r="AX109" s="43" t="str">
        <f>IF(TABLERO!BB109=0,"",TABLERO!CB109)</f>
        <v/>
      </c>
      <c r="AY109" s="44" t="str">
        <f>IF(TABLERO!BB109=0,"",TABLERO!DL109)</f>
        <v/>
      </c>
      <c r="AZ109" s="576" t="str">
        <f>IF(OR(TABLERO!BB109=0,TABLERO!H109="RE"),"",TABLERO!F109&amp;"P-"&amp;TABLERO!BW109&amp;"A")</f>
        <v/>
      </c>
      <c r="BA109" s="44" t="str">
        <f>IF(TABLERO!BB109=0,"",TABLERO!CI109)</f>
        <v/>
      </c>
      <c r="BB109" s="44" t="str">
        <f>IF(TABLERO!BB109=0,"",TABLERO!CJ109)</f>
        <v/>
      </c>
      <c r="BC109" s="49" t="str">
        <f>IF(TABLERO!BB109=0,"",TABLERO!CK109)</f>
        <v/>
      </c>
      <c r="BG109" s="46">
        <f>IF(TABLERO!B109="",0,TABLERO!B109)</f>
        <v>79</v>
      </c>
      <c r="BH109" s="46">
        <f>IF(TABLERO!C109="",BG109,TABLERO!C109)</f>
        <v>79</v>
      </c>
      <c r="BI109" s="46">
        <f>IF(TABLERO!D109="",BG109,TABLERO!D109)</f>
        <v>79</v>
      </c>
      <c r="BJ109" s="50">
        <f t="shared" si="2"/>
        <v>0</v>
      </c>
    </row>
    <row r="110" spans="1:62" hidden="1">
      <c r="A110" s="46">
        <f>IF(OR(BG110&gt;TABLERO!$M$19,BH110&gt;TABLERO!$M$19,BI110&gt;TABLERO!$M$19,BG110=0,BH110=0,BI110=0),2,1)</f>
        <v>2</v>
      </c>
      <c r="B110" s="47" t="str">
        <f>TABLERO!B110&amp;IF(TABLERO!C110="","",","&amp;TABLERO!C110)&amp;IF(TABLERO!D110="","",","&amp;TABLERO!D110)</f>
        <v>80</v>
      </c>
      <c r="C110" s="42" t="str">
        <f>IF(TABLERO!E110=0,"",TABLERO!E110)</f>
        <v/>
      </c>
      <c r="D110" s="562" t="str">
        <f>IF(OR(TABLERO!X110="",TABLERO!X110=0),"",TABLERO!X110)</f>
        <v/>
      </c>
      <c r="E110" s="562" t="str">
        <f>IF(OR(TABLERO!Y110="",TABLERO!Y110=0),"",TABLERO!Y110)</f>
        <v/>
      </c>
      <c r="F110" s="562" t="str">
        <f>IF(OR(TABLERO!Z110="",TABLERO!Z110=0),"",TABLERO!Z110)</f>
        <v/>
      </c>
      <c r="G110" s="562" t="str">
        <f>IF(OR(TABLERO!AA110="",TABLERO!AA110=0),"",TABLERO!AA110)</f>
        <v/>
      </c>
      <c r="H110" s="562" t="str">
        <f>IF(OR(TABLERO!AB110="",TABLERO!AB110=0),"",TABLERO!AB110)</f>
        <v/>
      </c>
      <c r="I110" s="562" t="str">
        <f>IF(OR(TABLERO!AC110="",TABLERO!AC110=0),"",TABLERO!AC110)</f>
        <v/>
      </c>
      <c r="J110" s="562" t="str">
        <f>IF(OR(TABLERO!AD110="",TABLERO!AD110=0),"",TABLERO!AD110)</f>
        <v/>
      </c>
      <c r="K110" s="562" t="str">
        <f>IF(OR(TABLERO!AE110="",TABLERO!AE110=0),"",TABLERO!AE110)</f>
        <v/>
      </c>
      <c r="L110" s="562" t="str">
        <f>IF(OR(TABLERO!AF110="",TABLERO!AF110=0),"",TABLERO!AF110)</f>
        <v/>
      </c>
      <c r="M110" s="562" t="str">
        <f>IF(OR(TABLERO!AG110="",TABLERO!AG110=0),"",TABLERO!AG110)</f>
        <v/>
      </c>
      <c r="N110" s="562" t="str">
        <f>IF(OR(TABLERO!AH110="",TABLERO!AH110=0),"",TABLERO!AH110)</f>
        <v/>
      </c>
      <c r="O110" s="562" t="str">
        <f>IF(OR(TABLERO!AI110="",TABLERO!AI110=0),"",TABLERO!AI110)</f>
        <v/>
      </c>
      <c r="P110" s="562" t="str">
        <f>IF(OR(TABLERO!AJ110="",TABLERO!AJ110=0),"",TABLERO!AJ110)</f>
        <v/>
      </c>
      <c r="Q110" s="562" t="str">
        <f>IF(OR(TABLERO!AK110="",TABLERO!AK110=0),"",TABLERO!AK110)</f>
        <v/>
      </c>
      <c r="R110" s="562" t="str">
        <f>IF(OR(TABLERO!AL110="",TABLERO!AL110=0),"",TABLERO!AL110)</f>
        <v/>
      </c>
      <c r="S110" s="562" t="str">
        <f>IF(OR(TABLERO!AM110="",TABLERO!AM110=0),"",TABLERO!AM110)</f>
        <v/>
      </c>
      <c r="T110" s="562" t="str">
        <f>IF(OR(TABLERO!AN110="",TABLERO!AN110=0),"",TABLERO!AN110)</f>
        <v/>
      </c>
      <c r="U110" s="562" t="str">
        <f>IF(OR(TABLERO!AO110="",TABLERO!AO110=0),"",TABLERO!AO110)</f>
        <v/>
      </c>
      <c r="V110" s="562" t="str">
        <f>IF(OR(TABLERO!AP110="",TABLERO!AP110=0),"",TABLERO!AP110)</f>
        <v/>
      </c>
      <c r="W110" s="562" t="str">
        <f>IF(OR(TABLERO!AQ110="",TABLERO!AQ110=0),"",TABLERO!AQ110)</f>
        <v/>
      </c>
      <c r="X110" s="562" t="str">
        <f>IF(OR(TABLERO!AR110="",TABLERO!AR110=0),"",TABLERO!AR110)</f>
        <v/>
      </c>
      <c r="Y110" s="562" t="str">
        <f>IF(OR(TABLERO!AS110="",TABLERO!AS110=0),"",TABLERO!AS110)</f>
        <v/>
      </c>
      <c r="Z110" s="562" t="str">
        <f>IF(OR(TABLERO!AT110="",TABLERO!AT110=0),"",TABLERO!AT110)</f>
        <v/>
      </c>
      <c r="AA110" s="562" t="str">
        <f>IF(OR(TABLERO!AU110="",TABLERO!AU110=0),"",TABLERO!AU110)</f>
        <v/>
      </c>
      <c r="AB110" s="562" t="str">
        <f>IF(OR(TABLERO!AV110="",TABLERO!AV110=0),"",TABLERO!AV110)</f>
        <v/>
      </c>
      <c r="AC110" s="562" t="str">
        <f>IF(OR(TABLERO!AW110="",TABLERO!AW110=0),"",TABLERO!AW110)</f>
        <v/>
      </c>
      <c r="AD110" s="562" t="str">
        <f>IF(OR(TABLERO!AX110="",TABLERO!AX110=0),"",TABLERO!AX110)</f>
        <v/>
      </c>
      <c r="AE110" s="562" t="str">
        <f>IF(OR(TABLERO!AY110="",TABLERO!AY110=0),"",TABLERO!AY110)</f>
        <v/>
      </c>
      <c r="AF110" s="562" t="str">
        <f>IF(OR(TABLERO!AZ110="",TABLERO!AZ110=0),"",TABLERO!AZ110)</f>
        <v/>
      </c>
      <c r="AG110" s="562" t="str">
        <f>IF(OR(TABLERO!BA110="",TABLERO!BA110=0),"",TABLERO!BA110)</f>
        <v/>
      </c>
      <c r="AH110" s="48" t="str">
        <f>IF(TABLERO!BB110=0,"",IF(TABLERO!$F$17&lt;&gt;"KVA",TABLERO!BB110*1000,TABLERO!BB110*1000/TABLERO!DA110))</f>
        <v/>
      </c>
      <c r="AI110" s="48" t="str">
        <f>IF(TABLERO!BB110=0,"",IF(TABLERO!$F$17&lt;&gt;"KVA",TABLERO!BT110*1000,TABLERO!BT110*1000/TABLERO!DA110))</f>
        <v/>
      </c>
      <c r="AJ110" s="44" t="str">
        <f>IF(OR(TABLERO!BU110="",TABLERO!BU110=0),"",TABLERO!BU110)</f>
        <v/>
      </c>
      <c r="AK110" s="562" t="str">
        <f>IF(TABLERO!BB110=0,"",TABLERO!F110)</f>
        <v/>
      </c>
      <c r="AL110" s="562" t="str">
        <f>IF(TABLERO!BB110=0,"",TABLERO!G110)</f>
        <v/>
      </c>
      <c r="AM110" s="562" t="str">
        <f>IF(TABLERO!BB110=0,"",TABLERO!BV110)</f>
        <v/>
      </c>
      <c r="AN110" s="44" t="str">
        <f>IF(TABLERO!BB110=0,"",TABLERO!K110)</f>
        <v/>
      </c>
      <c r="AO110" s="562" t="str">
        <f>IF(TABLERO!BB110=0,"",TABLERO!J110)</f>
        <v/>
      </c>
      <c r="AP110" s="44" t="str">
        <f>IF(TABLERO!BB110=0,"",TABLERO!CT110)</f>
        <v/>
      </c>
      <c r="AQ110" s="44" t="str">
        <f>IF(TABLERO!BB110=0,"",TABLERO!CS110)</f>
        <v/>
      </c>
      <c r="AR110" s="44" t="str">
        <f>IF(TABLERO!BB110=0,"",TABLERO!CY110)</f>
        <v/>
      </c>
      <c r="AS110" s="562" t="str">
        <f>IF(TABLERO!BB110=0,"",TABLERO!N110)</f>
        <v/>
      </c>
      <c r="AT110" s="1079" t="str">
        <f>IF(TABLERO!BB110=0,"",TABLERO!BX110&amp;" "&amp;TABLERO!ED110&amp;", "&amp;TABLERO!I110)</f>
        <v/>
      </c>
      <c r="AU110" s="1080"/>
      <c r="AV110" s="44" t="str">
        <f>IF(TABLERO!BB110=0,"",TABLERO!BZ110)</f>
        <v/>
      </c>
      <c r="AW110" s="562" t="str">
        <f>IF(TABLERO!BB110=0,"",TABLERO!CA110)</f>
        <v/>
      </c>
      <c r="AX110" s="43" t="str">
        <f>IF(TABLERO!BB110=0,"",TABLERO!CB110)</f>
        <v/>
      </c>
      <c r="AY110" s="44" t="str">
        <f>IF(TABLERO!BB110=0,"",TABLERO!DL110)</f>
        <v/>
      </c>
      <c r="AZ110" s="576" t="str">
        <f>IF(OR(TABLERO!BB110=0,TABLERO!H110="RE"),"",TABLERO!F110&amp;"P-"&amp;TABLERO!BW110&amp;"A")</f>
        <v/>
      </c>
      <c r="BA110" s="44" t="str">
        <f>IF(TABLERO!BB110=0,"",TABLERO!CI110)</f>
        <v/>
      </c>
      <c r="BB110" s="44" t="str">
        <f>IF(TABLERO!BB110=0,"",TABLERO!CJ110)</f>
        <v/>
      </c>
      <c r="BC110" s="49" t="str">
        <f>IF(TABLERO!BB110=0,"",TABLERO!CK110)</f>
        <v/>
      </c>
      <c r="BG110" s="46">
        <f>IF(TABLERO!B110="",0,TABLERO!B110)</f>
        <v>80</v>
      </c>
      <c r="BH110" s="46">
        <f>IF(TABLERO!C110="",BG110,TABLERO!C110)</f>
        <v>80</v>
      </c>
      <c r="BI110" s="46">
        <f>IF(TABLERO!D110="",BG110,TABLERO!D110)</f>
        <v>80</v>
      </c>
      <c r="BJ110" s="50">
        <f t="shared" si="2"/>
        <v>0</v>
      </c>
    </row>
    <row r="111" spans="1:62" hidden="1">
      <c r="A111" s="46">
        <f>IF(OR(BG111&gt;TABLERO!$M$19,BH111&gt;TABLERO!$M$19,BI111&gt;TABLERO!$M$19,BG111=0,BH111=0,BI111=0),2,1)</f>
        <v>2</v>
      </c>
      <c r="B111" s="47" t="str">
        <f>TABLERO!B111&amp;IF(TABLERO!C111="","",","&amp;TABLERO!C111)&amp;IF(TABLERO!D111="","",","&amp;TABLERO!D111)</f>
        <v>81</v>
      </c>
      <c r="C111" s="42" t="str">
        <f>IF(TABLERO!E111=0,"",TABLERO!E111)</f>
        <v/>
      </c>
      <c r="D111" s="562" t="str">
        <f>IF(OR(TABLERO!X111="",TABLERO!X111=0),"",TABLERO!X111)</f>
        <v/>
      </c>
      <c r="E111" s="562" t="str">
        <f>IF(OR(TABLERO!Y111="",TABLERO!Y111=0),"",TABLERO!Y111)</f>
        <v/>
      </c>
      <c r="F111" s="562" t="str">
        <f>IF(OR(TABLERO!Z111="",TABLERO!Z111=0),"",TABLERO!Z111)</f>
        <v/>
      </c>
      <c r="G111" s="562" t="str">
        <f>IF(OR(TABLERO!AA111="",TABLERO!AA111=0),"",TABLERO!AA111)</f>
        <v/>
      </c>
      <c r="H111" s="562" t="str">
        <f>IF(OR(TABLERO!AB111="",TABLERO!AB111=0),"",TABLERO!AB111)</f>
        <v/>
      </c>
      <c r="I111" s="562" t="str">
        <f>IF(OR(TABLERO!AC111="",TABLERO!AC111=0),"",TABLERO!AC111)</f>
        <v/>
      </c>
      <c r="J111" s="562" t="str">
        <f>IF(OR(TABLERO!AD111="",TABLERO!AD111=0),"",TABLERO!AD111)</f>
        <v/>
      </c>
      <c r="K111" s="562" t="str">
        <f>IF(OR(TABLERO!AE111="",TABLERO!AE111=0),"",TABLERO!AE111)</f>
        <v/>
      </c>
      <c r="L111" s="562" t="str">
        <f>IF(OR(TABLERO!AF111="",TABLERO!AF111=0),"",TABLERO!AF111)</f>
        <v/>
      </c>
      <c r="M111" s="562" t="str">
        <f>IF(OR(TABLERO!AG111="",TABLERO!AG111=0),"",TABLERO!AG111)</f>
        <v/>
      </c>
      <c r="N111" s="562" t="str">
        <f>IF(OR(TABLERO!AH111="",TABLERO!AH111=0),"",TABLERO!AH111)</f>
        <v/>
      </c>
      <c r="O111" s="562" t="str">
        <f>IF(OR(TABLERO!AI111="",TABLERO!AI111=0),"",TABLERO!AI111)</f>
        <v/>
      </c>
      <c r="P111" s="562" t="str">
        <f>IF(OR(TABLERO!AJ111="",TABLERO!AJ111=0),"",TABLERO!AJ111)</f>
        <v/>
      </c>
      <c r="Q111" s="562" t="str">
        <f>IF(OR(TABLERO!AK111="",TABLERO!AK111=0),"",TABLERO!AK111)</f>
        <v/>
      </c>
      <c r="R111" s="562" t="str">
        <f>IF(OR(TABLERO!AL111="",TABLERO!AL111=0),"",TABLERO!AL111)</f>
        <v/>
      </c>
      <c r="S111" s="562" t="str">
        <f>IF(OR(TABLERO!AM111="",TABLERO!AM111=0),"",TABLERO!AM111)</f>
        <v/>
      </c>
      <c r="T111" s="562" t="str">
        <f>IF(OR(TABLERO!AN111="",TABLERO!AN111=0),"",TABLERO!AN111)</f>
        <v/>
      </c>
      <c r="U111" s="562" t="str">
        <f>IF(OR(TABLERO!AO111="",TABLERO!AO111=0),"",TABLERO!AO111)</f>
        <v/>
      </c>
      <c r="V111" s="562" t="str">
        <f>IF(OR(TABLERO!AP111="",TABLERO!AP111=0),"",TABLERO!AP111)</f>
        <v/>
      </c>
      <c r="W111" s="562" t="str">
        <f>IF(OR(TABLERO!AQ111="",TABLERO!AQ111=0),"",TABLERO!AQ111)</f>
        <v/>
      </c>
      <c r="X111" s="562" t="str">
        <f>IF(OR(TABLERO!AR111="",TABLERO!AR111=0),"",TABLERO!AR111)</f>
        <v/>
      </c>
      <c r="Y111" s="562" t="str">
        <f>IF(OR(TABLERO!AS111="",TABLERO!AS111=0),"",TABLERO!AS111)</f>
        <v/>
      </c>
      <c r="Z111" s="562" t="str">
        <f>IF(OR(TABLERO!AT111="",TABLERO!AT111=0),"",TABLERO!AT111)</f>
        <v/>
      </c>
      <c r="AA111" s="562" t="str">
        <f>IF(OR(TABLERO!AU111="",TABLERO!AU111=0),"",TABLERO!AU111)</f>
        <v/>
      </c>
      <c r="AB111" s="562" t="str">
        <f>IF(OR(TABLERO!AV111="",TABLERO!AV111=0),"",TABLERO!AV111)</f>
        <v/>
      </c>
      <c r="AC111" s="562" t="str">
        <f>IF(OR(TABLERO!AW111="",TABLERO!AW111=0),"",TABLERO!AW111)</f>
        <v/>
      </c>
      <c r="AD111" s="562" t="str">
        <f>IF(OR(TABLERO!AX111="",TABLERO!AX111=0),"",TABLERO!AX111)</f>
        <v/>
      </c>
      <c r="AE111" s="562" t="str">
        <f>IF(OR(TABLERO!AY111="",TABLERO!AY111=0),"",TABLERO!AY111)</f>
        <v/>
      </c>
      <c r="AF111" s="562" t="str">
        <f>IF(OR(TABLERO!AZ111="",TABLERO!AZ111=0),"",TABLERO!AZ111)</f>
        <v/>
      </c>
      <c r="AG111" s="562" t="str">
        <f>IF(OR(TABLERO!BA111="",TABLERO!BA111=0),"",TABLERO!BA111)</f>
        <v/>
      </c>
      <c r="AH111" s="48" t="str">
        <f>IF(TABLERO!BB111=0,"",IF(TABLERO!$F$17&lt;&gt;"KVA",TABLERO!BB111*1000,TABLERO!BB111*1000/TABLERO!DA111))</f>
        <v/>
      </c>
      <c r="AI111" s="48" t="str">
        <f>IF(TABLERO!BB111=0,"",IF(TABLERO!$F$17&lt;&gt;"KVA",TABLERO!BT111*1000,TABLERO!BT111*1000/TABLERO!DA111))</f>
        <v/>
      </c>
      <c r="AJ111" s="44" t="str">
        <f>IF(OR(TABLERO!BU111="",TABLERO!BU111=0),"",TABLERO!BU111)</f>
        <v/>
      </c>
      <c r="AK111" s="562" t="str">
        <f>IF(TABLERO!BB111=0,"",TABLERO!F111)</f>
        <v/>
      </c>
      <c r="AL111" s="562" t="str">
        <f>IF(TABLERO!BB111=0,"",TABLERO!G111)</f>
        <v/>
      </c>
      <c r="AM111" s="562" t="str">
        <f>IF(TABLERO!BB111=0,"",TABLERO!BV111)</f>
        <v/>
      </c>
      <c r="AN111" s="44" t="str">
        <f>IF(TABLERO!BB111=0,"",TABLERO!K111)</f>
        <v/>
      </c>
      <c r="AO111" s="562" t="str">
        <f>IF(TABLERO!BB111=0,"",TABLERO!J111)</f>
        <v/>
      </c>
      <c r="AP111" s="44" t="str">
        <f>IF(TABLERO!BB111=0,"",TABLERO!CT111)</f>
        <v/>
      </c>
      <c r="AQ111" s="44" t="str">
        <f>IF(TABLERO!BB111=0,"",TABLERO!CS111)</f>
        <v/>
      </c>
      <c r="AR111" s="44" t="str">
        <f>IF(TABLERO!BB111=0,"",TABLERO!CY111)</f>
        <v/>
      </c>
      <c r="AS111" s="562" t="str">
        <f>IF(TABLERO!BB111=0,"",TABLERO!N111)</f>
        <v/>
      </c>
      <c r="AT111" s="1079" t="str">
        <f>IF(TABLERO!BB111=0,"",TABLERO!BX111&amp;" "&amp;TABLERO!ED111&amp;", "&amp;TABLERO!I111)</f>
        <v/>
      </c>
      <c r="AU111" s="1080"/>
      <c r="AV111" s="44" t="str">
        <f>IF(TABLERO!BB111=0,"",TABLERO!BZ111)</f>
        <v/>
      </c>
      <c r="AW111" s="562" t="str">
        <f>IF(TABLERO!BB111=0,"",TABLERO!CA111)</f>
        <v/>
      </c>
      <c r="AX111" s="43" t="str">
        <f>IF(TABLERO!BB111=0,"",TABLERO!CB111)</f>
        <v/>
      </c>
      <c r="AY111" s="44" t="str">
        <f>IF(TABLERO!BB111=0,"",TABLERO!DL111)</f>
        <v/>
      </c>
      <c r="AZ111" s="576" t="str">
        <f>IF(OR(TABLERO!BB111=0,TABLERO!H111="RE"),"",TABLERO!F111&amp;"P-"&amp;TABLERO!BW111&amp;"A")</f>
        <v/>
      </c>
      <c r="BA111" s="44" t="str">
        <f>IF(TABLERO!BB111=0,"",TABLERO!CI111)</f>
        <v/>
      </c>
      <c r="BB111" s="44" t="str">
        <f>IF(TABLERO!BB111=0,"",TABLERO!CJ111)</f>
        <v/>
      </c>
      <c r="BC111" s="49" t="str">
        <f>IF(TABLERO!BB111=0,"",TABLERO!CK111)</f>
        <v/>
      </c>
      <c r="BG111" s="46">
        <f>IF(TABLERO!B111="",0,TABLERO!B111)</f>
        <v>81</v>
      </c>
      <c r="BH111" s="46">
        <f>IF(TABLERO!C111="",BG111,TABLERO!C111)</f>
        <v>81</v>
      </c>
      <c r="BI111" s="46">
        <f>IF(TABLERO!D111="",BG111,TABLERO!D111)</f>
        <v>81</v>
      </c>
      <c r="BJ111" s="50">
        <f t="shared" si="2"/>
        <v>0</v>
      </c>
    </row>
    <row r="112" spans="1:62" hidden="1">
      <c r="A112" s="46">
        <f>IF(OR(BG112&gt;TABLERO!$M$19,BH112&gt;TABLERO!$M$19,BI112&gt;TABLERO!$M$19,BG112=0,BH112=0,BI112=0),2,1)</f>
        <v>2</v>
      </c>
      <c r="B112" s="47" t="str">
        <f>TABLERO!B112&amp;IF(TABLERO!C112="","",","&amp;TABLERO!C112)&amp;IF(TABLERO!D112="","",","&amp;TABLERO!D112)</f>
        <v>82</v>
      </c>
      <c r="C112" s="42" t="str">
        <f>IF(TABLERO!E112=0,"",TABLERO!E112)</f>
        <v/>
      </c>
      <c r="D112" s="562" t="str">
        <f>IF(OR(TABLERO!X112="",TABLERO!X112=0),"",TABLERO!X112)</f>
        <v/>
      </c>
      <c r="E112" s="562" t="str">
        <f>IF(OR(TABLERO!Y112="",TABLERO!Y112=0),"",TABLERO!Y112)</f>
        <v/>
      </c>
      <c r="F112" s="562" t="str">
        <f>IF(OR(TABLERO!Z112="",TABLERO!Z112=0),"",TABLERO!Z112)</f>
        <v/>
      </c>
      <c r="G112" s="562" t="str">
        <f>IF(OR(TABLERO!AA112="",TABLERO!AA112=0),"",TABLERO!AA112)</f>
        <v/>
      </c>
      <c r="H112" s="562" t="str">
        <f>IF(OR(TABLERO!AB112="",TABLERO!AB112=0),"",TABLERO!AB112)</f>
        <v/>
      </c>
      <c r="I112" s="562" t="str">
        <f>IF(OR(TABLERO!AC112="",TABLERO!AC112=0),"",TABLERO!AC112)</f>
        <v/>
      </c>
      <c r="J112" s="562" t="str">
        <f>IF(OR(TABLERO!AD112="",TABLERO!AD112=0),"",TABLERO!AD112)</f>
        <v/>
      </c>
      <c r="K112" s="562" t="str">
        <f>IF(OR(TABLERO!AE112="",TABLERO!AE112=0),"",TABLERO!AE112)</f>
        <v/>
      </c>
      <c r="L112" s="562" t="str">
        <f>IF(OR(TABLERO!AF112="",TABLERO!AF112=0),"",TABLERO!AF112)</f>
        <v/>
      </c>
      <c r="M112" s="562" t="str">
        <f>IF(OR(TABLERO!AG112="",TABLERO!AG112=0),"",TABLERO!AG112)</f>
        <v/>
      </c>
      <c r="N112" s="562" t="str">
        <f>IF(OR(TABLERO!AH112="",TABLERO!AH112=0),"",TABLERO!AH112)</f>
        <v/>
      </c>
      <c r="O112" s="562" t="str">
        <f>IF(OR(TABLERO!AI112="",TABLERO!AI112=0),"",TABLERO!AI112)</f>
        <v/>
      </c>
      <c r="P112" s="562" t="str">
        <f>IF(OR(TABLERO!AJ112="",TABLERO!AJ112=0),"",TABLERO!AJ112)</f>
        <v/>
      </c>
      <c r="Q112" s="562" t="str">
        <f>IF(OR(TABLERO!AK112="",TABLERO!AK112=0),"",TABLERO!AK112)</f>
        <v/>
      </c>
      <c r="R112" s="562" t="str">
        <f>IF(OR(TABLERO!AL112="",TABLERO!AL112=0),"",TABLERO!AL112)</f>
        <v/>
      </c>
      <c r="S112" s="562" t="str">
        <f>IF(OR(TABLERO!AM112="",TABLERO!AM112=0),"",TABLERO!AM112)</f>
        <v/>
      </c>
      <c r="T112" s="562" t="str">
        <f>IF(OR(TABLERO!AN112="",TABLERO!AN112=0),"",TABLERO!AN112)</f>
        <v/>
      </c>
      <c r="U112" s="562" t="str">
        <f>IF(OR(TABLERO!AO112="",TABLERO!AO112=0),"",TABLERO!AO112)</f>
        <v/>
      </c>
      <c r="V112" s="562" t="str">
        <f>IF(OR(TABLERO!AP112="",TABLERO!AP112=0),"",TABLERO!AP112)</f>
        <v/>
      </c>
      <c r="W112" s="562" t="str">
        <f>IF(OR(TABLERO!AQ112="",TABLERO!AQ112=0),"",TABLERO!AQ112)</f>
        <v/>
      </c>
      <c r="X112" s="562" t="str">
        <f>IF(OR(TABLERO!AR112="",TABLERO!AR112=0),"",TABLERO!AR112)</f>
        <v/>
      </c>
      <c r="Y112" s="562" t="str">
        <f>IF(OR(TABLERO!AS112="",TABLERO!AS112=0),"",TABLERO!AS112)</f>
        <v/>
      </c>
      <c r="Z112" s="562" t="str">
        <f>IF(OR(TABLERO!AT112="",TABLERO!AT112=0),"",TABLERO!AT112)</f>
        <v/>
      </c>
      <c r="AA112" s="562" t="str">
        <f>IF(OR(TABLERO!AU112="",TABLERO!AU112=0),"",TABLERO!AU112)</f>
        <v/>
      </c>
      <c r="AB112" s="562" t="str">
        <f>IF(OR(TABLERO!AV112="",TABLERO!AV112=0),"",TABLERO!AV112)</f>
        <v/>
      </c>
      <c r="AC112" s="562" t="str">
        <f>IF(OR(TABLERO!AW112="",TABLERO!AW112=0),"",TABLERO!AW112)</f>
        <v/>
      </c>
      <c r="AD112" s="562" t="str">
        <f>IF(OR(TABLERO!AX112="",TABLERO!AX112=0),"",TABLERO!AX112)</f>
        <v/>
      </c>
      <c r="AE112" s="562" t="str">
        <f>IF(OR(TABLERO!AY112="",TABLERO!AY112=0),"",TABLERO!AY112)</f>
        <v/>
      </c>
      <c r="AF112" s="562" t="str">
        <f>IF(OR(TABLERO!AZ112="",TABLERO!AZ112=0),"",TABLERO!AZ112)</f>
        <v/>
      </c>
      <c r="AG112" s="562" t="str">
        <f>IF(OR(TABLERO!BA112="",TABLERO!BA112=0),"",TABLERO!BA112)</f>
        <v/>
      </c>
      <c r="AH112" s="48" t="str">
        <f>IF(TABLERO!BB112=0,"",IF(TABLERO!$F$17&lt;&gt;"KVA",TABLERO!BB112*1000,TABLERO!BB112*1000/TABLERO!DA112))</f>
        <v/>
      </c>
      <c r="AI112" s="48" t="str">
        <f>IF(TABLERO!BB112=0,"",IF(TABLERO!$F$17&lt;&gt;"KVA",TABLERO!BT112*1000,TABLERO!BT112*1000/TABLERO!DA112))</f>
        <v/>
      </c>
      <c r="AJ112" s="44" t="str">
        <f>IF(OR(TABLERO!BU112="",TABLERO!BU112=0),"",TABLERO!BU112)</f>
        <v/>
      </c>
      <c r="AK112" s="562" t="str">
        <f>IF(TABLERO!BB112=0,"",TABLERO!F112)</f>
        <v/>
      </c>
      <c r="AL112" s="562" t="str">
        <f>IF(TABLERO!BB112=0,"",TABLERO!G112)</f>
        <v/>
      </c>
      <c r="AM112" s="562" t="str">
        <f>IF(TABLERO!BB112=0,"",TABLERO!BV112)</f>
        <v/>
      </c>
      <c r="AN112" s="44" t="str">
        <f>IF(TABLERO!BB112=0,"",TABLERO!K112)</f>
        <v/>
      </c>
      <c r="AO112" s="562" t="str">
        <f>IF(TABLERO!BB112=0,"",TABLERO!J112)</f>
        <v/>
      </c>
      <c r="AP112" s="44" t="str">
        <f>IF(TABLERO!BB112=0,"",TABLERO!CT112)</f>
        <v/>
      </c>
      <c r="AQ112" s="44" t="str">
        <f>IF(TABLERO!BB112=0,"",TABLERO!CS112)</f>
        <v/>
      </c>
      <c r="AR112" s="44" t="str">
        <f>IF(TABLERO!BB112=0,"",TABLERO!CY112)</f>
        <v/>
      </c>
      <c r="AS112" s="562" t="str">
        <f>IF(TABLERO!BB112=0,"",TABLERO!N112)</f>
        <v/>
      </c>
      <c r="AT112" s="1079" t="str">
        <f>IF(TABLERO!BB112=0,"",TABLERO!BX112&amp;" "&amp;TABLERO!ED112&amp;", "&amp;TABLERO!I112)</f>
        <v/>
      </c>
      <c r="AU112" s="1080"/>
      <c r="AV112" s="44" t="str">
        <f>IF(TABLERO!BB112=0,"",TABLERO!BZ112)</f>
        <v/>
      </c>
      <c r="AW112" s="562" t="str">
        <f>IF(TABLERO!BB112=0,"",TABLERO!CA112)</f>
        <v/>
      </c>
      <c r="AX112" s="43" t="str">
        <f>IF(TABLERO!BB112=0,"",TABLERO!CB112)</f>
        <v/>
      </c>
      <c r="AY112" s="44" t="str">
        <f>IF(TABLERO!BB112=0,"",TABLERO!DL112)</f>
        <v/>
      </c>
      <c r="AZ112" s="576" t="str">
        <f>IF(OR(TABLERO!BB112=0,TABLERO!H112="RE"),"",TABLERO!F112&amp;"P-"&amp;TABLERO!BW112&amp;"A")</f>
        <v/>
      </c>
      <c r="BA112" s="44" t="str">
        <f>IF(TABLERO!BB112=0,"",TABLERO!CI112)</f>
        <v/>
      </c>
      <c r="BB112" s="44" t="str">
        <f>IF(TABLERO!BB112=0,"",TABLERO!CJ112)</f>
        <v/>
      </c>
      <c r="BC112" s="49" t="str">
        <f>IF(TABLERO!BB112=0,"",TABLERO!CK112)</f>
        <v/>
      </c>
      <c r="BG112" s="46">
        <f>IF(TABLERO!B112="",0,TABLERO!B112)</f>
        <v>82</v>
      </c>
      <c r="BH112" s="46">
        <f>IF(TABLERO!C112="",BG112,TABLERO!C112)</f>
        <v>82</v>
      </c>
      <c r="BI112" s="46">
        <f>IF(TABLERO!D112="",BG112,TABLERO!D112)</f>
        <v>82</v>
      </c>
      <c r="BJ112" s="50">
        <f>IF(A112=2,SUM(D112:AH112),0)</f>
        <v>0</v>
      </c>
    </row>
    <row r="113" spans="1:62" hidden="1">
      <c r="A113" s="46">
        <f>IF(OR(BG113&gt;TABLERO!$M$19,BH113&gt;TABLERO!$M$19,BI113&gt;TABLERO!$M$19,BG113=0,BH113=0,BI113=0),2,1)</f>
        <v>2</v>
      </c>
      <c r="B113" s="47" t="str">
        <f>TABLERO!B113&amp;IF(TABLERO!C113="","",","&amp;TABLERO!C113)&amp;IF(TABLERO!D113="","",","&amp;TABLERO!D113)</f>
        <v>83</v>
      </c>
      <c r="C113" s="42" t="str">
        <f>IF(TABLERO!E113=0,"",TABLERO!E113)</f>
        <v/>
      </c>
      <c r="D113" s="562" t="str">
        <f>IF(OR(TABLERO!X113="",TABLERO!X113=0),"",TABLERO!X113)</f>
        <v/>
      </c>
      <c r="E113" s="562" t="str">
        <f>IF(OR(TABLERO!Y113="",TABLERO!Y113=0),"",TABLERO!Y113)</f>
        <v/>
      </c>
      <c r="F113" s="562" t="str">
        <f>IF(OR(TABLERO!Z113="",TABLERO!Z113=0),"",TABLERO!Z113)</f>
        <v/>
      </c>
      <c r="G113" s="562" t="str">
        <f>IF(OR(TABLERO!AA113="",TABLERO!AA113=0),"",TABLERO!AA113)</f>
        <v/>
      </c>
      <c r="H113" s="562" t="str">
        <f>IF(OR(TABLERO!AB113="",TABLERO!AB113=0),"",TABLERO!AB113)</f>
        <v/>
      </c>
      <c r="I113" s="562" t="str">
        <f>IF(OR(TABLERO!AC113="",TABLERO!AC113=0),"",TABLERO!AC113)</f>
        <v/>
      </c>
      <c r="J113" s="562" t="str">
        <f>IF(OR(TABLERO!AD113="",TABLERO!AD113=0),"",TABLERO!AD113)</f>
        <v/>
      </c>
      <c r="K113" s="562" t="str">
        <f>IF(OR(TABLERO!AE113="",TABLERO!AE113=0),"",TABLERO!AE113)</f>
        <v/>
      </c>
      <c r="L113" s="562" t="str">
        <f>IF(OR(TABLERO!AF113="",TABLERO!AF113=0),"",TABLERO!AF113)</f>
        <v/>
      </c>
      <c r="M113" s="562" t="str">
        <f>IF(OR(TABLERO!AG113="",TABLERO!AG113=0),"",TABLERO!AG113)</f>
        <v/>
      </c>
      <c r="N113" s="562" t="str">
        <f>IF(OR(TABLERO!AH113="",TABLERO!AH113=0),"",TABLERO!AH113)</f>
        <v/>
      </c>
      <c r="O113" s="562" t="str">
        <f>IF(OR(TABLERO!AI113="",TABLERO!AI113=0),"",TABLERO!AI113)</f>
        <v/>
      </c>
      <c r="P113" s="562" t="str">
        <f>IF(OR(TABLERO!AJ113="",TABLERO!AJ113=0),"",TABLERO!AJ113)</f>
        <v/>
      </c>
      <c r="Q113" s="562" t="str">
        <f>IF(OR(TABLERO!AK113="",TABLERO!AK113=0),"",TABLERO!AK113)</f>
        <v/>
      </c>
      <c r="R113" s="562" t="str">
        <f>IF(OR(TABLERO!AL113="",TABLERO!AL113=0),"",TABLERO!AL113)</f>
        <v/>
      </c>
      <c r="S113" s="562" t="str">
        <f>IF(OR(TABLERO!AM113="",TABLERO!AM113=0),"",TABLERO!AM113)</f>
        <v/>
      </c>
      <c r="T113" s="562" t="str">
        <f>IF(OR(TABLERO!AN113="",TABLERO!AN113=0),"",TABLERO!AN113)</f>
        <v/>
      </c>
      <c r="U113" s="562" t="str">
        <f>IF(OR(TABLERO!AO113="",TABLERO!AO113=0),"",TABLERO!AO113)</f>
        <v/>
      </c>
      <c r="V113" s="562" t="str">
        <f>IF(OR(TABLERO!AP113="",TABLERO!AP113=0),"",TABLERO!AP113)</f>
        <v/>
      </c>
      <c r="W113" s="562" t="str">
        <f>IF(OR(TABLERO!AQ113="",TABLERO!AQ113=0),"",TABLERO!AQ113)</f>
        <v/>
      </c>
      <c r="X113" s="562" t="str">
        <f>IF(OR(TABLERO!AR113="",TABLERO!AR113=0),"",TABLERO!AR113)</f>
        <v/>
      </c>
      <c r="Y113" s="562" t="str">
        <f>IF(OR(TABLERO!AS113="",TABLERO!AS113=0),"",TABLERO!AS113)</f>
        <v/>
      </c>
      <c r="Z113" s="562" t="str">
        <f>IF(OR(TABLERO!AT113="",TABLERO!AT113=0),"",TABLERO!AT113)</f>
        <v/>
      </c>
      <c r="AA113" s="562" t="str">
        <f>IF(OR(TABLERO!AU113="",TABLERO!AU113=0),"",TABLERO!AU113)</f>
        <v/>
      </c>
      <c r="AB113" s="562" t="str">
        <f>IF(OR(TABLERO!AV113="",TABLERO!AV113=0),"",TABLERO!AV113)</f>
        <v/>
      </c>
      <c r="AC113" s="562" t="str">
        <f>IF(OR(TABLERO!AW113="",TABLERO!AW113=0),"",TABLERO!AW113)</f>
        <v/>
      </c>
      <c r="AD113" s="562" t="str">
        <f>IF(OR(TABLERO!AX113="",TABLERO!AX113=0),"",TABLERO!AX113)</f>
        <v/>
      </c>
      <c r="AE113" s="562" t="str">
        <f>IF(OR(TABLERO!AY113="",TABLERO!AY113=0),"",TABLERO!AY113)</f>
        <v/>
      </c>
      <c r="AF113" s="562" t="str">
        <f>IF(OR(TABLERO!AZ113="",TABLERO!AZ113=0),"",TABLERO!AZ113)</f>
        <v/>
      </c>
      <c r="AG113" s="562" t="str">
        <f>IF(OR(TABLERO!BA113="",TABLERO!BA113=0),"",TABLERO!BA113)</f>
        <v/>
      </c>
      <c r="AH113" s="48" t="str">
        <f>IF(TABLERO!BB113=0,"",IF(TABLERO!$F$17&lt;&gt;"KVA",TABLERO!BB113*1000,TABLERO!BB113*1000/TABLERO!DA113))</f>
        <v/>
      </c>
      <c r="AI113" s="48" t="str">
        <f>IF(TABLERO!BB113=0,"",IF(TABLERO!$F$17&lt;&gt;"KVA",TABLERO!BT113*1000,TABLERO!BT113*1000/TABLERO!DA113))</f>
        <v/>
      </c>
      <c r="AJ113" s="44" t="str">
        <f>IF(OR(TABLERO!BU113="",TABLERO!BU113=0),"",TABLERO!BU113)</f>
        <v/>
      </c>
      <c r="AK113" s="562" t="str">
        <f>IF(TABLERO!BB113=0,"",TABLERO!F113)</f>
        <v/>
      </c>
      <c r="AL113" s="562" t="str">
        <f>IF(TABLERO!BB113=0,"",TABLERO!G113)</f>
        <v/>
      </c>
      <c r="AM113" s="562" t="str">
        <f>IF(TABLERO!BB113=0,"",TABLERO!BV113)</f>
        <v/>
      </c>
      <c r="AN113" s="44" t="str">
        <f>IF(TABLERO!BB113=0,"",TABLERO!K113)</f>
        <v/>
      </c>
      <c r="AO113" s="562" t="str">
        <f>IF(TABLERO!BB113=0,"",TABLERO!J113)</f>
        <v/>
      </c>
      <c r="AP113" s="44" t="str">
        <f>IF(TABLERO!BB113=0,"",TABLERO!CT113)</f>
        <v/>
      </c>
      <c r="AQ113" s="44" t="str">
        <f>IF(TABLERO!BB113=0,"",TABLERO!CS113)</f>
        <v/>
      </c>
      <c r="AR113" s="44" t="str">
        <f>IF(TABLERO!BB113=0,"",TABLERO!CY113)</f>
        <v/>
      </c>
      <c r="AS113" s="562" t="str">
        <f>IF(TABLERO!BB113=0,"",TABLERO!N113)</f>
        <v/>
      </c>
      <c r="AT113" s="1079" t="str">
        <f>IF(TABLERO!BB113=0,"",TABLERO!BX113&amp;" "&amp;TABLERO!ED113&amp;", "&amp;TABLERO!I113)</f>
        <v/>
      </c>
      <c r="AU113" s="1080"/>
      <c r="AV113" s="44" t="str">
        <f>IF(TABLERO!BB113=0,"",TABLERO!BZ113)</f>
        <v/>
      </c>
      <c r="AW113" s="562" t="str">
        <f>IF(TABLERO!BB113=0,"",TABLERO!CA113)</f>
        <v/>
      </c>
      <c r="AX113" s="43" t="str">
        <f>IF(TABLERO!BB113=0,"",TABLERO!CB113)</f>
        <v/>
      </c>
      <c r="AY113" s="44" t="str">
        <f>IF(TABLERO!BB113=0,"",TABLERO!DL113)</f>
        <v/>
      </c>
      <c r="AZ113" s="576" t="str">
        <f>IF(OR(TABLERO!BB113=0,TABLERO!H113="RE"),"",TABLERO!F113&amp;"P-"&amp;TABLERO!BW113&amp;"A")</f>
        <v/>
      </c>
      <c r="BA113" s="44" t="str">
        <f>IF(TABLERO!BB113=0,"",TABLERO!CI113)</f>
        <v/>
      </c>
      <c r="BB113" s="44" t="str">
        <f>IF(TABLERO!BB113=0,"",TABLERO!CJ113)</f>
        <v/>
      </c>
      <c r="BC113" s="49" t="str">
        <f>IF(TABLERO!BB113=0,"",TABLERO!CK113)</f>
        <v/>
      </c>
      <c r="BG113" s="46">
        <f>IF(TABLERO!B113="",0,TABLERO!B113)</f>
        <v>83</v>
      </c>
      <c r="BH113" s="46">
        <f>IF(TABLERO!C113="",BG113,TABLERO!C113)</f>
        <v>83</v>
      </c>
      <c r="BI113" s="46">
        <f>IF(TABLERO!D113="",BG113,TABLERO!D113)</f>
        <v>83</v>
      </c>
      <c r="BJ113" s="50">
        <f>IF(A113=2,SUM(D113:AH113),0)</f>
        <v>0</v>
      </c>
    </row>
    <row r="114" spans="1:62" hidden="1">
      <c r="A114" s="46">
        <f>IF(OR(BG114&gt;TABLERO!$M$19,BH114&gt;TABLERO!$M$19,BI114&gt;TABLERO!$M$19,BG114=0,BH114=0,BI114=0),2,1)</f>
        <v>2</v>
      </c>
      <c r="B114" s="47" t="str">
        <f>TABLERO!B114&amp;IF(TABLERO!C114="","",","&amp;TABLERO!C114)&amp;IF(TABLERO!D114="","",","&amp;TABLERO!D114)</f>
        <v>84</v>
      </c>
      <c r="C114" s="42" t="str">
        <f>IF(TABLERO!E114=0,"",TABLERO!E114)</f>
        <v/>
      </c>
      <c r="D114" s="562" t="str">
        <f>IF(OR(TABLERO!X114="",TABLERO!X114=0),"",TABLERO!X114)</f>
        <v/>
      </c>
      <c r="E114" s="562" t="str">
        <f>IF(OR(TABLERO!Y114="",TABLERO!Y114=0),"",TABLERO!Y114)</f>
        <v/>
      </c>
      <c r="F114" s="562" t="str">
        <f>IF(OR(TABLERO!Z114="",TABLERO!Z114=0),"",TABLERO!Z114)</f>
        <v/>
      </c>
      <c r="G114" s="562" t="str">
        <f>IF(OR(TABLERO!AA114="",TABLERO!AA114=0),"",TABLERO!AA114)</f>
        <v/>
      </c>
      <c r="H114" s="562" t="str">
        <f>IF(OR(TABLERO!AB114="",TABLERO!AB114=0),"",TABLERO!AB114)</f>
        <v/>
      </c>
      <c r="I114" s="562" t="str">
        <f>IF(OR(TABLERO!AC114="",TABLERO!AC114=0),"",TABLERO!AC114)</f>
        <v/>
      </c>
      <c r="J114" s="562" t="str">
        <f>IF(OR(TABLERO!AD114="",TABLERO!AD114=0),"",TABLERO!AD114)</f>
        <v/>
      </c>
      <c r="K114" s="562" t="str">
        <f>IF(OR(TABLERO!AE114="",TABLERO!AE114=0),"",TABLERO!AE114)</f>
        <v/>
      </c>
      <c r="L114" s="562" t="str">
        <f>IF(OR(TABLERO!AF114="",TABLERO!AF114=0),"",TABLERO!AF114)</f>
        <v/>
      </c>
      <c r="M114" s="562" t="str">
        <f>IF(OR(TABLERO!AG114="",TABLERO!AG114=0),"",TABLERO!AG114)</f>
        <v/>
      </c>
      <c r="N114" s="562" t="str">
        <f>IF(OR(TABLERO!AH114="",TABLERO!AH114=0),"",TABLERO!AH114)</f>
        <v/>
      </c>
      <c r="O114" s="562" t="str">
        <f>IF(OR(TABLERO!AI114="",TABLERO!AI114=0),"",TABLERO!AI114)</f>
        <v/>
      </c>
      <c r="P114" s="562" t="str">
        <f>IF(OR(TABLERO!AJ114="",TABLERO!AJ114=0),"",TABLERO!AJ114)</f>
        <v/>
      </c>
      <c r="Q114" s="562" t="str">
        <f>IF(OR(TABLERO!AK114="",TABLERO!AK114=0),"",TABLERO!AK114)</f>
        <v/>
      </c>
      <c r="R114" s="562" t="str">
        <f>IF(OR(TABLERO!AL114="",TABLERO!AL114=0),"",TABLERO!AL114)</f>
        <v/>
      </c>
      <c r="S114" s="562" t="str">
        <f>IF(OR(TABLERO!AM114="",TABLERO!AM114=0),"",TABLERO!AM114)</f>
        <v/>
      </c>
      <c r="T114" s="562" t="str">
        <f>IF(OR(TABLERO!AN114="",TABLERO!AN114=0),"",TABLERO!AN114)</f>
        <v/>
      </c>
      <c r="U114" s="562" t="str">
        <f>IF(OR(TABLERO!AO114="",TABLERO!AO114=0),"",TABLERO!AO114)</f>
        <v/>
      </c>
      <c r="V114" s="562" t="str">
        <f>IF(OR(TABLERO!AP114="",TABLERO!AP114=0),"",TABLERO!AP114)</f>
        <v/>
      </c>
      <c r="W114" s="562" t="str">
        <f>IF(OR(TABLERO!AQ114="",TABLERO!AQ114=0),"",TABLERO!AQ114)</f>
        <v/>
      </c>
      <c r="X114" s="562" t="str">
        <f>IF(OR(TABLERO!AR114="",TABLERO!AR114=0),"",TABLERO!AR114)</f>
        <v/>
      </c>
      <c r="Y114" s="562" t="str">
        <f>IF(OR(TABLERO!AS114="",TABLERO!AS114=0),"",TABLERO!AS114)</f>
        <v/>
      </c>
      <c r="Z114" s="562" t="str">
        <f>IF(OR(TABLERO!AT114="",TABLERO!AT114=0),"",TABLERO!AT114)</f>
        <v/>
      </c>
      <c r="AA114" s="562" t="str">
        <f>IF(OR(TABLERO!AU114="",TABLERO!AU114=0),"",TABLERO!AU114)</f>
        <v/>
      </c>
      <c r="AB114" s="562" t="str">
        <f>IF(OR(TABLERO!AV114="",TABLERO!AV114=0),"",TABLERO!AV114)</f>
        <v/>
      </c>
      <c r="AC114" s="562" t="str">
        <f>IF(OR(TABLERO!AW114="",TABLERO!AW114=0),"",TABLERO!AW114)</f>
        <v/>
      </c>
      <c r="AD114" s="562" t="str">
        <f>IF(OR(TABLERO!AX114="",TABLERO!AX114=0),"",TABLERO!AX114)</f>
        <v/>
      </c>
      <c r="AE114" s="562" t="str">
        <f>IF(OR(TABLERO!AY114="",TABLERO!AY114=0),"",TABLERO!AY114)</f>
        <v/>
      </c>
      <c r="AF114" s="562" t="str">
        <f>IF(OR(TABLERO!AZ114="",TABLERO!AZ114=0),"",TABLERO!AZ114)</f>
        <v/>
      </c>
      <c r="AG114" s="562" t="str">
        <f>IF(OR(TABLERO!BA114="",TABLERO!BA114=0),"",TABLERO!BA114)</f>
        <v/>
      </c>
      <c r="AH114" s="48" t="str">
        <f>IF(TABLERO!BB114=0,"",IF(TABLERO!$F$17&lt;&gt;"KVA",TABLERO!BB114*1000,TABLERO!BB114*1000/TABLERO!DA114))</f>
        <v/>
      </c>
      <c r="AI114" s="48" t="str">
        <f>IF(TABLERO!BB114=0,"",IF(TABLERO!$F$17&lt;&gt;"KVA",TABLERO!BT114*1000,TABLERO!BT114*1000/TABLERO!DA114))</f>
        <v/>
      </c>
      <c r="AJ114" s="44" t="str">
        <f>IF(OR(TABLERO!BU114="",TABLERO!BU114=0),"",TABLERO!BU114)</f>
        <v/>
      </c>
      <c r="AK114" s="562" t="str">
        <f>IF(TABLERO!BB114=0,"",TABLERO!F114)</f>
        <v/>
      </c>
      <c r="AL114" s="562" t="str">
        <f>IF(TABLERO!BB114=0,"",TABLERO!G114)</f>
        <v/>
      </c>
      <c r="AM114" s="562" t="str">
        <f>IF(TABLERO!BB114=0,"",TABLERO!BV114)</f>
        <v/>
      </c>
      <c r="AN114" s="44" t="str">
        <f>IF(TABLERO!BB114=0,"",TABLERO!K114)</f>
        <v/>
      </c>
      <c r="AO114" s="562" t="str">
        <f>IF(TABLERO!BB114=0,"",TABLERO!J114)</f>
        <v/>
      </c>
      <c r="AP114" s="44" t="str">
        <f>IF(TABLERO!BB114=0,"",TABLERO!CT114)</f>
        <v/>
      </c>
      <c r="AQ114" s="44" t="str">
        <f>IF(TABLERO!BB114=0,"",TABLERO!CS114)</f>
        <v/>
      </c>
      <c r="AR114" s="44" t="str">
        <f>IF(TABLERO!BB114=0,"",TABLERO!CY114)</f>
        <v/>
      </c>
      <c r="AS114" s="562" t="str">
        <f>IF(TABLERO!BB114=0,"",TABLERO!N114)</f>
        <v/>
      </c>
      <c r="AT114" s="1079" t="str">
        <f>IF(TABLERO!BB114=0,"",TABLERO!BX114&amp;" "&amp;TABLERO!ED114&amp;", "&amp;TABLERO!I114)</f>
        <v/>
      </c>
      <c r="AU114" s="1080"/>
      <c r="AV114" s="44" t="str">
        <f>IF(TABLERO!BB114=0,"",TABLERO!BZ114)</f>
        <v/>
      </c>
      <c r="AW114" s="562" t="str">
        <f>IF(TABLERO!BB114=0,"",TABLERO!CA114)</f>
        <v/>
      </c>
      <c r="AX114" s="43" t="str">
        <f>IF(TABLERO!BB114=0,"",TABLERO!CB114)</f>
        <v/>
      </c>
      <c r="AY114" s="44" t="str">
        <f>IF(TABLERO!BB114=0,"",TABLERO!DL114)</f>
        <v/>
      </c>
      <c r="AZ114" s="576" t="str">
        <f>IF(OR(TABLERO!BB114=0,TABLERO!H114="RE"),"",TABLERO!F114&amp;"P-"&amp;TABLERO!BW114&amp;"A")</f>
        <v/>
      </c>
      <c r="BA114" s="44" t="str">
        <f>IF(TABLERO!BB114=0,"",TABLERO!CI114)</f>
        <v/>
      </c>
      <c r="BB114" s="44" t="str">
        <f>IF(TABLERO!BB114=0,"",TABLERO!CJ114)</f>
        <v/>
      </c>
      <c r="BC114" s="49" t="str">
        <f>IF(TABLERO!BB114=0,"",TABLERO!CK114)</f>
        <v/>
      </c>
      <c r="BG114" s="46">
        <f>IF(TABLERO!B114="",0,TABLERO!B114)</f>
        <v>84</v>
      </c>
      <c r="BH114" s="46">
        <f>IF(TABLERO!C114="",BG114,TABLERO!C114)</f>
        <v>84</v>
      </c>
      <c r="BI114" s="46">
        <f>IF(TABLERO!D114="",BG114,TABLERO!D114)</f>
        <v>84</v>
      </c>
      <c r="BJ114" s="50">
        <f>IF(A114=2,SUM(D114:AH114),0)</f>
        <v>0</v>
      </c>
    </row>
    <row r="115" spans="1:62">
      <c r="A115" s="46" t="s">
        <v>101</v>
      </c>
      <c r="B115" s="51"/>
      <c r="C115" s="43" t="str">
        <f>IF(TABLERO!E115=0,"",TABLERO!E115)</f>
        <v/>
      </c>
      <c r="D115" s="562" t="str">
        <f>IF(OR(TABLERO!X115="",TABLERO!X115=0),"",TABLERO!X115)</f>
        <v/>
      </c>
      <c r="E115" s="562" t="str">
        <f>IF(OR(TABLERO!Y115="",TABLERO!Y115=0),"",TABLERO!Y115)</f>
        <v/>
      </c>
      <c r="F115" s="562" t="str">
        <f>IF(OR(TABLERO!Z115="",TABLERO!Z115=0),"",TABLERO!Z115)</f>
        <v/>
      </c>
      <c r="G115" s="562" t="str">
        <f>IF(OR(TABLERO!AA115="",TABLERO!AA115=0),"",TABLERO!AA115)</f>
        <v/>
      </c>
      <c r="H115" s="562" t="str">
        <f>IF(OR(TABLERO!AB115="",TABLERO!AB115=0),"",TABLERO!AB115)</f>
        <v/>
      </c>
      <c r="I115" s="562" t="str">
        <f>IF(OR(TABLERO!AC115="",TABLERO!AC115=0),"",TABLERO!AC115)</f>
        <v/>
      </c>
      <c r="J115" s="562" t="str">
        <f>IF(OR(TABLERO!AD115="",TABLERO!AD115=0),"",TABLERO!AD115)</f>
        <v/>
      </c>
      <c r="K115" s="562" t="str">
        <f>IF(OR(TABLERO!AE115="",TABLERO!AE115=0),"",TABLERO!AE115)</f>
        <v/>
      </c>
      <c r="L115" s="562" t="str">
        <f>IF(OR(TABLERO!AF115="",TABLERO!AF115=0),"",TABLERO!AF115)</f>
        <v/>
      </c>
      <c r="M115" s="562" t="str">
        <f>IF(OR(TABLERO!AG115="",TABLERO!AG115=0),"",TABLERO!AG115)</f>
        <v/>
      </c>
      <c r="N115" s="562" t="str">
        <f>IF(OR(TABLERO!AH115="",TABLERO!AH115=0),"",TABLERO!AH115)</f>
        <v/>
      </c>
      <c r="O115" s="562" t="str">
        <f>IF(OR(TABLERO!AI115="",TABLERO!AI115=0),"",TABLERO!AI115)</f>
        <v/>
      </c>
      <c r="P115" s="562" t="str">
        <f>IF(OR(TABLERO!AJ115="",TABLERO!AJ115=0),"",TABLERO!AJ115)</f>
        <v/>
      </c>
      <c r="Q115" s="562" t="str">
        <f>IF(OR(TABLERO!AK115="",TABLERO!AK115=0),"",TABLERO!AK115)</f>
        <v/>
      </c>
      <c r="R115" s="562" t="str">
        <f>IF(OR(TABLERO!AL115="",TABLERO!AL115=0),"",TABLERO!AL115)</f>
        <v/>
      </c>
      <c r="S115" s="562" t="str">
        <f>IF(OR(TABLERO!AM115="",TABLERO!AM115=0),"",TABLERO!AM115)</f>
        <v/>
      </c>
      <c r="T115" s="562" t="str">
        <f>IF(OR(TABLERO!AN115="",TABLERO!AN115=0),"",TABLERO!AN115)</f>
        <v/>
      </c>
      <c r="U115" s="562" t="str">
        <f>IF(OR(TABLERO!AO115="",TABLERO!AO115=0),"",TABLERO!AO115)</f>
        <v/>
      </c>
      <c r="V115" s="562" t="str">
        <f>IF(OR(TABLERO!AP115="",TABLERO!AP115=0),"",TABLERO!AP115)</f>
        <v/>
      </c>
      <c r="W115" s="562" t="str">
        <f>IF(OR(TABLERO!AQ115="",TABLERO!AQ115=0),"",TABLERO!AQ115)</f>
        <v/>
      </c>
      <c r="X115" s="562" t="str">
        <f>IF(OR(TABLERO!AR115="",TABLERO!AR115=0),"",TABLERO!AR115)</f>
        <v/>
      </c>
      <c r="Y115" s="562" t="str">
        <f>IF(OR(TABLERO!AS115="",TABLERO!AS115=0),"",TABLERO!AS115)</f>
        <v/>
      </c>
      <c r="Z115" s="562" t="str">
        <f>IF(OR(TABLERO!AT115="",TABLERO!AT115=0),"",TABLERO!AT115)</f>
        <v/>
      </c>
      <c r="AA115" s="562" t="str">
        <f>IF(OR(TABLERO!AU115="",TABLERO!AU115=0),"",TABLERO!AU115)</f>
        <v/>
      </c>
      <c r="AB115" s="562" t="str">
        <f>IF(OR(TABLERO!AV115="",TABLERO!AV115=0),"",TABLERO!AV115)</f>
        <v/>
      </c>
      <c r="AC115" s="562" t="str">
        <f>IF(OR(TABLERO!AW115="",TABLERO!AW115=0),"",TABLERO!AW115)</f>
        <v/>
      </c>
      <c r="AD115" s="562" t="str">
        <f>IF(OR(TABLERO!AX115="",TABLERO!AX115=0),"",TABLERO!AX115)</f>
        <v/>
      </c>
      <c r="AE115" s="562" t="str">
        <f>IF(OR(TABLERO!AY115="",TABLERO!AY115=0),"",TABLERO!AY115)</f>
        <v/>
      </c>
      <c r="AF115" s="562" t="str">
        <f>IF(OR(TABLERO!AZ115="",TABLERO!AZ115=0),"",TABLERO!AZ115)</f>
        <v/>
      </c>
      <c r="AG115" s="562" t="str">
        <f>IF(OR(TABLERO!BA115="",TABLERO!BA115=0),"",TABLERO!BA115)</f>
        <v/>
      </c>
      <c r="AH115" s="48" t="str">
        <f>IF(TABLERO!BB115=0,"",IF(TABLERO!$F$17&lt;&gt;"KVA",TABLERO!BB115*1000,TABLERO!BB115*1000/TABLERO!DA115))</f>
        <v/>
      </c>
      <c r="AI115" s="48" t="str">
        <f>IF(TABLERO!BB115=0,"",IF(TABLERO!$F$17&lt;&gt;"KVA",TABLERO!BT115*1000,TABLERO!BT115*1000/TABLERO!DA115))</f>
        <v/>
      </c>
      <c r="AJ115" s="44" t="str">
        <f>IF(OR(TABLERO!BU115="",TABLERO!BU115=0),"",TABLERO!BU115)</f>
        <v/>
      </c>
      <c r="AK115" s="562" t="str">
        <f>IF(TABLERO!BB115=0,"",TABLERO!F115)</f>
        <v/>
      </c>
      <c r="AL115" s="562" t="str">
        <f>IF(TABLERO!BB115=0,"",TABLERO!G115)</f>
        <v/>
      </c>
      <c r="AM115" s="562" t="str">
        <f>IF(TABLERO!BB115=0,"",TABLERO!BV115)</f>
        <v/>
      </c>
      <c r="AN115" s="44" t="str">
        <f>IF(TABLERO!BB115=0,"",TABLERO!K115)</f>
        <v/>
      </c>
      <c r="AO115" s="562" t="str">
        <f>IF(TABLERO!BB115=0,"",TABLERO!J115)</f>
        <v/>
      </c>
      <c r="AP115" s="44" t="str">
        <f>IF(TABLERO!BB115=0,"",TABLERO!CT115)</f>
        <v/>
      </c>
      <c r="AQ115" s="44" t="str">
        <f>IF(TABLERO!BB115=0,"",TABLERO!CS115)</f>
        <v/>
      </c>
      <c r="AR115" s="44" t="str">
        <f>IF(TABLERO!BB115=0,"",TABLERO!CY115)</f>
        <v/>
      </c>
      <c r="AS115" s="562" t="str">
        <f>IF(TABLERO!BB115=0,"",TABLERO!N115)</f>
        <v/>
      </c>
      <c r="AT115" s="1079" t="str">
        <f>IF(TABLERO!BB115=0,"",TABLERO!BX115&amp;" "&amp;TABLERO!ED115)</f>
        <v/>
      </c>
      <c r="AU115" s="1080"/>
      <c r="AV115" s="44" t="str">
        <f>IF(TABLERO!BB115=0,"",TABLERO!BZ115)</f>
        <v/>
      </c>
      <c r="AW115" s="562" t="str">
        <f>IF(TABLERO!BB115=0,"",TABLERO!CA115)</f>
        <v/>
      </c>
      <c r="AX115" s="43" t="str">
        <f>IF(TABLERO!BB115=0,"",TABLERO!CB115)</f>
        <v/>
      </c>
      <c r="AY115" s="44" t="str">
        <f>IF(TABLERO!BB115=0,"",TABLERO!DL115)</f>
        <v/>
      </c>
      <c r="AZ115" s="576" t="str">
        <f>IF(TABLERO!BB115=0,"",TABLERO!F115&amp;"P-"&amp;TABLERO!BW115&amp;"A")</f>
        <v/>
      </c>
      <c r="BA115" s="44" t="str">
        <f>IF(TABLERO!BB115=0,"",TABLERO!CI115)</f>
        <v/>
      </c>
      <c r="BB115" s="44" t="str">
        <f>IF(TABLERO!BB115=0,"",TABLERO!CJ115)</f>
        <v/>
      </c>
      <c r="BC115" s="49" t="str">
        <f>IF(TABLERO!BB115=0,"",TABLERO!CK115)</f>
        <v/>
      </c>
    </row>
    <row r="116" spans="1:62" ht="12.75" hidden="1" customHeight="1">
      <c r="B116" s="51"/>
      <c r="C116" s="43" t="s">
        <v>102</v>
      </c>
      <c r="D116" s="562" t="str">
        <f>IF(OR(TABLERO!X116="",TABLERO!X116=0),"",TABLERO!X116)</f>
        <v/>
      </c>
      <c r="E116" s="562">
        <f>IF(OR(TABLERO!Y116="",TABLERO!Y116=0),"",TABLERO!Y116)</f>
        <v>1</v>
      </c>
      <c r="F116" s="562">
        <f>IF(OR(TABLERO!Z116="",TABLERO!Z116=0),"",TABLERO!Z116)</f>
        <v>4</v>
      </c>
      <c r="G116" s="562">
        <f>IF(OR(TABLERO!AA116="",TABLERO!AA116=0),"",TABLERO!AA116)</f>
        <v>1</v>
      </c>
      <c r="H116" s="562" t="str">
        <f>IF(OR(TABLERO!AB116="",TABLERO!AB116=0),"",TABLERO!AB116)</f>
        <v/>
      </c>
      <c r="I116" s="562" t="str">
        <f>IF(OR(TABLERO!AC116="",TABLERO!AC116=0),"",TABLERO!AC116)</f>
        <v/>
      </c>
      <c r="J116" s="562" t="str">
        <f>IF(OR(TABLERO!AD116="",TABLERO!AD116=0),"",TABLERO!AD116)</f>
        <v/>
      </c>
      <c r="K116" s="562" t="str">
        <f>IF(OR(TABLERO!AE116="",TABLERO!AE116=0),"",TABLERO!AE116)</f>
        <v/>
      </c>
      <c r="L116" s="562" t="str">
        <f>IF(OR(TABLERO!AF116="",TABLERO!AF116=0),"",TABLERO!AF116)</f>
        <v/>
      </c>
      <c r="M116" s="562" t="str">
        <f>IF(OR(TABLERO!AG116="",TABLERO!AG116=0),"",TABLERO!AG116)</f>
        <v/>
      </c>
      <c r="N116" s="562" t="str">
        <f>IF(OR(TABLERO!AH116="",TABLERO!AH116=0),"",TABLERO!AH116)</f>
        <v/>
      </c>
      <c r="O116" s="562" t="str">
        <f>IF(OR(TABLERO!AI116="",TABLERO!AI116=0),"",TABLERO!AI116)</f>
        <v/>
      </c>
      <c r="P116" s="562" t="str">
        <f>IF(OR(TABLERO!AJ116="",TABLERO!AJ116=0),"",TABLERO!AJ116)</f>
        <v/>
      </c>
      <c r="Q116" s="562" t="str">
        <f>IF(OR(TABLERO!AK116="",TABLERO!AK116=0),"",TABLERO!AK116)</f>
        <v/>
      </c>
      <c r="R116" s="562" t="str">
        <f>IF(OR(TABLERO!AL116="",TABLERO!AL116=0),"",TABLERO!AL116)</f>
        <v/>
      </c>
      <c r="S116" s="562" t="str">
        <f>IF(OR(TABLERO!AM116="",TABLERO!AM116=0),"",TABLERO!AM116)</f>
        <v/>
      </c>
      <c r="T116" s="562" t="str">
        <f>IF(OR(TABLERO!AN116="",TABLERO!AN116=0),"",TABLERO!AN116)</f>
        <v/>
      </c>
      <c r="U116" s="562" t="str">
        <f>IF(OR(TABLERO!AO116="",TABLERO!AO116=0),"",TABLERO!AO116)</f>
        <v/>
      </c>
      <c r="V116" s="562" t="str">
        <f>IF(OR(TABLERO!AP116="",TABLERO!AP116=0),"",TABLERO!AP116)</f>
        <v/>
      </c>
      <c r="W116" s="562" t="str">
        <f>IF(OR(TABLERO!AQ116="",TABLERO!AQ116=0),"",TABLERO!AQ116)</f>
        <v/>
      </c>
      <c r="X116" s="562" t="str">
        <f>IF(OR(TABLERO!AR116="",TABLERO!AR116=0),"",TABLERO!AR116)</f>
        <v/>
      </c>
      <c r="Y116" s="562" t="str">
        <f>IF(OR(TABLERO!AS116="",TABLERO!AS116=0),"",TABLERO!AS116)</f>
        <v/>
      </c>
      <c r="Z116" s="562" t="str">
        <f>IF(OR(TABLERO!AT116="",TABLERO!AT116=0),"",TABLERO!AT116)</f>
        <v/>
      </c>
      <c r="AA116" s="562" t="str">
        <f>IF(OR(TABLERO!AU116="",TABLERO!AU116=0),"",TABLERO!AU116)</f>
        <v/>
      </c>
      <c r="AB116" s="562" t="str">
        <f>IF(OR(TABLERO!AV116="",TABLERO!AV116=0),"",TABLERO!AV116)</f>
        <v/>
      </c>
      <c r="AC116" s="562" t="str">
        <f>IF(OR(TABLERO!AW116="",TABLERO!AW116=0),"",TABLERO!AW116)</f>
        <v/>
      </c>
      <c r="AD116" s="562" t="str">
        <f>IF(OR(TABLERO!AX116="",TABLERO!AX116=0),"",TABLERO!AX116)</f>
        <v/>
      </c>
      <c r="AE116" s="562" t="str">
        <f>IF(OR(TABLERO!AY116="",TABLERO!AY116=0),"",TABLERO!AY116)</f>
        <v/>
      </c>
      <c r="AF116" s="562" t="str">
        <f>IF(OR(TABLERO!AZ116="",TABLERO!AZ116=0),"",TABLERO!AZ116)</f>
        <v/>
      </c>
      <c r="AG116" s="562" t="str">
        <f>IF(OR(TABLERO!BA116="",TABLERO!BA116=0),"",TABLERO!BA116)</f>
        <v/>
      </c>
      <c r="AH116" s="48">
        <f>IF(TABLERO!BB116=0,"",IF(TABLERO!$F$17&lt;&gt;"KVA",TABLERO!BB116*1000,TABLERO!BB116*1000/TABLERO!DA116))</f>
        <v>93443.01999999999</v>
      </c>
      <c r="AI116" s="48">
        <f>IF(TABLERO!BB116=0,"",IF(TABLERO!$F$17&lt;&gt;"KVA",TABLERO!BT116*1000,TABLERO!BT116*1000/TABLERO!DA116))</f>
        <v>74754.415999999997</v>
      </c>
      <c r="AJ116" s="44">
        <f>IF(OR(TABLERO!BU116="",TABLERO!BU116=0),"",TABLERO!BU116)</f>
        <v>218.23558124598586</v>
      </c>
      <c r="AK116" s="562">
        <f>IF(TABLERO!BB116=0,"",TABLERO!F116)</f>
        <v>3</v>
      </c>
      <c r="AL116" s="562">
        <f>IF(TABLERO!BB116=0,"",TABLERO!G116)</f>
        <v>4</v>
      </c>
      <c r="AM116" s="562">
        <f>IF(TABLERO!BB116=0,"",TABLERO!BV116)</f>
        <v>220</v>
      </c>
      <c r="AN116" s="44">
        <f>IF(TABLERO!BB116=0,"",TABLERO!K116)</f>
        <v>120</v>
      </c>
      <c r="AO116" s="562">
        <f>IF(TABLERO!BB116=0,"",TABLERO!J116)</f>
        <v>8</v>
      </c>
      <c r="AP116" s="44">
        <f>IF(TABLERO!BB116=0,"",TABLERO!CT116)</f>
        <v>0.7</v>
      </c>
      <c r="AQ116" s="44">
        <f>IF(TABLERO!BB116=0,"",TABLERO!CS116)</f>
        <v>1</v>
      </c>
      <c r="AR116" s="44">
        <f>IF(TABLERO!BB116=0,"",TABLERO!CY116)</f>
        <v>353.82514492572301</v>
      </c>
      <c r="AS116" s="562">
        <f>IF(TABLERO!BB116=0,"",TABLERO!N116)</f>
        <v>2</v>
      </c>
      <c r="AT116" s="43" t="str">
        <f>IF(TABLERO!BB116=0,"",TABLERO!BX116&amp;" "&amp;TABLERO!ED116&amp;", "&amp;TABLERO!I116)</f>
        <v>500 KCM, AL</v>
      </c>
      <c r="AU116" s="43"/>
      <c r="AV116" s="44">
        <f>IF(TABLERO!BB116=0,"",TABLERO!BZ116)</f>
        <v>2.0761825408485093</v>
      </c>
      <c r="AW116" s="562" t="str">
        <f>IF(TABLERO!BB116=0,"",TABLERO!CA116)</f>
        <v>1/0</v>
      </c>
      <c r="AX116" s="43" t="str">
        <f>IF(TABLERO!BB116=0,"",TABLERO!CB116)</f>
        <v>MC-STABILOY</v>
      </c>
      <c r="AY116" s="44">
        <f>IF(TABLERO!BB116=0,"",TABLERO!DL116)</f>
        <v>257.47760144800611</v>
      </c>
      <c r="AZ116" s="43" t="str">
        <f>IF(TABLERO!BB116=0,"",TABLERO!F116&amp;"P-"&amp;TABLERO!BW116&amp;"A")</f>
        <v>3P-300A</v>
      </c>
      <c r="BA116" s="44">
        <f>IF(TABLERO!BB116=0,"",TABLERO!CI116)</f>
        <v>32695.673333333336</v>
      </c>
      <c r="BB116" s="44">
        <f>IF(TABLERO!BB116=0,"",TABLERO!CJ116)</f>
        <v>33109.67333333334</v>
      </c>
      <c r="BC116" s="49">
        <f>IF(TABLERO!BB116=0,"",TABLERO!CK116)</f>
        <v>27637.673333333336</v>
      </c>
    </row>
    <row r="117" spans="1:62" ht="12.75" hidden="1" customHeight="1">
      <c r="B117" s="51"/>
      <c r="C117" s="43" t="s">
        <v>103</v>
      </c>
      <c r="D117" s="562" t="str">
        <f>IF(OR(D29="",D116=""),"",D29*D116)</f>
        <v/>
      </c>
      <c r="E117" s="562">
        <f t="shared" ref="E117:AG117" si="3">IF(OR(E29="",E116=""),"",E29*E116)</f>
        <v>15825.348000000002</v>
      </c>
      <c r="F117" s="562">
        <f t="shared" si="3"/>
        <v>22881.671999999999</v>
      </c>
      <c r="G117" s="562">
        <f t="shared" si="3"/>
        <v>2500</v>
      </c>
      <c r="H117" s="562" t="str">
        <f t="shared" si="3"/>
        <v/>
      </c>
      <c r="I117" s="562" t="str">
        <f t="shared" si="3"/>
        <v/>
      </c>
      <c r="J117" s="562" t="str">
        <f t="shared" si="3"/>
        <v/>
      </c>
      <c r="K117" s="562" t="str">
        <f t="shared" si="3"/>
        <v/>
      </c>
      <c r="L117" s="562" t="str">
        <f t="shared" si="3"/>
        <v/>
      </c>
      <c r="M117" s="562" t="str">
        <f t="shared" si="3"/>
        <v/>
      </c>
      <c r="N117" s="562" t="str">
        <f t="shared" si="3"/>
        <v/>
      </c>
      <c r="O117" s="562" t="str">
        <f t="shared" si="3"/>
        <v/>
      </c>
      <c r="P117" s="562" t="str">
        <f t="shared" si="3"/>
        <v/>
      </c>
      <c r="Q117" s="562" t="str">
        <f t="shared" si="3"/>
        <v/>
      </c>
      <c r="R117" s="562" t="str">
        <f t="shared" si="3"/>
        <v/>
      </c>
      <c r="S117" s="562" t="str">
        <f t="shared" si="3"/>
        <v/>
      </c>
      <c r="T117" s="562" t="str">
        <f t="shared" si="3"/>
        <v/>
      </c>
      <c r="U117" s="562" t="str">
        <f t="shared" si="3"/>
        <v/>
      </c>
      <c r="V117" s="562" t="str">
        <f t="shared" si="3"/>
        <v/>
      </c>
      <c r="W117" s="562" t="str">
        <f t="shared" si="3"/>
        <v/>
      </c>
      <c r="X117" s="562" t="str">
        <f t="shared" si="3"/>
        <v/>
      </c>
      <c r="Y117" s="562" t="str">
        <f t="shared" si="3"/>
        <v/>
      </c>
      <c r="Z117" s="562" t="str">
        <f t="shared" si="3"/>
        <v/>
      </c>
      <c r="AA117" s="562" t="str">
        <f t="shared" si="3"/>
        <v/>
      </c>
      <c r="AB117" s="562" t="str">
        <f t="shared" si="3"/>
        <v/>
      </c>
      <c r="AC117" s="562" t="str">
        <f t="shared" si="3"/>
        <v/>
      </c>
      <c r="AD117" s="562" t="str">
        <f t="shared" si="3"/>
        <v/>
      </c>
      <c r="AE117" s="562" t="str">
        <f t="shared" si="3"/>
        <v/>
      </c>
      <c r="AF117" s="562" t="str">
        <f t="shared" si="3"/>
        <v/>
      </c>
      <c r="AG117" s="562" t="str">
        <f t="shared" si="3"/>
        <v/>
      </c>
      <c r="AH117" s="48"/>
      <c r="AI117" s="48"/>
      <c r="AJ117" s="52"/>
      <c r="AK117" s="563"/>
      <c r="AL117" s="563"/>
      <c r="AM117" s="563"/>
      <c r="AN117" s="52"/>
      <c r="AO117" s="563"/>
      <c r="AP117" s="52"/>
      <c r="AQ117" s="52"/>
      <c r="AR117" s="52"/>
      <c r="AS117" s="563"/>
      <c r="AT117" s="52"/>
      <c r="AU117" s="52"/>
      <c r="AV117" s="52"/>
      <c r="AW117" s="563"/>
      <c r="AX117" s="52"/>
      <c r="AY117" s="52"/>
      <c r="AZ117" s="585"/>
      <c r="BA117" s="52"/>
      <c r="BB117" s="52"/>
      <c r="BC117" s="53"/>
    </row>
    <row r="118" spans="1:62" ht="12.75" hidden="1" customHeight="1">
      <c r="B118" s="51"/>
      <c r="C118" s="43" t="str">
        <f>IF(TABLERO!E118=0,"",TABLERO!E118)</f>
        <v>TRAFO</v>
      </c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5"/>
      <c r="X118" s="565"/>
      <c r="Y118" s="565"/>
      <c r="Z118" s="565"/>
      <c r="AA118" s="565"/>
      <c r="AB118" s="565"/>
      <c r="AC118" s="565"/>
      <c r="AD118" s="565"/>
      <c r="AE118" s="565"/>
      <c r="AF118" s="565"/>
      <c r="AG118" s="565"/>
      <c r="AH118" s="48">
        <f>IF(TABLERO!BB118=0,"",IF(TABLERO!$F$17&lt;&gt;"KVA",TABLERO!BB118*1000,TABLERO!BB118*1000/TABLERO!DA118))</f>
        <v>93443.01999999999</v>
      </c>
      <c r="AI118" s="48">
        <f>IF(TABLERO!BB118=0,"",IF(TABLERO!$F$17&lt;&gt;"KVA",TABLERO!BT118*1000,TABLERO!BT118*1000/TABLERO!DA118))</f>
        <v>74754.415999999997</v>
      </c>
      <c r="AJ118" s="44">
        <f>IF(OR(TABLERO!BU118="",TABLERO!BU118=0),"",TABLERO!BU118)</f>
        <v>218.23558124598586</v>
      </c>
      <c r="AK118" s="562">
        <f>IF(TABLERO!BB118=0,"",TABLERO!F118)</f>
        <v>3</v>
      </c>
      <c r="AL118" s="562">
        <f>IF(TABLERO!BB118=0,"",TABLERO!G118)</f>
        <v>4</v>
      </c>
      <c r="AM118" s="562">
        <f>IF(TABLERO!BB118=0,"",TABLERO!BV118)</f>
        <v>220</v>
      </c>
      <c r="AN118" s="44">
        <f>IF(TABLERO!BB118=0,"",TABLERO!K118)</f>
        <v>8</v>
      </c>
      <c r="AO118" s="562">
        <f>IF(TABLERO!BB118=0,"",TABLERO!J118)</f>
        <v>4</v>
      </c>
      <c r="AP118" s="44">
        <f>IF(TABLERO!BB118=0,"",TABLERO!CT118)</f>
        <v>0.8</v>
      </c>
      <c r="AQ118" s="44">
        <f>IF(TABLERO!BB118=0,"",TABLERO!CS118)</f>
        <v>1</v>
      </c>
      <c r="AR118" s="44">
        <f>IF(TABLERO!BB118=0,"",TABLERO!CY118)</f>
        <v>272.79447655748231</v>
      </c>
      <c r="AS118" s="562">
        <f>IF(TABLERO!BB118=0,"",TABLERO!N118)</f>
        <v>1</v>
      </c>
      <c r="AT118" s="43" t="str">
        <f>IF(TABLERO!BB118=0,"",TABLERO!BX118&amp;" "&amp;TABLERO!ED118&amp;", "&amp;TABLERO!I118)</f>
        <v>3/0 AWG, AL</v>
      </c>
      <c r="AU118" s="43"/>
      <c r="AV118" s="44">
        <f>IF(TABLERO!BB118=0,"",TABLERO!BZ118)</f>
        <v>0.6336444765887701</v>
      </c>
      <c r="AW118" s="562">
        <f>IF(TABLERO!BB118=0,"",TABLERO!CA118)</f>
        <v>4</v>
      </c>
      <c r="AX118" s="43" t="str">
        <f>IF(TABLERO!BB118=0,"",TABLERO!CB118)</f>
        <v>MC-STABILOY</v>
      </c>
      <c r="AY118" s="44">
        <f>IF(TABLERO!BB118=0,"",TABLERO!DL118)</f>
        <v>295.5859169732002</v>
      </c>
      <c r="AZ118" s="43" t="str">
        <f>IF(TABLERO!BB118=0,"",TABLERO!F118&amp;"P-"&amp;TABLERO!BW118&amp;"A")</f>
        <v>3P-300A</v>
      </c>
      <c r="BA118" s="44">
        <f>IF(TABLERO!BB118=0,"",TABLERO!CI118)</f>
        <v>32695.673333333336</v>
      </c>
      <c r="BB118" s="44">
        <f>IF(TABLERO!BB118=0,"",TABLERO!CJ118)</f>
        <v>33109.67333333334</v>
      </c>
      <c r="BC118" s="49">
        <f>IF(TABLERO!BB118=0,"",TABLERO!CK118)</f>
        <v>27637.673333333336</v>
      </c>
    </row>
    <row r="119" spans="1:62" ht="12.75" hidden="1" customHeight="1">
      <c r="B119" s="51"/>
      <c r="C119" s="43" t="str">
        <f>IF(TABLERO!E119=0,"",TABLERO!E119)</f>
        <v/>
      </c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5"/>
      <c r="X119" s="565"/>
      <c r="Y119" s="565"/>
      <c r="Z119" s="565"/>
      <c r="AA119" s="565"/>
      <c r="AB119" s="565"/>
      <c r="AC119" s="565"/>
      <c r="AD119" s="565"/>
      <c r="AE119" s="565"/>
      <c r="AF119" s="565"/>
      <c r="AG119" s="565"/>
      <c r="AH119" s="48"/>
      <c r="AI119" s="48"/>
      <c r="AJ119" s="44" t="str">
        <f>IF(OR(TABLERO!BU119="",TABLERO!BU119=0),"",TABLERO!BU119)</f>
        <v/>
      </c>
      <c r="AK119" s="562" t="str">
        <f>IF(TABLERO!BB119=0,"",TABLERO!F119)</f>
        <v/>
      </c>
      <c r="AL119" s="562" t="str">
        <f>IF(TABLERO!BB119=0,"",TABLERO!G119)</f>
        <v/>
      </c>
      <c r="AM119" s="562" t="str">
        <f>IF(TABLERO!BB119=0,"",TABLERO!BV119)</f>
        <v/>
      </c>
      <c r="AN119" s="44" t="str">
        <f>IF(TABLERO!BB119=0,"",TABLERO!K119)</f>
        <v/>
      </c>
      <c r="AO119" s="562" t="str">
        <f>IF(TABLERO!BB119=0,"",TABLERO!J119)</f>
        <v/>
      </c>
      <c r="AP119" s="44" t="str">
        <f>IF(TABLERO!BB119=0,"",TABLERO!CT119)</f>
        <v/>
      </c>
      <c r="AQ119" s="44" t="str">
        <f>IF(TABLERO!BB119=0,"",TABLERO!CS119)</f>
        <v/>
      </c>
      <c r="AR119" s="44" t="str">
        <f>IF(TABLERO!BB119=0,"",TABLERO!CY119)</f>
        <v/>
      </c>
      <c r="AS119" s="562" t="str">
        <f>IF(TABLERO!BB119=0,"",TABLERO!N119)</f>
        <v/>
      </c>
      <c r="AT119" s="43" t="str">
        <f>IF(TABLERO!BB119=0,"",TABLERO!BX119&amp;" "&amp;TABLERO!ED119)</f>
        <v/>
      </c>
      <c r="AU119" s="43"/>
      <c r="AV119" s="44" t="str">
        <f>IF(TABLERO!BB119=0,"",TABLERO!BZ119)</f>
        <v/>
      </c>
      <c r="AW119" s="562" t="str">
        <f>IF(TABLERO!BB119=0,"",TABLERO!CA119)</f>
        <v/>
      </c>
      <c r="AX119" s="43" t="str">
        <f>IF(TABLERO!BB119=0,"",TABLERO!CB119)</f>
        <v/>
      </c>
      <c r="AY119" s="44" t="str">
        <f>IF(TABLERO!BB119=0,"",TABLERO!DL119)</f>
        <v/>
      </c>
      <c r="AZ119" s="43" t="str">
        <f>IF(TABLERO!BB119=0,"",TABLERO!F119&amp;"P-"&amp;TABLERO!BW119&amp;"A")</f>
        <v/>
      </c>
      <c r="BA119" s="44" t="str">
        <f>IF(TABLERO!BB119=0,"",TABLERO!CI119)</f>
        <v/>
      </c>
      <c r="BB119" s="44" t="str">
        <f>IF(TABLERO!BB119=0,"",TABLERO!CJ119)</f>
        <v/>
      </c>
      <c r="BC119" s="49" t="str">
        <f>IF(TABLERO!BB119=0,"",TABLERO!CK119)</f>
        <v/>
      </c>
    </row>
    <row r="120" spans="1:62" ht="12.75" hidden="1" customHeight="1">
      <c r="B120" s="51"/>
      <c r="C120" s="43" t="str">
        <f>IF(TABLERO!E120=0,"",TABLERO!E120)</f>
        <v>TRAFO</v>
      </c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5"/>
      <c r="X120" s="565"/>
      <c r="Y120" s="565"/>
      <c r="Z120" s="565"/>
      <c r="AA120" s="565"/>
      <c r="AB120" s="565"/>
      <c r="AC120" s="565"/>
      <c r="AD120" s="565"/>
      <c r="AE120" s="565"/>
      <c r="AF120" s="565"/>
      <c r="AG120" s="565"/>
      <c r="AH120" s="48">
        <f>IF(TABLERO!BB120=0,"",IF(TABLERO!$F$17&lt;&gt;"KVA",TABLERO!BB120*1000,TABLERO!BB120*1000/TABLERO!DA120))</f>
        <v>93443.01999999999</v>
      </c>
      <c r="AI120" s="48">
        <f>IF(TABLERO!BB120=0,"",IF(TABLERO!$F$17&lt;&gt;"KVA",TABLERO!BT120*1000,TABLERO!BT120*1000/TABLERO!DA120))</f>
        <v>74754.415999999997</v>
      </c>
      <c r="AJ120" s="44">
        <f>IF(OR(TABLERO!BU120="",TABLERO!BU120=0),"",TABLERO!BU120)</f>
        <v>100.02464140441019</v>
      </c>
      <c r="AK120" s="562">
        <f>IF(TABLERO!BB120=0,"",TABLERO!F120)</f>
        <v>3</v>
      </c>
      <c r="AL120" s="562">
        <f>IF(TABLERO!BB120=0,"",TABLERO!G120)</f>
        <v>3</v>
      </c>
      <c r="AM120" s="562">
        <f>IF(TABLERO!BB120=0,"",TABLERO!BV120)</f>
        <v>480</v>
      </c>
      <c r="AN120" s="44">
        <f>IF(TABLERO!BB120=0,"",TABLERO!K120)</f>
        <v>230</v>
      </c>
      <c r="AO120" s="562">
        <f>IF(TABLERO!BB120=0,"",TABLERO!J120)</f>
        <v>3</v>
      </c>
      <c r="AP120" s="44">
        <f>IF(TABLERO!BB120=0,"",TABLERO!CT120)</f>
        <v>1</v>
      </c>
      <c r="AQ120" s="44">
        <f>IF(TABLERO!BB120=0,"",TABLERO!CS120)</f>
        <v>1</v>
      </c>
      <c r="AR120" s="44">
        <f>IF(TABLERO!BB120=0,"",TABLERO!CY120)</f>
        <v>100.02464140441019</v>
      </c>
      <c r="AS120" s="562">
        <f>IF(TABLERO!BB120=0,"",TABLERO!N120)</f>
        <v>2</v>
      </c>
      <c r="AT120" s="43" t="str">
        <f>IF(TABLERO!BB120=0,"",TABLERO!BX120&amp;" "&amp;TABLERO!ED120&amp;", "&amp;TABLERO!I120)</f>
        <v>3/0 AWG, AL</v>
      </c>
      <c r="AU120" s="43"/>
      <c r="AV120" s="44">
        <f>IF(TABLERO!BB120=0,"",TABLERO!BZ120)</f>
        <v>1.9134468081017226</v>
      </c>
      <c r="AW120" s="562">
        <f>IF(TABLERO!BB120=0,"",TABLERO!CA120)</f>
        <v>4</v>
      </c>
      <c r="AX120" s="43" t="str">
        <f>IF(TABLERO!BB120=0,"",TABLERO!CB120)</f>
        <v>MC-STABILOY</v>
      </c>
      <c r="AY120" s="44">
        <f>IF(TABLERO!BB120=0,"",TABLERO!DL120)</f>
        <v>135.47687861271677</v>
      </c>
      <c r="AZ120" s="43" t="str">
        <f>IF(TABLERO!BB120=0,"",TABLERO!F120&amp;"P-"&amp;TABLERO!BW120&amp;"A")</f>
        <v>3P-150A</v>
      </c>
      <c r="BA120" s="44">
        <f>IF(TABLERO!BB120=0,"",TABLERO!CI120)</f>
        <v>32695.673333333336</v>
      </c>
      <c r="BB120" s="44">
        <f>IF(TABLERO!BB120=0,"",TABLERO!CJ120)</f>
        <v>33109.67333333334</v>
      </c>
      <c r="BC120" s="49">
        <f>IF(TABLERO!BB120=0,"",TABLERO!CK120)</f>
        <v>27637.673333333336</v>
      </c>
    </row>
    <row r="121" spans="1:62" ht="12.75" hidden="1" customHeight="1">
      <c r="B121" s="51"/>
      <c r="C121" s="43" t="str">
        <f>IF(TABLERO!E121=0,"",TABLERO!E121)</f>
        <v/>
      </c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5"/>
      <c r="X121" s="565"/>
      <c r="Y121" s="565"/>
      <c r="Z121" s="565"/>
      <c r="AA121" s="565"/>
      <c r="AB121" s="565"/>
      <c r="AC121" s="565"/>
      <c r="AD121" s="565"/>
      <c r="AE121" s="565"/>
      <c r="AF121" s="565"/>
      <c r="AG121" s="565"/>
      <c r="AH121" s="48"/>
      <c r="AI121" s="48"/>
      <c r="AJ121" s="44" t="str">
        <f>IF(OR(TABLERO!BU121="",TABLERO!BU121=0),"",TABLERO!BU121)</f>
        <v/>
      </c>
      <c r="AK121" s="562" t="str">
        <f>IF(TABLERO!BB121=0,"",TABLERO!F121)</f>
        <v/>
      </c>
      <c r="AL121" s="562" t="str">
        <f>IF(TABLERO!BB121=0,"",TABLERO!G121)</f>
        <v/>
      </c>
      <c r="AM121" s="562" t="str">
        <f>IF(TABLERO!BB121=0,"",TABLERO!BV121)</f>
        <v/>
      </c>
      <c r="AN121" s="44" t="str">
        <f>IF(TABLERO!BB121=0,"",TABLERO!K121)</f>
        <v/>
      </c>
      <c r="AO121" s="562" t="str">
        <f>IF(TABLERO!BB121=0,"",TABLERO!J121)</f>
        <v/>
      </c>
      <c r="AP121" s="44" t="str">
        <f>IF(TABLERO!BB121=0,"",TABLERO!CT121)</f>
        <v/>
      </c>
      <c r="AQ121" s="44" t="str">
        <f>IF(TABLERO!BB121=0,"",TABLERO!CS121)</f>
        <v/>
      </c>
      <c r="AR121" s="44" t="str">
        <f>IF(TABLERO!BB121=0,"",TABLERO!CY121)</f>
        <v/>
      </c>
      <c r="AS121" s="562" t="str">
        <f>IF(TABLERO!BB121=0,"",TABLERO!N121)</f>
        <v/>
      </c>
      <c r="AT121" s="43" t="str">
        <f>IF(TABLERO!BB121=0,"",TABLERO!BX121&amp;" "&amp;TABLERO!ED121)</f>
        <v/>
      </c>
      <c r="AU121" s="43"/>
      <c r="AV121" s="44" t="str">
        <f>IF(TABLERO!BB121=0,"",TABLERO!BZ121)</f>
        <v/>
      </c>
      <c r="AW121" s="562" t="str">
        <f>IF(TABLERO!BB121=0,"",TABLERO!CA121)</f>
        <v/>
      </c>
      <c r="AX121" s="43" t="str">
        <f>IF(TABLERO!BB121=0,"",TABLERO!CB121)</f>
        <v/>
      </c>
      <c r="AY121" s="44" t="str">
        <f>IF(TABLERO!BB121=0,"",TABLERO!DL121)</f>
        <v/>
      </c>
      <c r="AZ121" s="43" t="str">
        <f>IF(TABLERO!BB121=0,"",TABLERO!F121&amp;"P-"&amp;TABLERO!BW121&amp;"A")</f>
        <v/>
      </c>
      <c r="BA121" s="44" t="str">
        <f>IF(TABLERO!BB121=0,"",TABLERO!CI121)</f>
        <v/>
      </c>
      <c r="BB121" s="44" t="str">
        <f>IF(TABLERO!BB121=0,"",TABLERO!CJ121)</f>
        <v/>
      </c>
      <c r="BC121" s="49" t="str">
        <f>IF(TABLERO!BB121=0,"",TABLERO!CK121)</f>
        <v/>
      </c>
    </row>
    <row r="122" spans="1:62" ht="12.75" hidden="1" customHeight="1">
      <c r="B122" s="51"/>
      <c r="C122" s="43" t="str">
        <f>IF(TABLERO!E122=0,"",TABLERO!E122)</f>
        <v>TRANSFER</v>
      </c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5"/>
      <c r="X122" s="565"/>
      <c r="Y122" s="565"/>
      <c r="Z122" s="565"/>
      <c r="AA122" s="565"/>
      <c r="AB122" s="565"/>
      <c r="AC122" s="565"/>
      <c r="AD122" s="565"/>
      <c r="AE122" s="565"/>
      <c r="AF122" s="565"/>
      <c r="AG122" s="565"/>
      <c r="AH122" s="48">
        <f>IF(TABLERO!BB122=0,"",IF(TABLERO!$F$17&lt;&gt;"KVA",TABLERO!BB122*1000,TABLERO!BB122*1000/TABLERO!DA122))</f>
        <v>93443.01999999999</v>
      </c>
      <c r="AI122" s="48">
        <f>IF(TABLERO!BB122=0,"",IF(TABLERO!$F$17&lt;&gt;"KVA",TABLERO!BT122*1000,TABLERO!BT122*1000/TABLERO!DA122))</f>
        <v>74754.415999999997</v>
      </c>
      <c r="AJ122" s="44">
        <f>IF(OR(TABLERO!BU122="",TABLERO!BU122=0),"",TABLERO!BU122)</f>
        <v>218.23558124598586</v>
      </c>
      <c r="AK122" s="562">
        <f>IF(TABLERO!BB122=0,"",TABLERO!F122)</f>
        <v>3</v>
      </c>
      <c r="AL122" s="562">
        <f>IF(TABLERO!BB122=0,"",TABLERO!G122)</f>
        <v>4</v>
      </c>
      <c r="AM122" s="562">
        <f>IF(TABLERO!BB122=0,"",TABLERO!BV122)</f>
        <v>220</v>
      </c>
      <c r="AN122" s="44">
        <f>IF(TABLERO!BB122=0,"",TABLERO!K122)</f>
        <v>30</v>
      </c>
      <c r="AO122" s="562">
        <f>IF(TABLERO!BB122=0,"",TABLERO!J122)</f>
        <v>8</v>
      </c>
      <c r="AP122" s="44">
        <f>IF(TABLERO!BB122=0,"",TABLERO!CT122)</f>
        <v>0.7</v>
      </c>
      <c r="AQ122" s="44">
        <f>IF(TABLERO!BB122=0,"",TABLERO!CS122)</f>
        <v>1</v>
      </c>
      <c r="AR122" s="44">
        <f>IF(TABLERO!BB122=0,"",TABLERO!CY122)</f>
        <v>311.76511606569409</v>
      </c>
      <c r="AS122" s="562">
        <f>IF(TABLERO!BB122=0,"",TABLERO!N122)</f>
        <v>2</v>
      </c>
      <c r="AT122" s="43" t="str">
        <f>IF(TABLERO!BB122=0,"",TABLERO!BX122&amp;" "&amp;TABLERO!ED122&amp;", "&amp;TABLERO!I122)</f>
        <v>500 KCM, AL</v>
      </c>
      <c r="AU122" s="43"/>
      <c r="AV122" s="44">
        <f>IF(TABLERO!BB122=0,"",TABLERO!BZ122)</f>
        <v>0.51904563521212732</v>
      </c>
      <c r="AW122" s="562" t="str">
        <f>IF(TABLERO!BB122=0,"",TABLERO!CA122)</f>
        <v>1/0</v>
      </c>
      <c r="AX122" s="43" t="str">
        <f>IF(TABLERO!BB122=0,"",TABLERO!CB122)</f>
        <v>MC-STABILOY</v>
      </c>
      <c r="AY122" s="44">
        <f>IF(TABLERO!BB122=0,"",TABLERO!DL122)</f>
        <v>233.54936649734336</v>
      </c>
      <c r="AZ122" s="43" t="str">
        <f>IF(TABLERO!BB122=0,"",TABLERO!F122&amp;"P-"&amp;TABLERO!BW122&amp;"A")</f>
        <v>3P-250A</v>
      </c>
      <c r="BA122" s="44">
        <f>IF(TABLERO!BB122=0,"",TABLERO!CI122)</f>
        <v>32695.673333333336</v>
      </c>
      <c r="BB122" s="44">
        <f>IF(TABLERO!BB122=0,"",TABLERO!CJ122)</f>
        <v>33109.67333333334</v>
      </c>
      <c r="BC122" s="49">
        <f>IF(TABLERO!BB122=0,"",TABLERO!CK122)</f>
        <v>27637.673333333336</v>
      </c>
    </row>
    <row r="123" spans="1:62" ht="12.75" hidden="1" customHeight="1">
      <c r="B123" s="51"/>
      <c r="C123" s="43" t="str">
        <f>IF(TABLERO!E123=0,"",TABLERO!E123)</f>
        <v/>
      </c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5"/>
      <c r="X123" s="565"/>
      <c r="Y123" s="565"/>
      <c r="Z123" s="565"/>
      <c r="AA123" s="565"/>
      <c r="AB123" s="565"/>
      <c r="AC123" s="565"/>
      <c r="AD123" s="565"/>
      <c r="AE123" s="565"/>
      <c r="AF123" s="565"/>
      <c r="AG123" s="565"/>
      <c r="AH123" s="48"/>
      <c r="AI123" s="48"/>
      <c r="AJ123" s="44" t="str">
        <f>IF(OR(TABLERO!BU123="",TABLERO!BU123=0),"",TABLERO!BU123)</f>
        <v/>
      </c>
      <c r="AK123" s="562" t="str">
        <f>IF(TABLERO!BB123=0,"",TABLERO!F123)</f>
        <v/>
      </c>
      <c r="AL123" s="562" t="str">
        <f>IF(TABLERO!BB123=0,"",TABLERO!G123)</f>
        <v/>
      </c>
      <c r="AM123" s="562" t="str">
        <f>IF(TABLERO!BB123=0,"",TABLERO!BV123)</f>
        <v/>
      </c>
      <c r="AN123" s="44" t="str">
        <f>IF(TABLERO!BB123=0,"",TABLERO!K123)</f>
        <v/>
      </c>
      <c r="AO123" s="562" t="str">
        <f>IF(TABLERO!BB123=0,"",TABLERO!J123)</f>
        <v/>
      </c>
      <c r="AP123" s="44" t="str">
        <f>IF(TABLERO!BB123=0,"",TABLERO!CT123)</f>
        <v/>
      </c>
      <c r="AQ123" s="44" t="str">
        <f>IF(TABLERO!BB123=0,"",TABLERO!CS123)</f>
        <v/>
      </c>
      <c r="AR123" s="44" t="str">
        <f>IF(TABLERO!BB123=0,"",TABLERO!CY123)</f>
        <v/>
      </c>
      <c r="AS123" s="562" t="str">
        <f>IF(TABLERO!BB123=0,"",TABLERO!N123)</f>
        <v/>
      </c>
      <c r="AT123" s="43" t="str">
        <f>IF(TABLERO!BB123=0,"",TABLERO!BX123&amp;" "&amp;TABLERO!ED123)</f>
        <v/>
      </c>
      <c r="AU123" s="43"/>
      <c r="AV123" s="44" t="str">
        <f>IF(TABLERO!BB123=0,"",TABLERO!BZ123)</f>
        <v/>
      </c>
      <c r="AW123" s="562" t="str">
        <f>IF(TABLERO!BB123=0,"",TABLERO!CA123)</f>
        <v/>
      </c>
      <c r="AX123" s="43" t="str">
        <f>IF(TABLERO!BB123=0,"",TABLERO!CB123)</f>
        <v/>
      </c>
      <c r="AY123" s="44" t="str">
        <f>IF(TABLERO!BB123=0,"",TABLERO!DL123)</f>
        <v/>
      </c>
      <c r="AZ123" s="43" t="str">
        <f>IF(TABLERO!BB123=0,"",TABLERO!F123&amp;"P-"&amp;TABLERO!BW123&amp;"A")</f>
        <v/>
      </c>
      <c r="BA123" s="44" t="str">
        <f>IF(TABLERO!BB123=0,"",TABLERO!CI123)</f>
        <v/>
      </c>
      <c r="BB123" s="44" t="str">
        <f>IF(TABLERO!BB123=0,"",TABLERO!CJ123)</f>
        <v/>
      </c>
      <c r="BC123" s="49" t="str">
        <f>IF(TABLERO!BB123=0,"",TABLERO!CK123)</f>
        <v/>
      </c>
    </row>
    <row r="124" spans="1:62" ht="12.75" hidden="1" customHeight="1">
      <c r="B124" s="51"/>
      <c r="C124" s="43" t="str">
        <f>IF(TABLERO!E124=0,"",TABLERO!E124)</f>
        <v>PLANTA</v>
      </c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5"/>
      <c r="X124" s="565"/>
      <c r="Y124" s="565"/>
      <c r="Z124" s="565"/>
      <c r="AA124" s="565"/>
      <c r="AB124" s="565"/>
      <c r="AC124" s="565"/>
      <c r="AD124" s="565"/>
      <c r="AE124" s="565"/>
      <c r="AF124" s="565"/>
      <c r="AG124" s="565"/>
      <c r="AH124" s="48">
        <f>IF(TABLERO!BB124=0,"",IF(TABLERO!$F$17&lt;&gt;"KVA",TABLERO!BB124*1000,TABLERO!BB124*1000/TABLERO!DA124))</f>
        <v>93443.01999999999</v>
      </c>
      <c r="AI124" s="48">
        <f>IF(TABLERO!BB124=0,"",IF(TABLERO!$F$17&lt;&gt;"KVA",TABLERO!BT124*1000,TABLERO!BT124*1000/TABLERO!DA124))</f>
        <v>74754.415999999997</v>
      </c>
      <c r="AJ124" s="44">
        <f>IF(OR(TABLERO!BU124="",TABLERO!BU124=0),"",TABLERO!BU124)</f>
        <v>218.23558124598586</v>
      </c>
      <c r="AK124" s="562">
        <f>IF(TABLERO!BB124=0,"",TABLERO!F124)</f>
        <v>3</v>
      </c>
      <c r="AL124" s="562">
        <f>IF(TABLERO!BB124=0,"",TABLERO!G124)</f>
        <v>4</v>
      </c>
      <c r="AM124" s="562">
        <f>IF(TABLERO!BB124=0,"",TABLERO!BV124)</f>
        <v>220</v>
      </c>
      <c r="AN124" s="44">
        <f>IF(TABLERO!BB124=0,"",TABLERO!K124)</f>
        <v>12</v>
      </c>
      <c r="AO124" s="562">
        <f>IF(TABLERO!BB124=0,"",TABLERO!J124)</f>
        <v>8</v>
      </c>
      <c r="AP124" s="44">
        <f>IF(TABLERO!BB124=0,"",TABLERO!CT124)</f>
        <v>0.7</v>
      </c>
      <c r="AQ124" s="44">
        <f>IF(TABLERO!BB124=0,"",TABLERO!CS124)</f>
        <v>1</v>
      </c>
      <c r="AR124" s="44">
        <f>IF(TABLERO!BB124=0,"",TABLERO!CY124)</f>
        <v>311.76511606569409</v>
      </c>
      <c r="AS124" s="562">
        <f>IF(TABLERO!BB124=0,"",TABLERO!N124)</f>
        <v>2</v>
      </c>
      <c r="AT124" s="43" t="str">
        <f>IF(TABLERO!BB124=0,"",TABLERO!BX124&amp;" "&amp;TABLERO!ED124&amp;", "&amp;TABLERO!I124)</f>
        <v>500 KCM, AL</v>
      </c>
      <c r="AU124" s="43"/>
      <c r="AV124" s="44">
        <f>IF(TABLERO!BB124=0,"",TABLERO!BZ124)</f>
        <v>0.20761825408485091</v>
      </c>
      <c r="AW124" s="562" t="str">
        <f>IF(TABLERO!BB124=0,"",TABLERO!CA124)</f>
        <v>1/0</v>
      </c>
      <c r="AX124" s="43" t="str">
        <f>IF(TABLERO!BB124=0,"",TABLERO!CB124)</f>
        <v>MC-STABILOY</v>
      </c>
      <c r="AY124" s="44">
        <f>IF(TABLERO!BB124=0,"",TABLERO!DL124)</f>
        <v>233.54936649734336</v>
      </c>
      <c r="AZ124" s="43" t="str">
        <f>IF(TABLERO!BB124=0,"",TABLERO!F124&amp;"P-"&amp;TABLERO!BW124&amp;"A")</f>
        <v>3P-250A</v>
      </c>
      <c r="BA124" s="44">
        <f>IF(TABLERO!BB124=0,"",TABLERO!CI124)</f>
        <v>32695.673333333336</v>
      </c>
      <c r="BB124" s="44">
        <f>IF(TABLERO!BB124=0,"",TABLERO!CJ124)</f>
        <v>33109.67333333334</v>
      </c>
      <c r="BC124" s="49">
        <f>IF(TABLERO!BB124=0,"",TABLERO!CK124)</f>
        <v>27637.673333333336</v>
      </c>
    </row>
    <row r="125" spans="1:62" ht="12.75" hidden="1" customHeight="1">
      <c r="B125" s="51"/>
      <c r="C125" s="43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5"/>
      <c r="X125" s="565"/>
      <c r="Y125" s="565"/>
      <c r="Z125" s="565"/>
      <c r="AA125" s="565"/>
      <c r="AB125" s="565"/>
      <c r="AC125" s="565"/>
      <c r="AD125" s="565"/>
      <c r="AE125" s="565"/>
      <c r="AF125" s="565"/>
      <c r="AG125" s="565"/>
      <c r="AH125" s="48"/>
      <c r="AI125" s="48"/>
      <c r="AJ125" s="44"/>
      <c r="AK125" s="562"/>
      <c r="AL125" s="562"/>
      <c r="AM125" s="562"/>
      <c r="AN125" s="44"/>
      <c r="AO125" s="562"/>
      <c r="AP125" s="44"/>
      <c r="AQ125" s="44"/>
      <c r="AR125" s="44"/>
      <c r="AS125" s="562"/>
      <c r="AT125" s="576"/>
      <c r="AU125" s="577"/>
      <c r="AV125" s="44"/>
      <c r="AW125" s="562"/>
      <c r="AX125" s="43"/>
      <c r="AY125" s="44"/>
      <c r="AZ125" s="576"/>
      <c r="BA125" s="44"/>
      <c r="BB125" s="44"/>
      <c r="BC125" s="49"/>
    </row>
    <row r="126" spans="1:62" ht="12.75" hidden="1" customHeight="1">
      <c r="B126" s="51"/>
      <c r="C126" s="43" t="str">
        <f>IF(TABLERO!E126=0,"",TABLERO!E126)</f>
        <v>TR</v>
      </c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5"/>
      <c r="X126" s="565"/>
      <c r="Y126" s="565"/>
      <c r="Z126" s="565"/>
      <c r="AA126" s="565"/>
      <c r="AB126" s="565"/>
      <c r="AC126" s="565"/>
      <c r="AD126" s="565"/>
      <c r="AE126" s="565"/>
      <c r="AF126" s="565"/>
      <c r="AG126" s="565"/>
      <c r="AH126" s="48">
        <f>IF(TABLERO!BB126=0,"",IF(TABLERO!$F$17&lt;&gt;"KVA",TABLERO!BB126*1000,TABLERO!BB126*1000/TABLERO!DA126))</f>
        <v>93443.01999999999</v>
      </c>
      <c r="AI126" s="48">
        <f>IF(TABLERO!BB126=0,"",IF(TABLERO!$F$17&lt;&gt;"KVA",TABLERO!BT126*1000,TABLERO!BT126*1000/TABLERO!DA126))</f>
        <v>74754.415999999997</v>
      </c>
      <c r="AJ126" s="44">
        <f>IF(OR(TABLERO!BU126="",TABLERO!BU126=0),"",TABLERO!BU126)</f>
        <v>218.23558124598586</v>
      </c>
      <c r="AK126" s="562">
        <f>IF(TABLERO!BB126=0,"",TABLERO!F126)</f>
        <v>3</v>
      </c>
      <c r="AL126" s="562">
        <f>IF(TABLERO!BB126=0,"",TABLERO!G126)</f>
        <v>4</v>
      </c>
      <c r="AM126" s="562">
        <f>IF(TABLERO!BB126=0,"",TABLERO!BV126)</f>
        <v>220</v>
      </c>
      <c r="AN126" s="44">
        <f>IF(TABLERO!BB126=0,"",TABLERO!K126)</f>
        <v>6</v>
      </c>
      <c r="AO126" s="562">
        <f>IF(TABLERO!BB126=0,"",TABLERO!J126)</f>
        <v>8</v>
      </c>
      <c r="AP126" s="44">
        <f>IF(TABLERO!BB126=0,"",TABLERO!CT126)</f>
        <v>0.7</v>
      </c>
      <c r="AQ126" s="44">
        <f>IF(TABLERO!BB126=0,"",TABLERO!CS126)</f>
        <v>1</v>
      </c>
      <c r="AR126" s="44">
        <f>IF(TABLERO!BB126=0,"",TABLERO!CY126)</f>
        <v>311.76511606569409</v>
      </c>
      <c r="AS126" s="562">
        <f>IF(TABLERO!BB126=0,"",TABLERO!N126)</f>
        <v>2</v>
      </c>
      <c r="AT126" s="43" t="str">
        <f>IF(TABLERO!BB126=0,"",TABLERO!BX126&amp;" "&amp;TABLERO!ED126&amp;", "&amp;TABLERO!I126)</f>
        <v>500 KCM, AL</v>
      </c>
      <c r="AU126" s="43"/>
      <c r="AV126" s="44">
        <f>IF(TABLERO!BB126=0,"",TABLERO!BZ126)</f>
        <v>0.10380912704242545</v>
      </c>
      <c r="AW126" s="562" t="str">
        <f>IF(TABLERO!BB126=0,"",TABLERO!CA126)</f>
        <v>1/0</v>
      </c>
      <c r="AX126" s="43" t="str">
        <f>IF(TABLERO!BB126=0,"",TABLERO!CB126)</f>
        <v>MC-STABILOY</v>
      </c>
      <c r="AY126" s="44">
        <f>IF(TABLERO!BB126=0,"",TABLERO!DL126)</f>
        <v>262.74303730951129</v>
      </c>
      <c r="AZ126" s="43" t="str">
        <f>IF(TABLERO!BB126=0,"",TABLERO!F126&amp;"P-"&amp;TABLERO!BW126&amp;"A")</f>
        <v>3P-300A</v>
      </c>
      <c r="BA126" s="44">
        <f>IF(TABLERO!BB126=0,"",TABLERO!CI126)</f>
        <v>32695.673333333336</v>
      </c>
      <c r="BB126" s="44">
        <f>IF(TABLERO!BB126=0,"",TABLERO!CJ126)</f>
        <v>33109.67333333334</v>
      </c>
      <c r="BC126" s="49">
        <f>IF(TABLERO!BB126=0,"",TABLERO!CK126)</f>
        <v>27637.673333333336</v>
      </c>
    </row>
    <row r="127" spans="1:62" ht="12.75" hidden="1" customHeight="1">
      <c r="B127" s="51"/>
      <c r="C127" s="43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5"/>
      <c r="X127" s="565"/>
      <c r="Y127" s="565"/>
      <c r="Z127" s="565"/>
      <c r="AA127" s="565"/>
      <c r="AB127" s="565"/>
      <c r="AC127" s="565"/>
      <c r="AD127" s="565"/>
      <c r="AE127" s="565"/>
      <c r="AF127" s="565"/>
      <c r="AG127" s="565"/>
      <c r="AH127" s="48"/>
      <c r="AI127" s="48"/>
      <c r="AJ127" s="44"/>
      <c r="AK127" s="562"/>
      <c r="AL127" s="562"/>
      <c r="AM127" s="562"/>
      <c r="AN127" s="44"/>
      <c r="AO127" s="562"/>
      <c r="AP127" s="44"/>
      <c r="AQ127" s="44"/>
      <c r="AR127" s="44"/>
      <c r="AS127" s="562"/>
      <c r="AT127" s="576"/>
      <c r="AU127" s="577"/>
      <c r="AV127" s="44"/>
      <c r="AW127" s="562"/>
      <c r="AX127" s="43"/>
      <c r="AY127" s="44"/>
      <c r="AZ127" s="576"/>
      <c r="BA127" s="44"/>
      <c r="BB127" s="44"/>
      <c r="BC127" s="49"/>
    </row>
    <row r="128" spans="1:62" ht="12.75" hidden="1" customHeight="1">
      <c r="B128" s="51"/>
      <c r="C128" s="43" t="str">
        <f>IF(TABLERO!E128=0,"",TABLERO!E128)</f>
        <v>TR</v>
      </c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5"/>
      <c r="X128" s="565"/>
      <c r="Y128" s="565"/>
      <c r="Z128" s="565"/>
      <c r="AA128" s="565"/>
      <c r="AB128" s="565"/>
      <c r="AC128" s="565"/>
      <c r="AD128" s="565"/>
      <c r="AE128" s="565"/>
      <c r="AF128" s="565"/>
      <c r="AG128" s="565"/>
      <c r="AH128" s="48">
        <f>IF(TABLERO!BB128=0,"",IF(TABLERO!$F$17&lt;&gt;"KVA",TABLERO!BB128*1000,TABLERO!BB128*1000/TABLERO!DA128))</f>
        <v>93443.01999999999</v>
      </c>
      <c r="AI128" s="48">
        <f>IF(TABLERO!BB128=0,"",IF(TABLERO!$F$17&lt;&gt;"KVA",TABLERO!BT128*1000,TABLERO!BT128*1000/TABLERO!DA128))</f>
        <v>74754.415999999997</v>
      </c>
      <c r="AJ128" s="44">
        <f>IF(OR(TABLERO!BU128="",TABLERO!BU128=0),"",TABLERO!BU128)</f>
        <v>218.23558124598586</v>
      </c>
      <c r="AK128" s="562">
        <f>IF(TABLERO!BB128=0,"",TABLERO!F128)</f>
        <v>3</v>
      </c>
      <c r="AL128" s="562">
        <f>IF(TABLERO!BB128=0,"",TABLERO!G128)</f>
        <v>4</v>
      </c>
      <c r="AM128" s="562">
        <f>IF(TABLERO!BB128=0,"",TABLERO!BV128)</f>
        <v>220</v>
      </c>
      <c r="AN128" s="44">
        <f>IF(TABLERO!BB128=0,"",TABLERO!K128)</f>
        <v>6</v>
      </c>
      <c r="AO128" s="562">
        <f>IF(TABLERO!BB128=0,"",TABLERO!J128)</f>
        <v>8</v>
      </c>
      <c r="AP128" s="44">
        <f>IF(TABLERO!BB128=0,"",TABLERO!CT128)</f>
        <v>0.7</v>
      </c>
      <c r="AQ128" s="44">
        <f>IF(TABLERO!BB128=0,"",TABLERO!CS128)</f>
        <v>1</v>
      </c>
      <c r="AR128" s="44">
        <f>IF(TABLERO!BB128=0,"",TABLERO!CY128)</f>
        <v>311.76511606569409</v>
      </c>
      <c r="AS128" s="562">
        <f>IF(TABLERO!BB128=0,"",TABLERO!N128)</f>
        <v>2</v>
      </c>
      <c r="AT128" s="43" t="str">
        <f>IF(TABLERO!BB128=0,"",TABLERO!BX128&amp;" "&amp;TABLERO!ED128&amp;", "&amp;TABLERO!I128)</f>
        <v>500 KCM, AL</v>
      </c>
      <c r="AU128" s="43"/>
      <c r="AV128" s="44">
        <f>IF(TABLERO!BB128=0,"",TABLERO!BZ128)</f>
        <v>0.10380912704242545</v>
      </c>
      <c r="AW128" s="562" t="str">
        <f>IF(TABLERO!BB128=0,"",TABLERO!CA128)</f>
        <v>1/0</v>
      </c>
      <c r="AX128" s="43" t="str">
        <f>IF(TABLERO!BB128=0,"",TABLERO!CB128)</f>
        <v>MC-STABILOY</v>
      </c>
      <c r="AY128" s="44">
        <f>IF(TABLERO!BB128=0,"",TABLERO!DL128)</f>
        <v>262.74303730951129</v>
      </c>
      <c r="AZ128" s="43" t="str">
        <f>IF(TABLERO!BB128=0,"",TABLERO!F128&amp;"P-"&amp;TABLERO!BW128&amp;"A")</f>
        <v>3P-300A</v>
      </c>
      <c r="BA128" s="44">
        <f>IF(TABLERO!BB128=0,"",TABLERO!CI128)</f>
        <v>32695.673333333336</v>
      </c>
      <c r="BB128" s="44">
        <f>IF(TABLERO!BB128=0,"",TABLERO!CJ128)</f>
        <v>33109.67333333334</v>
      </c>
      <c r="BC128" s="49">
        <f>IF(TABLERO!BB128=0,"",TABLERO!CK128)</f>
        <v>27637.673333333336</v>
      </c>
    </row>
    <row r="129" spans="2:55">
      <c r="B129" s="51"/>
      <c r="C129" s="43" t="s">
        <v>102</v>
      </c>
      <c r="D129" s="562" t="str">
        <f>D116</f>
        <v/>
      </c>
      <c r="E129" s="562">
        <f t="shared" ref="E129:AG129" si="4">E116</f>
        <v>1</v>
      </c>
      <c r="F129" s="562">
        <f t="shared" si="4"/>
        <v>4</v>
      </c>
      <c r="G129" s="562">
        <f t="shared" si="4"/>
        <v>1</v>
      </c>
      <c r="H129" s="562" t="str">
        <f t="shared" si="4"/>
        <v/>
      </c>
      <c r="I129" s="562" t="str">
        <f t="shared" si="4"/>
        <v/>
      </c>
      <c r="J129" s="562" t="str">
        <f t="shared" si="4"/>
        <v/>
      </c>
      <c r="K129" s="562" t="str">
        <f t="shared" si="4"/>
        <v/>
      </c>
      <c r="L129" s="562" t="str">
        <f t="shared" si="4"/>
        <v/>
      </c>
      <c r="M129" s="562" t="str">
        <f t="shared" si="4"/>
        <v/>
      </c>
      <c r="N129" s="562" t="str">
        <f t="shared" si="4"/>
        <v/>
      </c>
      <c r="O129" s="562" t="str">
        <f t="shared" si="4"/>
        <v/>
      </c>
      <c r="P129" s="562" t="str">
        <f t="shared" si="4"/>
        <v/>
      </c>
      <c r="Q129" s="562" t="str">
        <f t="shared" si="4"/>
        <v/>
      </c>
      <c r="R129" s="562" t="str">
        <f t="shared" si="4"/>
        <v/>
      </c>
      <c r="S129" s="562" t="str">
        <f t="shared" si="4"/>
        <v/>
      </c>
      <c r="T129" s="562" t="str">
        <f t="shared" si="4"/>
        <v/>
      </c>
      <c r="U129" s="562" t="str">
        <f t="shared" si="4"/>
        <v/>
      </c>
      <c r="V129" s="562" t="str">
        <f t="shared" si="4"/>
        <v/>
      </c>
      <c r="W129" s="562" t="str">
        <f t="shared" si="4"/>
        <v/>
      </c>
      <c r="X129" s="562" t="str">
        <f t="shared" si="4"/>
        <v/>
      </c>
      <c r="Y129" s="562" t="str">
        <f t="shared" si="4"/>
        <v/>
      </c>
      <c r="Z129" s="562" t="str">
        <f t="shared" si="4"/>
        <v/>
      </c>
      <c r="AA129" s="562" t="str">
        <f t="shared" si="4"/>
        <v/>
      </c>
      <c r="AB129" s="562" t="str">
        <f t="shared" si="4"/>
        <v/>
      </c>
      <c r="AC129" s="562" t="str">
        <f t="shared" si="4"/>
        <v/>
      </c>
      <c r="AD129" s="562" t="str">
        <f t="shared" si="4"/>
        <v/>
      </c>
      <c r="AE129" s="562" t="str">
        <f t="shared" si="4"/>
        <v/>
      </c>
      <c r="AF129" s="562" t="str">
        <f t="shared" si="4"/>
        <v/>
      </c>
      <c r="AG129" s="562" t="str">
        <f t="shared" si="4"/>
        <v/>
      </c>
      <c r="AH129" s="48">
        <f>IF(TABLERO!$M$18="UPS",AH126,IF(TABLERO!$M$18="PE",'CUADRO (1)'!AH122,IF(TABLERO!$M$18="TR",AH118,AH116)))</f>
        <v>93443.01999999999</v>
      </c>
      <c r="AI129" s="48">
        <f>IF(TABLERO!$M$18="UPS",AI126,IF(TABLERO!$M$18="PE",'CUADRO (1)'!AI122,IF(TABLERO!$M$18="TR",AI118,AI116)))</f>
        <v>74754.415999999997</v>
      </c>
      <c r="AJ129" s="48">
        <f>IF(TABLERO!$M$18="UPS",AJ126,IF(TABLERO!$M$18="PE",'CUADRO (1)'!AJ122,IF(TABLERO!$M$18="TR",AJ118,AJ116)))</f>
        <v>218.23558124598586</v>
      </c>
      <c r="AK129" s="562">
        <f>IF(TABLERO!$M$18="UPS",AK126,IF(TABLERO!$M$18="PE",'CUADRO (1)'!AK122,IF(TABLERO!$M$18="TR",AK118,AK116)))</f>
        <v>3</v>
      </c>
      <c r="AL129" s="562">
        <f>IF(TABLERO!$M$18="UPS",AL126,IF(TABLERO!$M$18="PE",'CUADRO (1)'!AL122,IF(TABLERO!$M$18="TR",AL118,AL116)))</f>
        <v>4</v>
      </c>
      <c r="AM129" s="562">
        <f>IF(TABLERO!$M$18="UPS",AM126,IF(TABLERO!$M$18="PE",'CUADRO (1)'!AM122,IF(TABLERO!$M$18="TR",AM118,AM116)))</f>
        <v>220</v>
      </c>
      <c r="AN129" s="48">
        <f>IF(TABLERO!$M$18="UPS",AN126,IF(TABLERO!$M$18="PE",'CUADRO (1)'!AN122,IF(TABLERO!$M$18="TR",AN118,AN116)))</f>
        <v>8</v>
      </c>
      <c r="AO129" s="562">
        <f>IF(TABLERO!$M$18="UPS",AO126,IF(TABLERO!$M$18="PE",'CUADRO (1)'!AO122,IF(TABLERO!$M$18="TR",AO118,AO116)))</f>
        <v>4</v>
      </c>
      <c r="AP129" s="48">
        <f>IF(TABLERO!$M$18="UPS",AP126,IF(TABLERO!$M$18="PE",'CUADRO (1)'!AP122,IF(TABLERO!$M$18="TR",AP118,AP116)))</f>
        <v>0.8</v>
      </c>
      <c r="AQ129" s="48">
        <f>IF(TABLERO!$M$18="UPS",AQ126,IF(TABLERO!$M$18="PE",'CUADRO (1)'!AQ122,IF(TABLERO!$M$18="TR",AQ118,AQ116)))</f>
        <v>1</v>
      </c>
      <c r="AR129" s="48">
        <f>IF(TABLERO!$M$18="UPS",AR126,IF(TABLERO!$M$18="PE",'CUADRO (1)'!AR122,IF(TABLERO!$M$18="TR",AR118,AR116)))</f>
        <v>272.79447655748231</v>
      </c>
      <c r="AS129" s="562">
        <f>IF(TABLERO!$M$18="UPS",AS126,IF(TABLERO!$M$18="PE",'CUADRO (1)'!AS122,IF(TABLERO!$M$18="TR",AS118,AS116)))</f>
        <v>1</v>
      </c>
      <c r="AT129" s="1081" t="str">
        <f>IF(TABLERO!$M$18="UPS",AT126,IF(TABLERO!$M$18="PE",'CUADRO (1)'!AT122,IF(TABLERO!$M$18="TR",AT118,AT116)))</f>
        <v>3/0 AWG, AL</v>
      </c>
      <c r="AU129" s="1082"/>
      <c r="AV129" s="63">
        <f>IF(TABLERO!$M$18="UPS",AV126,IF(TABLERO!$M$18="PE",'CUADRO (1)'!AV122,IF(TABLERO!$M$18="TR",AV118,AV116)))</f>
        <v>0.6336444765887701</v>
      </c>
      <c r="AW129" s="562">
        <f>IF(TABLERO!$M$18="UPS",AW126,IF(TABLERO!$M$18="PE",'CUADRO (1)'!AW122,IF(TABLERO!$M$18="TR",AW118,AW116)))</f>
        <v>4</v>
      </c>
      <c r="AX129" s="48" t="str">
        <f>IF(TABLERO!$M$18="UPS",AX126,IF(TABLERO!$M$18="PE",'CUADRO (1)'!AX122,IF(TABLERO!$M$18="TR",AX118,AX116)))</f>
        <v>MC-STABILOY</v>
      </c>
      <c r="AY129" s="48">
        <f>IF(TABLERO!$M$18="UPS",AY126,IF(TABLERO!$M$18="PE",'CUADRO (1)'!AY122,IF(TABLERO!$M$18="TR",AY118,AY116)))</f>
        <v>295.5859169732002</v>
      </c>
      <c r="AZ129" s="583" t="str">
        <f>IF(TABLERO!$M$18="UPS",AZ126,IF(TABLERO!$M$18="PE",'CUADRO (1)'!AZ122,IF(TABLERO!$M$18="TR",AZ118,AZ116)))</f>
        <v>3P-300A</v>
      </c>
      <c r="BA129" s="48">
        <f>IF(TABLERO!$M$18="UPS",BA126,IF(TABLERO!$M$18="PE",'CUADRO (1)'!BA122,IF(TABLERO!$M$18="TR",BA118,BA116)))</f>
        <v>32695.673333333336</v>
      </c>
      <c r="BB129" s="48">
        <f>IF(TABLERO!$M$18="UPS",BB126,IF(TABLERO!$M$18="PE",'CUADRO (1)'!BB122,IF(TABLERO!$M$18="TR",BB118,BB116)))</f>
        <v>33109.67333333334</v>
      </c>
      <c r="BC129" s="55">
        <f>IF(TABLERO!$M$18="UPS",BC126,IF(TABLERO!$M$18="PE",'CUADRO (1)'!BC122,IF(TABLERO!$M$18="TR",BC118,BC116)))</f>
        <v>27637.673333333336</v>
      </c>
    </row>
    <row r="130" spans="2:55" ht="13.8" thickBot="1">
      <c r="B130" s="56"/>
      <c r="C130" s="57" t="s">
        <v>103</v>
      </c>
      <c r="D130" s="58" t="str">
        <f>D117</f>
        <v/>
      </c>
      <c r="E130" s="58">
        <f t="shared" ref="E130:AG130" si="5">E117</f>
        <v>15825.348000000002</v>
      </c>
      <c r="F130" s="58">
        <f t="shared" si="5"/>
        <v>22881.671999999999</v>
      </c>
      <c r="G130" s="58">
        <f t="shared" si="5"/>
        <v>2500</v>
      </c>
      <c r="H130" s="58" t="str">
        <f t="shared" si="5"/>
        <v/>
      </c>
      <c r="I130" s="58" t="str">
        <f t="shared" si="5"/>
        <v/>
      </c>
      <c r="J130" s="58" t="str">
        <f t="shared" si="5"/>
        <v/>
      </c>
      <c r="K130" s="58" t="str">
        <f t="shared" si="5"/>
        <v/>
      </c>
      <c r="L130" s="58" t="str">
        <f t="shared" si="5"/>
        <v/>
      </c>
      <c r="M130" s="58" t="str">
        <f t="shared" si="5"/>
        <v/>
      </c>
      <c r="N130" s="58" t="str">
        <f t="shared" si="5"/>
        <v/>
      </c>
      <c r="O130" s="58" t="str">
        <f t="shared" si="5"/>
        <v/>
      </c>
      <c r="P130" s="58" t="str">
        <f t="shared" si="5"/>
        <v/>
      </c>
      <c r="Q130" s="58" t="str">
        <f t="shared" si="5"/>
        <v/>
      </c>
      <c r="R130" s="58" t="str">
        <f t="shared" si="5"/>
        <v/>
      </c>
      <c r="S130" s="58" t="str">
        <f t="shared" si="5"/>
        <v/>
      </c>
      <c r="T130" s="58" t="str">
        <f t="shared" si="5"/>
        <v/>
      </c>
      <c r="U130" s="58" t="str">
        <f t="shared" si="5"/>
        <v/>
      </c>
      <c r="V130" s="58" t="str">
        <f t="shared" si="5"/>
        <v/>
      </c>
      <c r="W130" s="58" t="str">
        <f t="shared" si="5"/>
        <v/>
      </c>
      <c r="X130" s="58" t="str">
        <f t="shared" si="5"/>
        <v/>
      </c>
      <c r="Y130" s="58" t="str">
        <f t="shared" si="5"/>
        <v/>
      </c>
      <c r="Z130" s="58" t="str">
        <f t="shared" si="5"/>
        <v/>
      </c>
      <c r="AA130" s="58" t="str">
        <f t="shared" si="5"/>
        <v/>
      </c>
      <c r="AB130" s="58" t="str">
        <f t="shared" si="5"/>
        <v/>
      </c>
      <c r="AC130" s="58" t="str">
        <f t="shared" si="5"/>
        <v/>
      </c>
      <c r="AD130" s="58" t="str">
        <f t="shared" si="5"/>
        <v/>
      </c>
      <c r="AE130" s="58" t="str">
        <f t="shared" si="5"/>
        <v/>
      </c>
      <c r="AF130" s="58" t="str">
        <f t="shared" si="5"/>
        <v/>
      </c>
      <c r="AG130" s="58" t="str">
        <f t="shared" si="5"/>
        <v/>
      </c>
      <c r="AH130" s="59"/>
      <c r="AI130" s="60"/>
      <c r="AJ130" s="60"/>
      <c r="AK130" s="564"/>
      <c r="AL130" s="564"/>
      <c r="AM130" s="564"/>
      <c r="AN130" s="60"/>
      <c r="AO130" s="564"/>
      <c r="AP130" s="60"/>
      <c r="AQ130" s="60"/>
      <c r="AR130" s="60"/>
      <c r="AS130" s="564"/>
      <c r="AT130" s="1078"/>
      <c r="AU130" s="1078"/>
      <c r="AV130" s="60"/>
      <c r="AW130" s="564"/>
      <c r="AX130" s="60"/>
      <c r="AY130" s="60"/>
      <c r="AZ130" s="584"/>
      <c r="BA130" s="60"/>
      <c r="BB130" s="60"/>
      <c r="BC130" s="61"/>
    </row>
    <row r="131" spans="2:55">
      <c r="AK131" s="573"/>
      <c r="AL131" s="573"/>
      <c r="AM131" s="573"/>
      <c r="AO131" s="573"/>
      <c r="AS131" s="573"/>
      <c r="AW131" s="574"/>
    </row>
    <row r="132" spans="2:55">
      <c r="AO132" s="573"/>
      <c r="AS132" s="573"/>
      <c r="AW132" s="574"/>
    </row>
    <row r="133" spans="2:55">
      <c r="AS133" s="573"/>
      <c r="AW133" s="574"/>
    </row>
    <row r="134" spans="2:55">
      <c r="AS134" s="573"/>
    </row>
  </sheetData>
  <sheetProtection formatCells="0" formatColumns="0" formatRows="0"/>
  <mergeCells count="195">
    <mergeCell ref="AT109:AU109"/>
    <mergeCell ref="AT110:AU110"/>
    <mergeCell ref="AT111:AU111"/>
    <mergeCell ref="AT112:AU112"/>
    <mergeCell ref="AT113:AU113"/>
    <mergeCell ref="AT114:AU114"/>
    <mergeCell ref="AT103:AU103"/>
    <mergeCell ref="AT104:AU104"/>
    <mergeCell ref="AT105:AU105"/>
    <mergeCell ref="AT106:AU106"/>
    <mergeCell ref="AT107:AU107"/>
    <mergeCell ref="AT108:AU108"/>
    <mergeCell ref="AT97:AU97"/>
    <mergeCell ref="AT98:AU98"/>
    <mergeCell ref="AT99:AU99"/>
    <mergeCell ref="AT100:AU100"/>
    <mergeCell ref="AT101:AU101"/>
    <mergeCell ref="AT102:AU102"/>
    <mergeCell ref="AT91:AU91"/>
    <mergeCell ref="AT92:AU92"/>
    <mergeCell ref="AT93:AU93"/>
    <mergeCell ref="AT94:AU94"/>
    <mergeCell ref="AT95:AU95"/>
    <mergeCell ref="AT96:AU96"/>
    <mergeCell ref="AT85:AU85"/>
    <mergeCell ref="AT86:AU86"/>
    <mergeCell ref="AT87:AU87"/>
    <mergeCell ref="AT88:AU88"/>
    <mergeCell ref="AT89:AU89"/>
    <mergeCell ref="AT90:AU90"/>
    <mergeCell ref="AT79:AU79"/>
    <mergeCell ref="AT80:AU80"/>
    <mergeCell ref="AT81:AU81"/>
    <mergeCell ref="AT82:AU82"/>
    <mergeCell ref="AT83:AU83"/>
    <mergeCell ref="AT84:AU84"/>
    <mergeCell ref="AT34:AU34"/>
    <mergeCell ref="AT35:AU35"/>
    <mergeCell ref="AT73:AU73"/>
    <mergeCell ref="AT74:AU74"/>
    <mergeCell ref="AT75:AU75"/>
    <mergeCell ref="AT76:AU76"/>
    <mergeCell ref="AT67:AU67"/>
    <mergeCell ref="AT69:AU69"/>
    <mergeCell ref="AT52:AU52"/>
    <mergeCell ref="AT53:AU53"/>
    <mergeCell ref="AT54:AU54"/>
    <mergeCell ref="AT55:AU55"/>
    <mergeCell ref="AT56:AU56"/>
    <mergeCell ref="AT63:AU63"/>
    <mergeCell ref="AT64:AU64"/>
    <mergeCell ref="AT115:AU115"/>
    <mergeCell ref="AY18:AZ18"/>
    <mergeCell ref="AY19:AZ19"/>
    <mergeCell ref="AY20:AZ20"/>
    <mergeCell ref="AY21:AZ21"/>
    <mergeCell ref="AY22:AZ22"/>
    <mergeCell ref="AZ25:AZ29"/>
    <mergeCell ref="AT66:AU66"/>
    <mergeCell ref="AT68:AU68"/>
    <mergeCell ref="AT71:AU71"/>
    <mergeCell ref="AT57:AU57"/>
    <mergeCell ref="AT50:AU50"/>
    <mergeCell ref="AT51:AU51"/>
    <mergeCell ref="AT47:AU47"/>
    <mergeCell ref="AT48:AU48"/>
    <mergeCell ref="AT49:AU49"/>
    <mergeCell ref="AT44:AU44"/>
    <mergeCell ref="AT77:AU77"/>
    <mergeCell ref="AT78:AU78"/>
    <mergeCell ref="AT43:AU43"/>
    <mergeCell ref="AT37:AU37"/>
    <mergeCell ref="AT38:AU38"/>
    <mergeCell ref="AU23:AW24"/>
    <mergeCell ref="AT70:AU70"/>
    <mergeCell ref="BA15:BA24"/>
    <mergeCell ref="AS18:AT18"/>
    <mergeCell ref="AS19:AT19"/>
    <mergeCell ref="AS15:AW15"/>
    <mergeCell ref="AS16:AT16"/>
    <mergeCell ref="AS17:AT17"/>
    <mergeCell ref="AK18:AR19"/>
    <mergeCell ref="AK20:AR21"/>
    <mergeCell ref="AS22:AT22"/>
    <mergeCell ref="AU16:AW16"/>
    <mergeCell ref="AU17:AW17"/>
    <mergeCell ref="AU18:AW18"/>
    <mergeCell ref="AU19:AW19"/>
    <mergeCell ref="AU20:AW20"/>
    <mergeCell ref="AU22:AW22"/>
    <mergeCell ref="AY16:AZ16"/>
    <mergeCell ref="AY17:AZ17"/>
    <mergeCell ref="AK15:AR15"/>
    <mergeCell ref="AO16:AR16"/>
    <mergeCell ref="AO17:AR17"/>
    <mergeCell ref="AK16:AN16"/>
    <mergeCell ref="AK17:AN17"/>
    <mergeCell ref="AX23:AX24"/>
    <mergeCell ref="AY23:AZ24"/>
    <mergeCell ref="AQ11:AR11"/>
    <mergeCell ref="AQ8:AR8"/>
    <mergeCell ref="AQ9:AR9"/>
    <mergeCell ref="AQ10:AR10"/>
    <mergeCell ref="AQ7:AS7"/>
    <mergeCell ref="AQ12:AR12"/>
    <mergeCell ref="AQ14:AR14"/>
    <mergeCell ref="AT27:AU29"/>
    <mergeCell ref="AT31:AU31"/>
    <mergeCell ref="AT30:AU30"/>
    <mergeCell ref="AH24:AR24"/>
    <mergeCell ref="AL27:AL29"/>
    <mergeCell ref="AH25:AM26"/>
    <mergeCell ref="AH18:AJ18"/>
    <mergeCell ref="AS20:AT20"/>
    <mergeCell ref="AS21:AT21"/>
    <mergeCell ref="AS23:AT24"/>
    <mergeCell ref="AQ13:AR13"/>
    <mergeCell ref="AK27:AK29"/>
    <mergeCell ref="AK22:AR23"/>
    <mergeCell ref="AH15:AJ17"/>
    <mergeCell ref="AH22:AJ23"/>
    <mergeCell ref="AP27:AP29"/>
    <mergeCell ref="AQ27:AQ29"/>
    <mergeCell ref="AG27:AG28"/>
    <mergeCell ref="AE27:AE28"/>
    <mergeCell ref="AB27:AB28"/>
    <mergeCell ref="U27:U28"/>
    <mergeCell ref="V27:V28"/>
    <mergeCell ref="AH27:AH29"/>
    <mergeCell ref="AJ27:AJ29"/>
    <mergeCell ref="AI27:AI29"/>
    <mergeCell ref="BB15:BC21"/>
    <mergeCell ref="AH19:AJ19"/>
    <mergeCell ref="AH20:AJ20"/>
    <mergeCell ref="AH21:AJ21"/>
    <mergeCell ref="AU21:AW21"/>
    <mergeCell ref="Y27:Y28"/>
    <mergeCell ref="AC27:AC28"/>
    <mergeCell ref="AD27:AD28"/>
    <mergeCell ref="AF27:AF28"/>
    <mergeCell ref="Z27:Z28"/>
    <mergeCell ref="AM27:AM29"/>
    <mergeCell ref="AN25:AV26"/>
    <mergeCell ref="AR27:AR29"/>
    <mergeCell ref="AV27:AV29"/>
    <mergeCell ref="AN27:AN29"/>
    <mergeCell ref="AO27:AO29"/>
    <mergeCell ref="AS27:AS29"/>
    <mergeCell ref="BA25:BC27"/>
    <mergeCell ref="AW25:AW29"/>
    <mergeCell ref="AX25:AX29"/>
    <mergeCell ref="AY25:AY29"/>
    <mergeCell ref="BA28:BC28"/>
    <mergeCell ref="A8:C9"/>
    <mergeCell ref="B15:AG22"/>
    <mergeCell ref="P27:P28"/>
    <mergeCell ref="Q27:Q28"/>
    <mergeCell ref="R27:R28"/>
    <mergeCell ref="J27:J28"/>
    <mergeCell ref="C27:C28"/>
    <mergeCell ref="AA27:AA28"/>
    <mergeCell ref="L27:L28"/>
    <mergeCell ref="I27:I28"/>
    <mergeCell ref="M27:M28"/>
    <mergeCell ref="N27:N28"/>
    <mergeCell ref="S27:S28"/>
    <mergeCell ref="T27:T28"/>
    <mergeCell ref="O27:O28"/>
    <mergeCell ref="X27:X28"/>
    <mergeCell ref="B23:B29"/>
    <mergeCell ref="K27:K28"/>
    <mergeCell ref="D27:D28"/>
    <mergeCell ref="E27:E28"/>
    <mergeCell ref="F27:F28"/>
    <mergeCell ref="G27:G28"/>
    <mergeCell ref="H27:H28"/>
    <mergeCell ref="W27:W28"/>
    <mergeCell ref="AT130:AU130"/>
    <mergeCell ref="AT39:AU39"/>
    <mergeCell ref="AT40:AU40"/>
    <mergeCell ref="AT41:AU41"/>
    <mergeCell ref="AT42:AU42"/>
    <mergeCell ref="AT45:AU45"/>
    <mergeCell ref="AT46:AU46"/>
    <mergeCell ref="AT36:AU36"/>
    <mergeCell ref="AT32:AU32"/>
    <mergeCell ref="AT33:AU33"/>
    <mergeCell ref="AT129:AU129"/>
    <mergeCell ref="AT58:AU58"/>
    <mergeCell ref="AT65:AU65"/>
    <mergeCell ref="AT72:AU72"/>
    <mergeCell ref="AT59:AU59"/>
    <mergeCell ref="AT60:AU60"/>
    <mergeCell ref="AT61:AU61"/>
    <mergeCell ref="AT62:AU62"/>
  </mergeCells>
  <phoneticPr fontId="6" type="noConversion"/>
  <conditionalFormatting sqref="D14:AG14">
    <cfRule type="cellIs" dxfId="2" priority="1" stopIfTrue="1" operator="equal">
      <formula>""</formula>
    </cfRule>
  </conditionalFormatting>
  <pageMargins left="0.75" right="0.75" top="1" bottom="1" header="0" footer="0"/>
  <pageSetup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/>
  <dimension ref="A1:J210"/>
  <sheetViews>
    <sheetView showGridLines="0" view="pageBreakPreview" topLeftCell="A106" zoomScaleNormal="100" zoomScaleSheetLayoutView="100" workbookViewId="0">
      <selection activeCell="D122" sqref="D122"/>
    </sheetView>
  </sheetViews>
  <sheetFormatPr baseColWidth="10" defaultColWidth="11.44140625" defaultRowHeight="13.2"/>
  <cols>
    <col min="1" max="4" width="11.44140625" style="593"/>
    <col min="5" max="5" width="12.33203125" style="593" bestFit="1" customWidth="1"/>
    <col min="6" max="16384" width="11.44140625" style="593"/>
  </cols>
  <sheetData>
    <row r="1" spans="1:7" ht="17.399999999999999">
      <c r="A1" s="1181" t="s">
        <v>224</v>
      </c>
      <c r="B1" s="1181"/>
      <c r="C1" s="1181"/>
      <c r="D1" s="631">
        <f>TABLERO!R10</f>
        <v>2</v>
      </c>
      <c r="E1" s="1180" t="str">
        <f>VLOOKUP($D$1,TABLERO!$B$31:$FF$115,4,0)</f>
        <v>TAB-B</v>
      </c>
      <c r="F1" s="1180"/>
      <c r="G1" s="1180"/>
    </row>
    <row r="14" spans="1:7" ht="17.399999999999999">
      <c r="A14" s="630" t="s">
        <v>643</v>
      </c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>
      <c r="A18" s="594"/>
      <c r="B18" s="594"/>
      <c r="C18" s="594"/>
      <c r="D18" s="594"/>
      <c r="E18" s="594"/>
      <c r="F18" s="594"/>
      <c r="G18" s="594"/>
    </row>
    <row r="19" spans="1:7">
      <c r="A19" s="594"/>
      <c r="B19" s="594"/>
      <c r="C19" s="594"/>
      <c r="D19" s="594"/>
      <c r="E19" s="594"/>
      <c r="F19" s="594"/>
      <c r="G19" s="594"/>
    </row>
    <row r="20" spans="1:7" ht="17.399999999999999">
      <c r="A20" s="630" t="s">
        <v>38</v>
      </c>
      <c r="B20" s="629"/>
      <c r="C20" s="629"/>
      <c r="D20" s="629"/>
      <c r="E20" s="629"/>
      <c r="F20" s="629"/>
      <c r="G20" s="629"/>
    </row>
    <row r="21" spans="1:7" ht="17.399999999999999">
      <c r="A21" s="630" t="s">
        <v>205</v>
      </c>
      <c r="B21" s="629"/>
      <c r="C21" s="629"/>
      <c r="D21" s="629"/>
      <c r="E21" s="629"/>
      <c r="F21" s="629"/>
      <c r="G21" s="629"/>
    </row>
    <row r="22" spans="1:7" ht="17.399999999999999">
      <c r="A22" s="630" t="s">
        <v>644</v>
      </c>
      <c r="B22" s="629"/>
      <c r="C22" s="629"/>
      <c r="D22" s="629"/>
      <c r="E22" s="629"/>
      <c r="F22" s="629"/>
      <c r="G22" s="629"/>
    </row>
    <row r="23" spans="1:7" ht="17.399999999999999">
      <c r="A23" s="630" t="s">
        <v>40</v>
      </c>
      <c r="B23" s="629"/>
      <c r="C23" s="629"/>
      <c r="D23" s="629"/>
      <c r="E23" s="629"/>
      <c r="F23" s="629"/>
      <c r="G23" s="629"/>
    </row>
    <row r="24" spans="1:7" ht="17.399999999999999">
      <c r="A24" s="630" t="s">
        <v>206</v>
      </c>
      <c r="B24" s="629"/>
      <c r="C24" s="629"/>
      <c r="D24" s="629"/>
      <c r="E24" s="629"/>
      <c r="F24" s="629"/>
      <c r="G24" s="629"/>
    </row>
    <row r="25" spans="1:7" ht="17.399999999999999">
      <c r="A25" s="1184" t="str">
        <f>IF(E113="","","CTO: "&amp;E113)</f>
        <v>CTO: 2,4,6</v>
      </c>
      <c r="B25" s="1184"/>
      <c r="C25" s="1184"/>
      <c r="D25" s="1184"/>
      <c r="E25" s="1184"/>
      <c r="F25" s="1184"/>
      <c r="G25" s="1184"/>
    </row>
    <row r="26" spans="1:7" ht="17.399999999999999">
      <c r="A26" s="632" t="str">
        <f>IF(E112="","","DE: "&amp;E112)</f>
        <v>DE: TAB-G</v>
      </c>
      <c r="B26" s="629"/>
      <c r="C26" s="629"/>
      <c r="D26" s="629"/>
      <c r="E26" s="629"/>
      <c r="F26" s="629"/>
      <c r="G26" s="629"/>
    </row>
    <row r="27" spans="1:7" ht="17.399999999999999">
      <c r="A27" s="633"/>
      <c r="B27" s="594"/>
      <c r="C27" s="594"/>
      <c r="D27" s="594"/>
      <c r="E27" s="594"/>
      <c r="F27" s="594"/>
      <c r="G27" s="594"/>
    </row>
    <row r="33" spans="1:7" ht="17.399999999999999">
      <c r="B33" s="595" t="str">
        <f>IF(TABLERO!F5=0,"","PROYECTO:")</f>
        <v>PROYECTO:</v>
      </c>
      <c r="C33" s="634" t="str">
        <f>IF(TABLERO!F5=0,"",TABLERO!F5)</f>
        <v>BODEGA</v>
      </c>
    </row>
    <row r="34" spans="1:7" ht="17.399999999999999">
      <c r="B34" s="595"/>
    </row>
    <row r="35" spans="1:7" ht="17.399999999999999">
      <c r="B35" s="595" t="str">
        <f>IF(TABLERO!M5=0,"","CLIENTE:")</f>
        <v>CLIENTE:</v>
      </c>
      <c r="C35" s="635" t="str">
        <f>IF(TABLERO!M5=0,"",TABLERO!M5)</f>
        <v>YUNEXPRESS</v>
      </c>
    </row>
    <row r="47" spans="1:7">
      <c r="A47" s="596" t="s">
        <v>710</v>
      </c>
      <c r="B47" s="597" t="str">
        <f>IF(TABLERO!R11=0,"",TABLERO!R11)</f>
        <v>D.M.S.</v>
      </c>
      <c r="C47" s="598" t="s">
        <v>714</v>
      </c>
      <c r="D47" s="599" t="s">
        <v>715</v>
      </c>
      <c r="E47" s="600"/>
      <c r="F47" s="601" t="s">
        <v>713</v>
      </c>
      <c r="G47" s="601" t="s">
        <v>712</v>
      </c>
    </row>
    <row r="48" spans="1:7">
      <c r="A48" s="596" t="s">
        <v>711</v>
      </c>
      <c r="B48" s="597" t="str">
        <f>IF(TABLERO!R12=0,"",TABLERO!R12)</f>
        <v>M.M.S.</v>
      </c>
      <c r="C48" s="602" t="str">
        <f>IF(TABLERO!P19=0,"",TABLERO!P19)</f>
        <v/>
      </c>
      <c r="D48" s="603" t="str">
        <f>IF(TABLERO!Q19=0,"",TABLERO!Q19)</f>
        <v/>
      </c>
      <c r="E48" s="604"/>
      <c r="F48" s="605" t="str">
        <f>IF(TABLERO!R19=0,"",TABLERO!R19)</f>
        <v/>
      </c>
      <c r="G48" s="605" t="str">
        <f>IF(TABLERO!S19=0,"",TABLERO!S19)</f>
        <v/>
      </c>
    </row>
    <row r="49" spans="1:7">
      <c r="A49" s="596" t="s">
        <v>712</v>
      </c>
      <c r="B49" s="597" t="str">
        <f>IF(TABLERO!R13=0,"",TABLERO!R13)</f>
        <v>D.M.S.</v>
      </c>
      <c r="C49" s="602" t="str">
        <f>IF(TABLERO!P20=0,"",TABLERO!P20)</f>
        <v/>
      </c>
      <c r="D49" s="603" t="str">
        <f>IF(TABLERO!Q20=0,"",TABLERO!Q20)</f>
        <v/>
      </c>
      <c r="E49" s="604"/>
      <c r="F49" s="605" t="str">
        <f>IF(TABLERO!R20=0,"",TABLERO!R20)</f>
        <v/>
      </c>
      <c r="G49" s="605" t="str">
        <f>IF(TABLERO!S20=0,"",TABLERO!S20)</f>
        <v/>
      </c>
    </row>
    <row r="50" spans="1:7">
      <c r="A50" s="606" t="s">
        <v>713</v>
      </c>
      <c r="B50" s="951" t="str">
        <f>IF(TABLERO!R14=0,"",TABLERO!R14)</f>
        <v/>
      </c>
      <c r="C50" s="608" t="str">
        <f>IF(TABLERO!P21=0,"",TABLERO!P21)</f>
        <v/>
      </c>
      <c r="D50" s="609" t="str">
        <f>IF(TABLERO!Q21=0,"",TABLERO!Q21)</f>
        <v/>
      </c>
      <c r="E50" s="610"/>
      <c r="F50" s="605" t="str">
        <f>IF(TABLERO!R21=0,"",TABLERO!R21)</f>
        <v/>
      </c>
      <c r="G50" s="605" t="str">
        <f>IF(TABLERO!S21=0,"",TABLERO!S21)</f>
        <v/>
      </c>
    </row>
    <row r="52" spans="1:7" ht="17.399999999999999">
      <c r="A52" s="630" t="s">
        <v>210</v>
      </c>
      <c r="B52" s="594"/>
      <c r="C52" s="594"/>
      <c r="D52" s="594"/>
      <c r="E52" s="594"/>
      <c r="F52" s="594"/>
      <c r="G52" s="594"/>
    </row>
    <row r="54" spans="1:7" ht="15">
      <c r="A54" s="769" t="s">
        <v>211</v>
      </c>
      <c r="B54" s="656" t="s">
        <v>790</v>
      </c>
    </row>
    <row r="55" spans="1:7" ht="15">
      <c r="A55" s="769"/>
      <c r="B55" s="656"/>
    </row>
    <row r="56" spans="1:7" ht="15">
      <c r="A56" s="769" t="s">
        <v>212</v>
      </c>
      <c r="B56" s="656" t="s">
        <v>717</v>
      </c>
    </row>
    <row r="57" spans="1:7" ht="15">
      <c r="A57" s="769"/>
      <c r="B57" s="656"/>
    </row>
    <row r="58" spans="1:7" ht="15">
      <c r="A58" s="769" t="s">
        <v>213</v>
      </c>
      <c r="B58" s="656" t="s">
        <v>791</v>
      </c>
    </row>
    <row r="59" spans="1:7" ht="15">
      <c r="A59" s="769"/>
      <c r="B59" s="656"/>
    </row>
    <row r="60" spans="1:7" ht="15" hidden="1">
      <c r="A60" s="769"/>
      <c r="B60" s="656"/>
    </row>
    <row r="61" spans="1:7" ht="15">
      <c r="A61" s="769" t="s">
        <v>214</v>
      </c>
      <c r="B61" s="656" t="s">
        <v>792</v>
      </c>
    </row>
    <row r="62" spans="1:7" ht="15">
      <c r="A62" s="769"/>
      <c r="B62" s="656"/>
    </row>
    <row r="63" spans="1:7" ht="15" hidden="1">
      <c r="A63" s="769"/>
      <c r="B63" s="656"/>
    </row>
    <row r="64" spans="1:7" ht="15">
      <c r="A64" s="769" t="s">
        <v>215</v>
      </c>
      <c r="B64" s="656" t="s">
        <v>793</v>
      </c>
    </row>
    <row r="65" spans="1:7" ht="15">
      <c r="A65" s="769"/>
      <c r="B65" s="656"/>
    </row>
    <row r="66" spans="1:7" ht="15">
      <c r="A66" s="769" t="s">
        <v>216</v>
      </c>
      <c r="B66" s="656" t="s">
        <v>794</v>
      </c>
    </row>
    <row r="67" spans="1:7" ht="15">
      <c r="A67" s="769"/>
      <c r="B67" s="656"/>
    </row>
    <row r="68" spans="1:7" ht="15">
      <c r="A68" s="769" t="s">
        <v>217</v>
      </c>
      <c r="B68" s="656" t="s">
        <v>722</v>
      </c>
    </row>
    <row r="73" spans="1:7" ht="17.399999999999999">
      <c r="A73" s="646" t="s">
        <v>218</v>
      </c>
      <c r="B73" s="594"/>
      <c r="C73" s="594"/>
      <c r="D73" s="594"/>
      <c r="E73" s="594"/>
      <c r="F73" s="594"/>
      <c r="G73" s="594"/>
    </row>
    <row r="77" spans="1:7">
      <c r="A77" s="593" t="s">
        <v>795</v>
      </c>
    </row>
    <row r="78" spans="1:7">
      <c r="A78" s="593" t="s">
        <v>796</v>
      </c>
    </row>
    <row r="79" spans="1:7">
      <c r="A79" s="593" t="s">
        <v>797</v>
      </c>
    </row>
    <row r="85" spans="1:2" ht="17.399999999999999">
      <c r="A85" s="646" t="s">
        <v>219</v>
      </c>
    </row>
    <row r="86" spans="1:2" ht="17.399999999999999">
      <c r="A86" s="646"/>
    </row>
    <row r="88" spans="1:2">
      <c r="A88" s="611">
        <v>2.1</v>
      </c>
      <c r="B88" s="593" t="s">
        <v>798</v>
      </c>
    </row>
    <row r="89" spans="1:2">
      <c r="A89" s="611"/>
      <c r="B89" s="593" t="s">
        <v>799</v>
      </c>
    </row>
    <row r="90" spans="1:2">
      <c r="A90" s="611"/>
      <c r="B90" s="593" t="s">
        <v>800</v>
      </c>
    </row>
    <row r="91" spans="1:2">
      <c r="A91" s="611"/>
    </row>
    <row r="92" spans="1:2">
      <c r="A92" s="611">
        <v>2.2000000000000002</v>
      </c>
      <c r="B92" s="593" t="s">
        <v>817</v>
      </c>
    </row>
    <row r="93" spans="1:2">
      <c r="A93" s="611"/>
      <c r="B93" s="593" t="s">
        <v>801</v>
      </c>
    </row>
    <row r="94" spans="1:2">
      <c r="A94" s="611"/>
    </row>
    <row r="95" spans="1:2">
      <c r="A95" s="611"/>
      <c r="B95" s="612" t="s">
        <v>220</v>
      </c>
    </row>
    <row r="96" spans="1:2">
      <c r="A96" s="611"/>
      <c r="B96" s="612" t="s">
        <v>610</v>
      </c>
    </row>
    <row r="97" spans="1:10">
      <c r="A97" s="611"/>
      <c r="B97" s="612"/>
    </row>
    <row r="98" spans="1:10">
      <c r="A98" s="613"/>
      <c r="B98" s="593" t="s">
        <v>802</v>
      </c>
      <c r="C98" s="614"/>
      <c r="D98" s="614"/>
      <c r="E98" s="614"/>
      <c r="F98" s="614"/>
      <c r="G98" s="614"/>
      <c r="H98" s="614"/>
    </row>
    <row r="99" spans="1:10">
      <c r="A99" s="613"/>
      <c r="C99" s="614"/>
      <c r="D99" s="614"/>
      <c r="E99" s="614"/>
      <c r="F99" s="614"/>
      <c r="G99" s="614"/>
      <c r="H99" s="614"/>
    </row>
    <row r="100" spans="1:10">
      <c r="A100" s="613"/>
      <c r="C100" s="614"/>
      <c r="D100" s="614"/>
      <c r="E100" s="614"/>
      <c r="F100" s="614"/>
      <c r="G100" s="614"/>
      <c r="H100" s="614"/>
    </row>
    <row r="101" spans="1:10">
      <c r="A101" s="613"/>
      <c r="C101" s="614"/>
      <c r="D101" s="614"/>
      <c r="E101" s="614"/>
      <c r="F101" s="614"/>
      <c r="G101" s="614"/>
      <c r="H101" s="614"/>
    </row>
    <row r="102" spans="1:10">
      <c r="A102" s="613"/>
      <c r="C102" s="614"/>
      <c r="D102" s="614"/>
      <c r="E102" s="614"/>
      <c r="F102" s="614"/>
      <c r="G102" s="614"/>
      <c r="H102" s="614"/>
    </row>
    <row r="103" spans="1:10">
      <c r="A103" s="613"/>
      <c r="C103" s="614"/>
      <c r="D103" s="614"/>
      <c r="E103" s="614"/>
      <c r="F103" s="614"/>
      <c r="G103" s="614"/>
      <c r="H103" s="614"/>
    </row>
    <row r="104" spans="1:10" ht="15">
      <c r="A104" s="772" t="s">
        <v>875</v>
      </c>
    </row>
    <row r="106" spans="1:10">
      <c r="A106" s="771" t="s">
        <v>222</v>
      </c>
      <c r="I106" s="593" t="s">
        <v>522</v>
      </c>
    </row>
    <row r="107" spans="1:10">
      <c r="D107" s="615" t="s">
        <v>803</v>
      </c>
      <c r="E107" s="637" t="str">
        <f>IF(VLOOKUP($D$1,TABLERO!$B$31:$FF$115,4,0)="","",VLOOKUP($D$1,TABLERO!$B$31:$FF$115,4,0))</f>
        <v>TAB-B</v>
      </c>
      <c r="I107" s="611" t="str">
        <f>VLOOKUP($D$1,TABLERO!$B$31:$FF$115,7,0)</f>
        <v>TB</v>
      </c>
      <c r="J107" s="593">
        <f>IF(OR(I107="M",I107="MV")=TRUE,H126,VLOOKUP($D$1,TABLERO!$B$31:$FF$115,53,0)*1000)</f>
        <v>9831.9999999999982</v>
      </c>
    </row>
    <row r="108" spans="1:10">
      <c r="D108" s="615" t="s">
        <v>804</v>
      </c>
      <c r="E108" s="953">
        <f>IF(OR(I107="M",I107="MV")=TRUE,IF(H126=0,I126,VLOOKUP($D$1,TABLERO!$B$31:$FF$115,53,0)*1000),J107)</f>
        <v>9831.9999999999982</v>
      </c>
      <c r="F108" s="593" t="str">
        <f>IF(H126&lt;&gt;"","HP","Watts")</f>
        <v>Watts</v>
      </c>
      <c r="I108" s="611">
        <f t="array" ref="I108">POR_DISPARO(I107,H35)</f>
        <v>100</v>
      </c>
    </row>
    <row r="109" spans="1:10">
      <c r="D109" s="615" t="s">
        <v>805</v>
      </c>
      <c r="E109" s="651">
        <f>VLOOKUP($D$1,TABLERO!$B$31:$FF$115,73,0)</f>
        <v>220</v>
      </c>
      <c r="F109" s="593" t="s">
        <v>223</v>
      </c>
    </row>
    <row r="110" spans="1:10">
      <c r="D110" s="615" t="s">
        <v>806</v>
      </c>
      <c r="E110" s="651">
        <f>VLOOKUP($D$1,TABLERO!$B$31:$FF$115,5,0)</f>
        <v>3</v>
      </c>
    </row>
    <row r="111" spans="1:10">
      <c r="D111" s="615" t="s">
        <v>807</v>
      </c>
      <c r="E111" s="651">
        <f>VLOOKUP($D$1,TABLERO!$B$31:$FF$115,6,0)</f>
        <v>4</v>
      </c>
    </row>
    <row r="112" spans="1:10">
      <c r="D112" s="615" t="s">
        <v>319</v>
      </c>
      <c r="E112" s="616" t="str">
        <f>TABLERO!E116</f>
        <v>TAB-G</v>
      </c>
    </row>
    <row r="113" spans="1:10">
      <c r="D113" s="615" t="s">
        <v>808</v>
      </c>
      <c r="E113" s="616" t="str">
        <f>H113&amp;I113&amp;J113</f>
        <v>2,4,6</v>
      </c>
      <c r="H113" s="593">
        <f>VLOOKUP($D$1,TABLERO!$B$31:$FF$115,1,0)</f>
        <v>2</v>
      </c>
      <c r="I113" s="593" t="str">
        <f>IF(VLOOKUP($D$1,TABLERO!$B$31:$FF$115,2,0)=0,"",","&amp;VLOOKUP($D$1,TABLERO!$B$31:$FF$115,2,0))</f>
        <v>,4</v>
      </c>
      <c r="J113" s="593" t="str">
        <f>IF(VLOOKUP($D$1,TABLERO!$B$31:$FF$115,3,0)=0,"",","&amp;VLOOKUP($D$1,TABLERO!$B$31:$FF$115,3,0))</f>
        <v>,6</v>
      </c>
    </row>
    <row r="114" spans="1:10">
      <c r="D114" s="615" t="s">
        <v>809</v>
      </c>
      <c r="E114" s="616" t="str">
        <f>VLOOKUP($D$1,TABLERO!$B$31:$FF$115,8,0)</f>
        <v>CU</v>
      </c>
    </row>
    <row r="115" spans="1:10">
      <c r="D115" s="615" t="s">
        <v>810</v>
      </c>
      <c r="E115" s="616" t="str">
        <f>IF(E114&lt;&gt;"AL","THW-LS","XHHW-LS")</f>
        <v>THW-LS</v>
      </c>
      <c r="F115" s="623" t="str">
        <f>IF(D128&gt;100, " A 90° C"," A 75°C")</f>
        <v xml:space="preserve"> A 75°C</v>
      </c>
    </row>
    <row r="116" spans="1:10">
      <c r="D116" s="615" t="s">
        <v>331</v>
      </c>
      <c r="E116" s="650">
        <f>TABLERO!F13</f>
        <v>30</v>
      </c>
      <c r="F116" s="593" t="s">
        <v>30</v>
      </c>
    </row>
    <row r="117" spans="1:10">
      <c r="D117" s="615" t="s">
        <v>744</v>
      </c>
      <c r="E117" s="650">
        <f>IF(D128&gt;100,75,60)</f>
        <v>60</v>
      </c>
      <c r="F117" s="593" t="s">
        <v>30</v>
      </c>
    </row>
    <row r="118" spans="1:10">
      <c r="D118" s="615" t="s">
        <v>504</v>
      </c>
      <c r="E118" s="616"/>
    </row>
    <row r="119" spans="1:10">
      <c r="D119" s="615" t="s">
        <v>811</v>
      </c>
      <c r="E119" s="650">
        <f>VLOOKUP($D$1,TABLERO!$B$31:$FF$115,10,0)</f>
        <v>40</v>
      </c>
      <c r="F119" s="593" t="s">
        <v>119</v>
      </c>
    </row>
    <row r="120" spans="1:10">
      <c r="D120" s="615" t="s">
        <v>746</v>
      </c>
      <c r="E120" s="650">
        <f>VLOOKUP($D$1,TABLERO!$B$31:$FF$115,104,0)</f>
        <v>0.9</v>
      </c>
      <c r="F120" s="593" t="s">
        <v>225</v>
      </c>
    </row>
    <row r="121" spans="1:10">
      <c r="D121" s="618" t="s">
        <v>747</v>
      </c>
      <c r="E121" s="651">
        <f>VLOOKUP($D$1,TABLERO!$B$31:$FF$115,9,0)</f>
        <v>4</v>
      </c>
      <c r="G121" s="639">
        <f>VLOOKUP($D$1,TABLERO!$B$31:$FF$115,12,0)</f>
        <v>1</v>
      </c>
    </row>
    <row r="122" spans="1:10">
      <c r="D122" s="615" t="s">
        <v>748</v>
      </c>
      <c r="E122" s="640" t="str">
        <f>IF(G121=1,"TUBO Fe GALVANIZADO",IF(G121=6,"DUCTO CUADRADO",IF(G121=7,"PVC","CHAROLA")))</f>
        <v>TUBO Fe GALVANIZADO</v>
      </c>
    </row>
    <row r="123" spans="1:10">
      <c r="D123" s="615"/>
      <c r="E123" s="640"/>
    </row>
    <row r="124" spans="1:10">
      <c r="A124" s="771" t="s">
        <v>876</v>
      </c>
      <c r="D124" s="615"/>
      <c r="E124" s="640"/>
    </row>
    <row r="126" spans="1:10">
      <c r="A126" s="1182" t="str">
        <f>IF(H126&lt;&gt;"","Obteniedo la corriente de las tablas 430-248, 430-249, 430-250 según corresponda; de acuerdo con 430-6(a)(1).","Tomando la siguiente Fórmula y sustituyendo valores, tenemos::")</f>
        <v>Tomando la siguiente Fórmula y sustituyendo valores, tenemos::</v>
      </c>
      <c r="B126" s="1182"/>
      <c r="C126" s="1182"/>
      <c r="D126" s="1182"/>
      <c r="E126" s="1182"/>
      <c r="F126" s="1182"/>
      <c r="G126" s="1182"/>
      <c r="H126" s="593" t="str">
        <f>IF(VLOOKUP($D$1,TABLERO!$B$31:$FF$115,143,0)=0,"",VLOOKUP($D$1,TABLERO!$B$31:$FF$115,143,0))</f>
        <v/>
      </c>
      <c r="I126" s="593">
        <f>VLOOKUP($D$1,TABLERO!$B$31:$FF$115,53,0)*1000</f>
        <v>9831.9999999999982</v>
      </c>
    </row>
    <row r="127" spans="1:10">
      <c r="A127" s="620"/>
      <c r="B127" s="1183" t="str">
        <f>IF(H126&lt;&gt;"",""," WATTS")</f>
        <v xml:space="preserve"> WATTS</v>
      </c>
      <c r="C127" s="1183"/>
      <c r="D127" s="620"/>
      <c r="E127" s="620"/>
      <c r="F127" s="620"/>
      <c r="G127" s="620"/>
    </row>
    <row r="128" spans="1:10">
      <c r="A128" s="593" t="s">
        <v>221</v>
      </c>
      <c r="B128" s="1178" t="str">
        <f>IF(H126&lt;&gt;"","In=","In = --------------------- =")</f>
        <v>In = --------------------- =</v>
      </c>
      <c r="C128" s="1178"/>
      <c r="D128" s="641">
        <f>VLOOKUP($D$1,TABLERO!$B$31:$FF$115,72,0)</f>
        <v>28.703217142523496</v>
      </c>
      <c r="E128" s="593" t="s">
        <v>32</v>
      </c>
    </row>
    <row r="129" spans="1:8">
      <c r="B129" s="1178" t="str">
        <f>IF(H126&lt;&gt;"","",H129)</f>
        <v>1.73 x Vf x F.P.</v>
      </c>
      <c r="C129" s="1178"/>
      <c r="H129" s="593" t="str">
        <f>IF(E110=1,"Vfn x F.P.",IF(E110=3,"1.73 x Vf x F.P.", IF(AND(E110=2,E111=2),"Vf x F.P.",IF(AND(E110=2,E111=3),"2 x Vfn x P.P."))))</f>
        <v>1.73 x Vf x F.P.</v>
      </c>
    </row>
    <row r="130" spans="1:8">
      <c r="A130" s="593" t="str" cm="1">
        <f t="array" ref="A130">TEXTO_AMPACIDAD(I107)</f>
        <v>3.3 Corriente corregida</v>
      </c>
    </row>
    <row r="131" spans="1:8">
      <c r="C131" s="1178" t="str">
        <f>IF(OR(I107="M",I107="MV", I107="A")=TRUE,"1.25 x  In",IF(I107="BC","1.35 x In","In"))</f>
        <v>In</v>
      </c>
      <c r="D131" s="1178"/>
    </row>
    <row r="132" spans="1:8">
      <c r="A132" s="593" t="s">
        <v>221</v>
      </c>
      <c r="C132" s="1179" t="s">
        <v>255</v>
      </c>
      <c r="D132" s="1179"/>
    </row>
    <row r="133" spans="1:8">
      <c r="C133" s="593" t="s">
        <v>227</v>
      </c>
    </row>
    <row r="134" spans="1:8">
      <c r="A134" s="593" t="s">
        <v>788</v>
      </c>
      <c r="D134" s="638">
        <f>VLOOKUP($D$1,TABLERO!$B$31:$FF$115,96,0)</f>
        <v>1</v>
      </c>
      <c r="E134" s="593" t="s">
        <v>625</v>
      </c>
    </row>
    <row r="135" spans="1:8">
      <c r="A135" s="593" t="s">
        <v>789</v>
      </c>
      <c r="D135" s="638">
        <f>VLOOKUP($D$1,TABLERO!$B$31:$FF$115,97,0)</f>
        <v>0.8</v>
      </c>
      <c r="E135" s="593" t="s">
        <v>624</v>
      </c>
    </row>
    <row r="137" spans="1:8">
      <c r="A137" s="593" t="s">
        <v>221</v>
      </c>
      <c r="B137" s="615" t="s">
        <v>230</v>
      </c>
      <c r="C137" s="641">
        <f>VLOOKUP($D$1,TABLERO!$B$31:$FF$115,102,0)</f>
        <v>35.879021428154367</v>
      </c>
      <c r="D137" s="593" t="s">
        <v>32</v>
      </c>
    </row>
    <row r="139" spans="1:8">
      <c r="A139" s="593" t="s">
        <v>877</v>
      </c>
    </row>
    <row r="141" spans="1:8">
      <c r="B141" s="593" t="s">
        <v>231</v>
      </c>
    </row>
    <row r="143" spans="1:8">
      <c r="A143" s="593" t="s">
        <v>812</v>
      </c>
    </row>
    <row r="144" spans="1:8">
      <c r="A144" s="593" t="s">
        <v>813</v>
      </c>
    </row>
    <row r="145" spans="1:9">
      <c r="A145" s="593" t="s">
        <v>814</v>
      </c>
    </row>
    <row r="148" spans="1:9">
      <c r="A148" s="593" t="s">
        <v>815</v>
      </c>
    </row>
    <row r="149" spans="1:9">
      <c r="A149" s="593" t="s">
        <v>816</v>
      </c>
      <c r="D149" s="611">
        <f>VLOOKUP($D$1,TABLERO!$B$31:$FF$115,75,0)</f>
        <v>4</v>
      </c>
      <c r="E149" s="643" t="str">
        <f>VLOOKUP($D$1,TABLERO!$B$31:$FF$115,133,0)</f>
        <v>AWG</v>
      </c>
      <c r="F149" s="644" t="str">
        <f>"de "&amp;E114</f>
        <v>de CU</v>
      </c>
      <c r="I149" s="593">
        <f>VLOOKUP($D$1,TABLERO!$B$31:$FF$115,1,0)</f>
        <v>2</v>
      </c>
    </row>
    <row r="151" spans="1:9">
      <c r="B151" s="615" t="s">
        <v>232</v>
      </c>
      <c r="C151" s="642">
        <f>VLOOKUP($D$1,TABLERO!$B$31:$FF$115,107,0)</f>
        <v>50</v>
      </c>
      <c r="D151" s="611" t="s">
        <v>233</v>
      </c>
      <c r="E151" s="622">
        <f>C137</f>
        <v>35.879021428154367</v>
      </c>
      <c r="F151" s="593" t="s">
        <v>32</v>
      </c>
    </row>
    <row r="156" spans="1:9" ht="15">
      <c r="A156" s="772" t="s">
        <v>878</v>
      </c>
    </row>
    <row r="158" spans="1:9">
      <c r="A158" s="771" t="s">
        <v>879</v>
      </c>
    </row>
    <row r="159" spans="1:9">
      <c r="B159" s="593" t="str">
        <f>IF(E110=3,"e=  1.73 x I L ( R Cos q + X Sen q ) / 1000","e=  2 I L ( R Cos q + X Sen q ) / 1000")</f>
        <v>e=  1.73 x I L ( R Cos q + X Sen q ) / 1000</v>
      </c>
    </row>
    <row r="160" spans="1:9">
      <c r="A160" s="593" t="s">
        <v>234</v>
      </c>
    </row>
    <row r="161" spans="1:7">
      <c r="B161" s="615" t="s">
        <v>235</v>
      </c>
      <c r="D161" s="593" t="s">
        <v>880</v>
      </c>
    </row>
    <row r="162" spans="1:7">
      <c r="B162" s="615" t="s">
        <v>236</v>
      </c>
      <c r="C162" s="622">
        <f>D128</f>
        <v>28.703217142523496</v>
      </c>
      <c r="D162" s="593" t="s">
        <v>592</v>
      </c>
    </row>
    <row r="163" spans="1:7">
      <c r="B163" s="615" t="s">
        <v>244</v>
      </c>
      <c r="C163" s="617">
        <f>VLOOKUP($D$1,TABLERO!$B$31:$FF$115,13,0)</f>
        <v>1</v>
      </c>
      <c r="D163" s="623"/>
    </row>
    <row r="164" spans="1:7">
      <c r="B164" s="615" t="s">
        <v>520</v>
      </c>
      <c r="C164" s="624">
        <f>VLOOKUP($D$1,TABLERO!$B$31:$FF$115,75,0)</f>
        <v>4</v>
      </c>
      <c r="D164" s="623" t="str">
        <f>VLOOKUP($D$1,TABLERO!$B$31:$FF$115,133,0)&amp;" "&amp;E114</f>
        <v>AWG CU</v>
      </c>
      <c r="E164" s="593" t="s">
        <v>521</v>
      </c>
      <c r="F164" s="622">
        <f>VLOOKUP($D$1,TABLERO!$B$31:$FF$115,76,0)</f>
        <v>70</v>
      </c>
      <c r="G164" s="593" t="s">
        <v>589</v>
      </c>
    </row>
    <row r="165" spans="1:7">
      <c r="B165" s="615" t="s">
        <v>237</v>
      </c>
      <c r="C165" s="625">
        <f>VLOOKUP($D$1,TABLERO!$B$31:$FF$115,118,0)</f>
        <v>1.02</v>
      </c>
      <c r="D165" s="593" t="s">
        <v>523</v>
      </c>
    </row>
    <row r="166" spans="1:7">
      <c r="B166" s="615" t="s">
        <v>238</v>
      </c>
      <c r="C166" s="625">
        <f>VLOOKUP($D$1,TABLERO!$B$31:$FF$115,119,0)</f>
        <v>0.19700000000000001</v>
      </c>
      <c r="D166" s="593" t="s">
        <v>524</v>
      </c>
    </row>
    <row r="167" spans="1:7">
      <c r="B167" s="615" t="s">
        <v>239</v>
      </c>
      <c r="C167" s="625">
        <f>ACOS(C168)</f>
        <v>0.45102681179626236</v>
      </c>
      <c r="D167" s="593" t="s">
        <v>818</v>
      </c>
    </row>
    <row r="168" spans="1:7">
      <c r="B168" s="615" t="s">
        <v>240</v>
      </c>
      <c r="C168" s="622">
        <f>E120</f>
        <v>0.9</v>
      </c>
      <c r="D168" s="593" t="s">
        <v>819</v>
      </c>
    </row>
    <row r="169" spans="1:7">
      <c r="B169" s="615" t="s">
        <v>241</v>
      </c>
      <c r="C169" s="625">
        <f>SIN(C167)</f>
        <v>0.43588989435406728</v>
      </c>
      <c r="D169" s="593" t="s">
        <v>820</v>
      </c>
    </row>
    <row r="170" spans="1:7">
      <c r="B170" s="615" t="s">
        <v>242</v>
      </c>
      <c r="C170" s="625">
        <f>E119</f>
        <v>40</v>
      </c>
      <c r="D170" s="593" t="s">
        <v>821</v>
      </c>
    </row>
    <row r="171" spans="1:7">
      <c r="A171" s="593" t="s">
        <v>822</v>
      </c>
    </row>
    <row r="172" spans="1:7">
      <c r="B172" s="615" t="s">
        <v>235</v>
      </c>
      <c r="C172" s="641">
        <f>VLOOKUP($D$1,TABLERO!$B$31:$FF$115,122,0)</f>
        <v>1.9939500767543368</v>
      </c>
      <c r="D172" s="593" t="s">
        <v>248</v>
      </c>
    </row>
    <row r="173" spans="1:7">
      <c r="A173" s="593" t="s">
        <v>709</v>
      </c>
    </row>
    <row r="174" spans="1:7">
      <c r="B174" s="593" t="s">
        <v>505</v>
      </c>
      <c r="D174" s="641">
        <f>VLOOKUP($D$1,TABLERO!$B$31:$FF$115,77,0)</f>
        <v>0.90634094397924403</v>
      </c>
      <c r="E174" s="593" t="s">
        <v>106</v>
      </c>
    </row>
    <row r="176" spans="1:7" s="626" customFormat="1" ht="17.399999999999999">
      <c r="A176" s="646" t="s">
        <v>881</v>
      </c>
    </row>
    <row r="178" spans="1:7">
      <c r="A178" s="593" t="s">
        <v>823</v>
      </c>
      <c r="D178" s="642">
        <f>D149</f>
        <v>4</v>
      </c>
      <c r="E178" s="593" t="str">
        <f>VLOOKUP($D$1,TABLERO!$B$31:$FF$115,133,0)</f>
        <v>AWG</v>
      </c>
      <c r="F178" s="644" t="str">
        <f>IF(E114&lt;&gt;"AL","De Cobre","De Aluminio")</f>
        <v>De Cobre</v>
      </c>
    </row>
    <row r="179" spans="1:7">
      <c r="A179" s="593" t="s">
        <v>778</v>
      </c>
      <c r="D179" s="642">
        <f>C164</f>
        <v>4</v>
      </c>
      <c r="E179" s="593" t="str">
        <f>VLOOKUP($D$1,TABLERO!$B$31:$FF$115,133,0)</f>
        <v>AWG</v>
      </c>
      <c r="F179" s="644" t="str">
        <f>IF(E114&lt;&gt;"AL","De Cobre","De Aluminio")</f>
        <v>De Cobre</v>
      </c>
    </row>
    <row r="180" spans="1:7">
      <c r="A180" s="593" t="s">
        <v>824</v>
      </c>
      <c r="D180" s="627">
        <f>E111*C163</f>
        <v>4</v>
      </c>
      <c r="E180" s="593" t="s">
        <v>250</v>
      </c>
      <c r="F180" s="642">
        <f>D179</f>
        <v>4</v>
      </c>
      <c r="G180" s="593" t="str">
        <f>E179</f>
        <v>AWG</v>
      </c>
    </row>
    <row r="181" spans="1:7">
      <c r="D181" s="627"/>
      <c r="F181" s="642" t="str">
        <f>IF(E114&lt;&gt;"AL","De Cobre","De Aluminio")</f>
        <v>De Cobre</v>
      </c>
    </row>
    <row r="182" spans="1:7">
      <c r="D182" s="627"/>
      <c r="F182" s="642"/>
    </row>
    <row r="183" spans="1:7" s="656" customFormat="1" ht="15">
      <c r="A183" s="772" t="s">
        <v>868</v>
      </c>
      <c r="D183" s="773"/>
      <c r="F183" s="774"/>
    </row>
    <row r="184" spans="1:7" s="656" customFormat="1" ht="15">
      <c r="A184" s="772" t="s">
        <v>882</v>
      </c>
    </row>
    <row r="186" spans="1:7">
      <c r="A186" s="593" t="str" cm="1">
        <f t="array" ref="A186">TEXTO_DISPARO(I107)</f>
        <v>La protección del circuito se realiza de acuerdo al art. , por lo que</v>
      </c>
    </row>
    <row r="187" spans="1:7">
      <c r="A187" s="593" t="s">
        <v>825</v>
      </c>
    </row>
    <row r="189" spans="1:7">
      <c r="A189" s="954" t="s">
        <v>826</v>
      </c>
      <c r="E189" s="955">
        <f>I108</f>
        <v>100</v>
      </c>
    </row>
    <row r="190" spans="1:7">
      <c r="A190" s="593" t="s">
        <v>827</v>
      </c>
    </row>
    <row r="191" spans="1:7">
      <c r="B191" s="615" t="s">
        <v>230</v>
      </c>
      <c r="C191" s="622">
        <f>D128</f>
        <v>28.703217142523496</v>
      </c>
      <c r="D191" s="621" t="s">
        <v>32</v>
      </c>
    </row>
    <row r="192" spans="1:7">
      <c r="B192" s="615" t="s">
        <v>828</v>
      </c>
      <c r="C192" s="622">
        <f>VLOOKUP($D$1,TABLERO!$B$31:$FF$115,115,0)</f>
        <v>28.703217142523496</v>
      </c>
      <c r="D192" s="593" t="s">
        <v>32</v>
      </c>
    </row>
    <row r="194" spans="1:6">
      <c r="A194" s="593" t="str">
        <f>"Interruptor Termomágnetico de " &amp; E110 &amp; " Polos,"</f>
        <v>Interruptor Termomágnetico de 3 Polos,</v>
      </c>
      <c r="B194" s="628"/>
      <c r="C194" s="611"/>
      <c r="D194" s="627">
        <f>VLOOKUP($D$1,TABLERO!$B$31:$FF$115,74,0)</f>
        <v>60</v>
      </c>
      <c r="E194" s="593" t="s">
        <v>829</v>
      </c>
    </row>
    <row r="196" spans="1:6" s="656" customFormat="1" ht="15">
      <c r="A196" s="772" t="s">
        <v>870</v>
      </c>
    </row>
    <row r="197" spans="1:6">
      <c r="A197" s="593" t="s">
        <v>221</v>
      </c>
    </row>
    <row r="198" spans="1:6">
      <c r="A198" s="593" t="s">
        <v>830</v>
      </c>
    </row>
    <row r="199" spans="1:6">
      <c r="A199" s="593" t="s">
        <v>831</v>
      </c>
    </row>
    <row r="201" spans="1:6">
      <c r="A201" s="627">
        <f>$E$111*$C$163</f>
        <v>4</v>
      </c>
      <c r="B201" s="593" t="s">
        <v>250</v>
      </c>
      <c r="C201" s="642">
        <f>D179</f>
        <v>4</v>
      </c>
      <c r="D201" s="593" t="str">
        <f>D164</f>
        <v>AWG CU</v>
      </c>
      <c r="E201" s="593" t="s">
        <v>832</v>
      </c>
    </row>
    <row r="202" spans="1:6">
      <c r="A202" s="611">
        <f>A203</f>
        <v>1</v>
      </c>
      <c r="B202" s="615" t="s">
        <v>292</v>
      </c>
      <c r="C202" s="642">
        <f>VLOOKUP($D$1,TABLERO!$B$31:$FF$115,78,0)</f>
        <v>6</v>
      </c>
      <c r="D202" s="593" t="s">
        <v>253</v>
      </c>
      <c r="E202" s="593" t="s">
        <v>833</v>
      </c>
    </row>
    <row r="203" spans="1:6">
      <c r="A203" s="617">
        <f>VLOOKUP($D$1,TABLERO!$B$31:$FF$115,14,0)</f>
        <v>1</v>
      </c>
      <c r="B203" s="621"/>
      <c r="C203" s="642" t="str">
        <f>VLOOKUP($D$1,TABLERO!$B$31:$FF$115,79,0)</f>
        <v>T-35 mm</v>
      </c>
      <c r="D203" s="621"/>
      <c r="E203" s="593" t="s">
        <v>787</v>
      </c>
    </row>
    <row r="204" spans="1:6">
      <c r="A204" s="593" t="s">
        <v>834</v>
      </c>
      <c r="E204" s="642">
        <f>D194</f>
        <v>60</v>
      </c>
      <c r="F204" s="593" t="s">
        <v>835</v>
      </c>
    </row>
    <row r="205" spans="1:6">
      <c r="B205" s="645"/>
    </row>
    <row r="210" spans="3:3">
      <c r="C210" s="644"/>
    </row>
  </sheetData>
  <sheetProtection algorithmName="SHA-512" hashValue="dKPGlue8kiD3YkrzcXB946t+sITpdNo42b/K67qDIweh8OAxfJdcQ1bnlI/uAeqexj2AeK+h/Q4M1IgX3uLZew==" saltValue="xBzAe8D9hdHx4zubR6//pA==" spinCount="100000" sheet="1" objects="1" scenarios="1"/>
  <mergeCells count="9">
    <mergeCell ref="C131:D131"/>
    <mergeCell ref="C132:D132"/>
    <mergeCell ref="E1:G1"/>
    <mergeCell ref="B129:C129"/>
    <mergeCell ref="A1:C1"/>
    <mergeCell ref="A126:G126"/>
    <mergeCell ref="B127:C127"/>
    <mergeCell ref="B128:C128"/>
    <mergeCell ref="A25:G25"/>
  </mergeCells>
  <phoneticPr fontId="6" type="noConversion"/>
  <printOptions horizontalCentered="1" vertic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3" manualBreakCount="3">
    <brk id="51" max="16383" man="1"/>
    <brk id="103" max="6" man="1"/>
    <brk id="1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/>
  <dimension ref="A12:IU293"/>
  <sheetViews>
    <sheetView showGridLines="0" view="pageBreakPreview" topLeftCell="A36" zoomScaleNormal="100" zoomScaleSheetLayoutView="100" workbookViewId="0">
      <selection activeCell="A59" sqref="A59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7" width="11.44140625" style="593" customWidth="1"/>
    <col min="8" max="8" width="6.33203125" style="593" customWidth="1"/>
    <col min="9" max="255" width="11.44140625" style="593" hidden="1" customWidth="1"/>
    <col min="256" max="16384" width="6.10937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/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">
        <v>19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"TABLERO DE DISTRIBUCIÓN ''"&amp;TABLERO!E25&amp;""""</f>
        <v>TABLERO DE DISTRIBUCIÓN ''G"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951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">
        <v>718</v>
      </c>
    </row>
    <row r="60" spans="1:7" s="656" customFormat="1" ht="15">
      <c r="A60" s="770"/>
    </row>
    <row r="61" spans="1:7" s="656" customFormat="1" ht="15">
      <c r="A61" s="769" t="s">
        <v>214</v>
      </c>
      <c r="B61" s="656" t="s">
        <v>719</v>
      </c>
    </row>
    <row r="62" spans="1:7" s="656" customFormat="1" ht="15">
      <c r="A62" s="770"/>
    </row>
    <row r="63" spans="1:7" s="656" customFormat="1" ht="15" hidden="1">
      <c r="A63" s="770"/>
    </row>
    <row r="64" spans="1:7" s="656" customFormat="1" ht="15">
      <c r="A64" s="769" t="s">
        <v>215</v>
      </c>
      <c r="B64" s="656" t="s">
        <v>720</v>
      </c>
    </row>
    <row r="65" spans="1:7" s="656" customFormat="1" ht="15">
      <c r="A65" s="770"/>
    </row>
    <row r="66" spans="1:7" s="656" customFormat="1" ht="15" hidden="1">
      <c r="A66" s="770"/>
    </row>
    <row r="67" spans="1:7" s="656" customFormat="1" ht="15">
      <c r="A67" s="769" t="s">
        <v>216</v>
      </c>
      <c r="B67" s="656" t="s">
        <v>721</v>
      </c>
    </row>
    <row r="68" spans="1:7">
      <c r="A68" s="611"/>
    </row>
    <row r="69" spans="1:7" ht="17.399999999999999">
      <c r="A69" s="636" t="s">
        <v>217</v>
      </c>
      <c r="B69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4" spans="1:7">
      <c r="A74" s="593" t="s">
        <v>723</v>
      </c>
    </row>
    <row r="75" spans="1:7">
      <c r="A75" s="593" t="s">
        <v>724</v>
      </c>
    </row>
    <row r="76" spans="1:7">
      <c r="A76" s="593" t="s">
        <v>725</v>
      </c>
    </row>
    <row r="78" spans="1:7" s="777" customFormat="1" ht="15.6">
      <c r="A78" s="777" t="s">
        <v>219</v>
      </c>
    </row>
    <row r="80" spans="1:7">
      <c r="A80" s="611">
        <v>2.1</v>
      </c>
      <c r="B80" s="593" t="s">
        <v>726</v>
      </c>
    </row>
    <row r="81" spans="1:8">
      <c r="A81" s="611"/>
      <c r="B81" s="593" t="s">
        <v>727</v>
      </c>
    </row>
    <row r="82" spans="1:8">
      <c r="A82" s="611"/>
      <c r="B82" s="593" t="s">
        <v>728</v>
      </c>
    </row>
    <row r="83" spans="1:8">
      <c r="A83" s="611"/>
    </row>
    <row r="84" spans="1:8">
      <c r="A84" s="611"/>
    </row>
    <row r="85" spans="1:8">
      <c r="A85" s="611">
        <v>2.2000000000000002</v>
      </c>
      <c r="B85" s="593" t="s">
        <v>729</v>
      </c>
    </row>
    <row r="86" spans="1:8">
      <c r="A86" s="611"/>
      <c r="B86" s="593" t="s">
        <v>507</v>
      </c>
    </row>
    <row r="87" spans="1:8">
      <c r="A87" s="611"/>
    </row>
    <row r="88" spans="1:8">
      <c r="A88" s="611"/>
      <c r="B88" s="612" t="s">
        <v>220</v>
      </c>
    </row>
    <row r="89" spans="1:8">
      <c r="A89" s="611"/>
      <c r="B89" s="612" t="s">
        <v>706</v>
      </c>
    </row>
    <row r="90" spans="1:8">
      <c r="A90" s="611"/>
      <c r="B90" s="612" t="s">
        <v>256</v>
      </c>
    </row>
    <row r="91" spans="1:8">
      <c r="A91" s="611"/>
    </row>
    <row r="92" spans="1:8">
      <c r="A92" s="613"/>
      <c r="B92" s="593" t="s">
        <v>730</v>
      </c>
      <c r="C92" s="614"/>
      <c r="D92" s="614"/>
      <c r="E92" s="614"/>
      <c r="F92" s="614"/>
      <c r="G92" s="614"/>
      <c r="H92" s="614"/>
    </row>
    <row r="93" spans="1:8">
      <c r="A93" s="613"/>
      <c r="B93" s="614"/>
      <c r="C93" s="614"/>
      <c r="D93" s="614"/>
      <c r="E93" s="614"/>
      <c r="F93" s="614"/>
      <c r="G93" s="614"/>
      <c r="H93" s="614"/>
    </row>
    <row r="94" spans="1:8">
      <c r="A94" s="613"/>
      <c r="B94" s="614"/>
      <c r="C94" s="614"/>
      <c r="D94" s="614"/>
      <c r="E94" s="614"/>
      <c r="F94" s="614"/>
      <c r="G94" s="614"/>
      <c r="H94" s="614"/>
    </row>
    <row r="95" spans="1:8">
      <c r="A95" s="613"/>
      <c r="B95" s="614"/>
      <c r="C95" s="614"/>
      <c r="D95" s="614"/>
      <c r="E95" s="614"/>
      <c r="F95" s="614"/>
      <c r="G95" s="614"/>
      <c r="H95" s="614"/>
    </row>
    <row r="96" spans="1:8">
      <c r="A96" s="613"/>
      <c r="B96" s="614"/>
      <c r="C96" s="614"/>
      <c r="D96" s="614"/>
      <c r="E96" s="614"/>
      <c r="F96" s="614"/>
      <c r="G96" s="614"/>
      <c r="H96" s="614"/>
    </row>
    <row r="97" spans="1:8">
      <c r="A97" s="613"/>
      <c r="B97" s="614"/>
      <c r="C97" s="614"/>
      <c r="D97" s="614"/>
      <c r="E97" s="614"/>
      <c r="F97" s="614"/>
      <c r="G97" s="614"/>
      <c r="H97" s="614"/>
    </row>
    <row r="98" spans="1:8">
      <c r="A98" s="613"/>
      <c r="B98" s="614"/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874</v>
      </c>
    </row>
    <row r="105" spans="1:8">
      <c r="A105" s="771" t="s">
        <v>222</v>
      </c>
    </row>
    <row r="107" spans="1:8">
      <c r="D107" s="615" t="s">
        <v>731</v>
      </c>
      <c r="E107" s="637" t="str">
        <f>TABLERO!E116</f>
        <v>TAB-G</v>
      </c>
    </row>
    <row r="108" spans="1:8">
      <c r="D108" s="615" t="s">
        <v>732</v>
      </c>
      <c r="E108" s="650">
        <f>'AL-EQ'!H133/1.25</f>
        <v>101.01010101010101</v>
      </c>
      <c r="F108" s="593" t="s">
        <v>32</v>
      </c>
    </row>
    <row r="109" spans="1:8">
      <c r="D109" s="615" t="s">
        <v>733</v>
      </c>
      <c r="E109" s="650">
        <f>'AL-EQ'!H134</f>
        <v>58.784375547381323</v>
      </c>
      <c r="F109" s="593" t="s">
        <v>32</v>
      </c>
    </row>
    <row r="110" spans="1:8">
      <c r="D110" s="615" t="s">
        <v>734</v>
      </c>
      <c r="E110" s="650">
        <f>'AL-EQ'!H135</f>
        <v>0</v>
      </c>
      <c r="F110" s="593" t="s">
        <v>32</v>
      </c>
    </row>
    <row r="111" spans="1:8">
      <c r="D111" s="615" t="s">
        <v>735</v>
      </c>
      <c r="E111" s="650">
        <f>'AL-EQ'!H131</f>
        <v>113</v>
      </c>
      <c r="F111" s="593" t="s">
        <v>32</v>
      </c>
    </row>
    <row r="112" spans="1:8">
      <c r="D112" s="615" t="s">
        <v>736</v>
      </c>
      <c r="E112" s="650">
        <f>'AL-EQ'!H132*4</f>
        <v>46.2</v>
      </c>
      <c r="F112" s="593" t="s">
        <v>32</v>
      </c>
    </row>
    <row r="113" spans="4:7">
      <c r="D113" s="615" t="s">
        <v>737</v>
      </c>
      <c r="E113" s="651">
        <f>'AL-EQ'!O118</f>
        <v>70</v>
      </c>
      <c r="F113" s="593" t="s">
        <v>32</v>
      </c>
    </row>
    <row r="114" spans="4:7">
      <c r="D114" s="615" t="s">
        <v>738</v>
      </c>
      <c r="E114" s="651">
        <f>TABLERO!BV116</f>
        <v>220</v>
      </c>
      <c r="F114" s="593" t="s">
        <v>223</v>
      </c>
    </row>
    <row r="115" spans="4:7">
      <c r="D115" s="615" t="s">
        <v>739</v>
      </c>
      <c r="E115" s="651">
        <f>TABLERO!F116</f>
        <v>3</v>
      </c>
    </row>
    <row r="116" spans="4:7">
      <c r="D116" s="615" t="s">
        <v>740</v>
      </c>
      <c r="E116" s="651">
        <f>TABLERO!G116</f>
        <v>4</v>
      </c>
    </row>
    <row r="117" spans="4:7">
      <c r="D117" s="615" t="s">
        <v>319</v>
      </c>
      <c r="E117" s="637" t="str">
        <f>TABLERO!F8</f>
        <v>TAB-G</v>
      </c>
    </row>
    <row r="118" spans="4:7">
      <c r="D118" s="615" t="s">
        <v>741</v>
      </c>
      <c r="E118" s="652" t="s">
        <v>258</v>
      </c>
    </row>
    <row r="119" spans="4:7">
      <c r="D119" s="615" t="s">
        <v>742</v>
      </c>
      <c r="E119" s="616" t="str">
        <f>TABLERO!I116</f>
        <v>AL</v>
      </c>
    </row>
    <row r="120" spans="4:7">
      <c r="D120" s="615" t="s">
        <v>743</v>
      </c>
      <c r="E120" s="616" t="str">
        <f>IF(E119&lt;&gt;"AL","THW-LS","XHHW-LS")</f>
        <v>XHHW-LS</v>
      </c>
      <c r="F120" s="623" t="str">
        <f>IF(D145&gt;100, " A 90° C"," A 75°C")</f>
        <v xml:space="preserve"> A 90° C</v>
      </c>
    </row>
    <row r="121" spans="4:7">
      <c r="D121" s="615" t="s">
        <v>331</v>
      </c>
      <c r="E121" s="650">
        <f>TABLERO!F13</f>
        <v>30</v>
      </c>
      <c r="F121" s="593" t="s">
        <v>30</v>
      </c>
    </row>
    <row r="122" spans="4:7">
      <c r="D122" s="615" t="s">
        <v>744</v>
      </c>
      <c r="E122" s="650">
        <f>IF(D145&gt;100,75,60)</f>
        <v>75</v>
      </c>
      <c r="F122" s="593" t="s">
        <v>30</v>
      </c>
    </row>
    <row r="123" spans="4:7">
      <c r="D123" s="615" t="s">
        <v>504</v>
      </c>
      <c r="E123" s="616"/>
    </row>
    <row r="124" spans="4:7">
      <c r="D124" s="615" t="s">
        <v>745</v>
      </c>
      <c r="E124" s="650">
        <f>TABLERO!K116</f>
        <v>120</v>
      </c>
      <c r="F124" s="593" t="s">
        <v>119</v>
      </c>
    </row>
    <row r="125" spans="4:7">
      <c r="D125" s="615" t="s">
        <v>746</v>
      </c>
      <c r="E125" s="650">
        <f>TABLERO!DA116</f>
        <v>0.9</v>
      </c>
      <c r="F125" s="593" t="s">
        <v>225</v>
      </c>
    </row>
    <row r="126" spans="4:7">
      <c r="D126" s="615" t="s">
        <v>747</v>
      </c>
      <c r="E126" s="651">
        <f>TABLERO!J116</f>
        <v>8</v>
      </c>
      <c r="G126" s="639">
        <f>IF(TABLERO!M18="UPS",TABLERO!M126,IF(TABLERO!M18="TR",TABLERO!M118,IF(TABLERO!M18="PE",TABLERO!M124,TABLERO!M116)))</f>
        <v>1</v>
      </c>
    </row>
    <row r="127" spans="4:7">
      <c r="D127" s="615" t="s">
        <v>748</v>
      </c>
      <c r="E127" s="640" t="str">
        <f>IF(TABLERO!M116=1,"TUBO CONDUIT Fe",IF(TABLERO!M116=7,"TUBO CONDUIT PVC",IF(TABLERO!M116=6,"DUCTO CUADRADO","CHAROLA")))</f>
        <v>TUBO CONDUIT Fe</v>
      </c>
    </row>
    <row r="128" spans="4:7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259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32</v>
      </c>
    </row>
    <row r="133" spans="1:6">
      <c r="A133" s="593" t="s">
        <v>221</v>
      </c>
    </row>
    <row r="134" spans="1:6" s="771" customFormat="1">
      <c r="A134" s="779" t="s">
        <v>707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C143" s="615" t="s">
        <v>263</v>
      </c>
      <c r="D143" s="653">
        <f>'AL-EQ'!H138</f>
        <v>309.59700181000761</v>
      </c>
      <c r="E143" s="593" t="s">
        <v>32</v>
      </c>
    </row>
    <row r="144" spans="1:6">
      <c r="C144" s="593" t="s">
        <v>277</v>
      </c>
      <c r="D144" s="653">
        <f>'AL-EQ'!H140</f>
        <v>0.8</v>
      </c>
    </row>
    <row r="145" spans="1:5">
      <c r="C145" s="615" t="s">
        <v>278</v>
      </c>
      <c r="D145" s="653">
        <f>'AL-EQ'!H142</f>
        <v>247.6776014480061</v>
      </c>
      <c r="E145" s="593" t="s">
        <v>32</v>
      </c>
    </row>
    <row r="147" spans="1:5" s="771" customFormat="1">
      <c r="A147" s="771" t="s">
        <v>226</v>
      </c>
    </row>
    <row r="149" spans="1:5">
      <c r="A149" s="593" t="s">
        <v>788</v>
      </c>
      <c r="D149" s="638">
        <f>TABLERO!CS116</f>
        <v>1</v>
      </c>
      <c r="E149" s="593" t="s">
        <v>625</v>
      </c>
    </row>
    <row r="150" spans="1:5">
      <c r="A150" s="593" t="s">
        <v>789</v>
      </c>
      <c r="D150" s="638">
        <f>TABLERO!CT116</f>
        <v>0.7</v>
      </c>
      <c r="E150" s="593" t="s">
        <v>624</v>
      </c>
    </row>
    <row r="152" spans="1:5">
      <c r="A152" s="593" t="s">
        <v>221</v>
      </c>
      <c r="B152" s="615" t="s">
        <v>230</v>
      </c>
      <c r="C152" s="641">
        <f>TABLERO!CY116</f>
        <v>353.82514492572301</v>
      </c>
      <c r="D152" s="593" t="s">
        <v>32</v>
      </c>
    </row>
    <row r="153" spans="1:5">
      <c r="B153" s="615"/>
      <c r="C153" s="641"/>
    </row>
    <row r="154" spans="1:5">
      <c r="B154" s="615"/>
      <c r="C154" s="641"/>
    </row>
    <row r="161" spans="1:6" s="771" customFormat="1">
      <c r="A161" s="771" t="s">
        <v>864</v>
      </c>
    </row>
    <row r="162" spans="1:6" s="771" customFormat="1"/>
    <row r="163" spans="1:6">
      <c r="B163" s="593" t="s">
        <v>231</v>
      </c>
    </row>
    <row r="165" spans="1:6">
      <c r="A165" s="593" t="s">
        <v>751</v>
      </c>
    </row>
    <row r="166" spans="1:6">
      <c r="A166" s="593" t="s">
        <v>752</v>
      </c>
    </row>
    <row r="167" spans="1:6">
      <c r="A167" s="593" t="s">
        <v>753</v>
      </c>
    </row>
    <row r="168" spans="1:6">
      <c r="A168" s="593" t="s">
        <v>755</v>
      </c>
    </row>
    <row r="169" spans="1:6">
      <c r="A169" s="593" t="s">
        <v>754</v>
      </c>
      <c r="C169" s="642">
        <f>TABLERO!DC116</f>
        <v>600</v>
      </c>
      <c r="D169" s="643" t="str">
        <f>TABLERO!ED116</f>
        <v>KCM</v>
      </c>
      <c r="E169" s="644" t="str">
        <f>IF(E119&lt;&gt;"AL","DE COBRE","DE ALUMINIO")</f>
        <v>DE ALUMINIO</v>
      </c>
    </row>
    <row r="171" spans="1:6">
      <c r="B171" s="615" t="s">
        <v>232</v>
      </c>
      <c r="C171" s="642">
        <f>TABLERO!DD116</f>
        <v>385</v>
      </c>
      <c r="D171" s="611" t="s">
        <v>233</v>
      </c>
      <c r="E171" s="622">
        <f>C152</f>
        <v>353.82514492572301</v>
      </c>
      <c r="F171" s="593" t="s">
        <v>32</v>
      </c>
    </row>
    <row r="173" spans="1:6" ht="13.8">
      <c r="A173" s="780" t="s">
        <v>871</v>
      </c>
    </row>
    <row r="174" spans="1:6" ht="11.25" customHeight="1">
      <c r="A174" s="626"/>
    </row>
    <row r="175" spans="1:6" s="771" customFormat="1" ht="11.25" customHeight="1">
      <c r="A175" s="771" t="s">
        <v>855</v>
      </c>
    </row>
    <row r="177" spans="1:5">
      <c r="B177" s="593" t="str">
        <f>IF(E115=3,"e=  1.73 x I L ( R Cos q + X Sen q ) / 1000","e=  2 I L ( R Cos q + X Sen q ) / 1000")</f>
        <v>e=  1.73 x I L ( R Cos q + X Sen q ) / 1000</v>
      </c>
    </row>
    <row r="178" spans="1:5">
      <c r="A178" s="593" t="s">
        <v>756</v>
      </c>
    </row>
    <row r="179" spans="1:5">
      <c r="B179" s="615" t="s">
        <v>235</v>
      </c>
      <c r="C179" s="593" t="s">
        <v>757</v>
      </c>
    </row>
    <row r="180" spans="1:5">
      <c r="B180" s="615" t="s">
        <v>236</v>
      </c>
      <c r="C180" s="593" t="s">
        <v>758</v>
      </c>
    </row>
    <row r="181" spans="1:5">
      <c r="B181" s="615" t="s">
        <v>237</v>
      </c>
      <c r="C181" s="593" t="s">
        <v>759</v>
      </c>
    </row>
    <row r="182" spans="1:5">
      <c r="B182" s="615" t="s">
        <v>238</v>
      </c>
      <c r="C182" s="593" t="s">
        <v>760</v>
      </c>
    </row>
    <row r="183" spans="1:5">
      <c r="B183" s="615" t="s">
        <v>239</v>
      </c>
      <c r="C183" s="593" t="s">
        <v>761</v>
      </c>
    </row>
    <row r="184" spans="1:5">
      <c r="B184" s="615" t="s">
        <v>240</v>
      </c>
      <c r="C184" s="593" t="s">
        <v>762</v>
      </c>
    </row>
    <row r="185" spans="1:5">
      <c r="B185" s="615" t="s">
        <v>241</v>
      </c>
      <c r="C185" s="593" t="s">
        <v>763</v>
      </c>
    </row>
    <row r="186" spans="1:5">
      <c r="B186" s="615" t="s">
        <v>242</v>
      </c>
      <c r="C186" s="593" t="s">
        <v>764</v>
      </c>
    </row>
    <row r="187" spans="1:5">
      <c r="A187" s="593" t="s">
        <v>243</v>
      </c>
    </row>
    <row r="188" spans="1:5">
      <c r="B188" s="615" t="s">
        <v>765</v>
      </c>
      <c r="C188" s="617">
        <f>TABLERO!N116</f>
        <v>2</v>
      </c>
    </row>
    <row r="189" spans="1:5">
      <c r="B189" s="615" t="s">
        <v>766</v>
      </c>
      <c r="C189" s="624">
        <f>TABLERO!BX116</f>
        <v>500</v>
      </c>
      <c r="D189" s="614" t="str">
        <f>TABLERO!ED116</f>
        <v>KCM</v>
      </c>
      <c r="E189" s="593" t="str">
        <f>IF(E119&lt;&gt;"AL","DE COBRE","DE ALUMINIO")</f>
        <v>DE ALUMINIO</v>
      </c>
    </row>
    <row r="190" spans="1:5">
      <c r="B190" s="615" t="s">
        <v>407</v>
      </c>
      <c r="C190" s="622">
        <f>TABLERO!BY116</f>
        <v>620</v>
      </c>
      <c r="D190" s="593" t="s">
        <v>32</v>
      </c>
    </row>
    <row r="191" spans="1:5">
      <c r="B191" s="615" t="s">
        <v>246</v>
      </c>
      <c r="C191" s="625">
        <f>IF(TABLERO!M18="UPS",TABLERO!DO126,IF(TABLERO!M18="TR",TABLERO!DO118,IF(TABLERO!M18="PE",TABLERO!DO124,TABLERO!DO116)))</f>
        <v>0.43</v>
      </c>
      <c r="D191" s="593" t="s">
        <v>247</v>
      </c>
    </row>
    <row r="192" spans="1:5">
      <c r="B192" s="615" t="s">
        <v>238</v>
      </c>
      <c r="C192" s="625">
        <f>TABLERO!DP116</f>
        <v>0.157</v>
      </c>
      <c r="D192" s="593" t="s">
        <v>247</v>
      </c>
    </row>
    <row r="193" spans="1:5">
      <c r="A193" s="593" t="s">
        <v>767</v>
      </c>
    </row>
    <row r="194" spans="1:5">
      <c r="B194" s="615" t="s">
        <v>235</v>
      </c>
      <c r="C194" s="641">
        <f>TABLERO!DS116</f>
        <v>4.5676015898667206</v>
      </c>
      <c r="D194" s="593" t="s">
        <v>248</v>
      </c>
    </row>
    <row r="195" spans="1:5">
      <c r="A195" s="593" t="s">
        <v>249</v>
      </c>
    </row>
    <row r="196" spans="1:5">
      <c r="B196" s="593" t="s">
        <v>506</v>
      </c>
      <c r="D196" s="641">
        <f>TABLERO!BZ116</f>
        <v>2.0761825408485093</v>
      </c>
      <c r="E196" s="593" t="s">
        <v>106</v>
      </c>
    </row>
    <row r="197" spans="1:5">
      <c r="D197" s="641"/>
    </row>
    <row r="198" spans="1:5" s="777" customFormat="1" ht="15.6">
      <c r="A198" s="777" t="s">
        <v>866</v>
      </c>
      <c r="D198" s="781"/>
    </row>
    <row r="199" spans="1:5">
      <c r="D199" s="641"/>
    </row>
    <row r="200" spans="1:5">
      <c r="A200" s="593" t="s">
        <v>264</v>
      </c>
    </row>
    <row r="201" spans="1:5">
      <c r="A201" s="593" t="s">
        <v>265</v>
      </c>
    </row>
    <row r="202" spans="1:5">
      <c r="A202" s="593" t="s">
        <v>266</v>
      </c>
      <c r="C202" s="593" t="s">
        <v>221</v>
      </c>
    </row>
    <row r="203" spans="1:5">
      <c r="A203" s="593" t="s">
        <v>267</v>
      </c>
    </row>
    <row r="205" spans="1:5">
      <c r="A205" s="593" t="s">
        <v>268</v>
      </c>
    </row>
    <row r="207" spans="1:5">
      <c r="A207" s="593" t="s">
        <v>234</v>
      </c>
    </row>
    <row r="209" spans="1:8">
      <c r="A209" s="1185" t="s">
        <v>768</v>
      </c>
      <c r="B209" s="1185"/>
      <c r="C209" s="1185"/>
      <c r="D209" s="1185"/>
      <c r="E209" s="1185"/>
    </row>
    <row r="210" spans="1:8">
      <c r="A210" s="1185" t="s">
        <v>769</v>
      </c>
      <c r="B210" s="1185"/>
      <c r="C210" s="1185"/>
      <c r="D210" s="1185"/>
      <c r="E210" s="1185"/>
      <c r="F210" s="654">
        <f>IF(TABLERO!CB23&lt;1000,TABLERO!CB23*1000,TABLERO!CB23)</f>
        <v>21113.279783800012</v>
      </c>
      <c r="G210" s="593" t="s">
        <v>32</v>
      </c>
    </row>
    <row r="211" spans="1:8">
      <c r="A211" s="1185" t="s">
        <v>770</v>
      </c>
      <c r="B211" s="1185"/>
      <c r="C211" s="1185"/>
      <c r="D211" s="1185"/>
      <c r="E211" s="1185"/>
      <c r="F211" s="614">
        <v>3.3000000000000002E-2</v>
      </c>
      <c r="G211" s="593" t="s">
        <v>269</v>
      </c>
      <c r="H211" s="817"/>
    </row>
    <row r="212" spans="1:8">
      <c r="A212" s="1185" t="s">
        <v>771</v>
      </c>
      <c r="B212" s="1185"/>
      <c r="C212" s="1185"/>
      <c r="D212" s="1185"/>
      <c r="E212" s="1185"/>
      <c r="F212" s="653">
        <f>IF(D257&gt;100,75,60)</f>
        <v>75</v>
      </c>
      <c r="G212" s="593" t="s">
        <v>270</v>
      </c>
    </row>
    <row r="213" spans="1:8">
      <c r="E213" s="615" t="s">
        <v>554</v>
      </c>
    </row>
    <row r="214" spans="1:8">
      <c r="A214" s="1185" t="s">
        <v>772</v>
      </c>
      <c r="B214" s="1185"/>
      <c r="C214" s="1185"/>
      <c r="D214" s="1185"/>
      <c r="E214" s="1185"/>
      <c r="F214" s="614">
        <f>IF(E119&lt;&gt;"CU",250,200)</f>
        <v>250</v>
      </c>
      <c r="G214" s="593" t="s">
        <v>270</v>
      </c>
    </row>
    <row r="215" spans="1:8">
      <c r="A215" s="615"/>
      <c r="B215" s="615"/>
      <c r="C215" s="615"/>
      <c r="D215" s="615"/>
      <c r="E215" s="615" t="s">
        <v>555</v>
      </c>
      <c r="F215" s="614"/>
    </row>
    <row r="216" spans="1:8">
      <c r="A216" s="615"/>
      <c r="B216" s="615"/>
      <c r="C216" s="615"/>
      <c r="D216" s="615"/>
      <c r="E216" s="615"/>
      <c r="F216" s="614"/>
    </row>
    <row r="217" spans="1:8">
      <c r="A217" s="615"/>
      <c r="B217" s="615"/>
      <c r="C217" s="615"/>
      <c r="D217" s="615"/>
      <c r="E217" s="615"/>
      <c r="F217" s="614"/>
    </row>
    <row r="218" spans="1:8">
      <c r="A218" s="615"/>
      <c r="B218" s="615"/>
      <c r="C218" s="615"/>
      <c r="D218" s="615"/>
      <c r="E218" s="615"/>
      <c r="F218" s="614"/>
    </row>
    <row r="219" spans="1:8">
      <c r="A219" s="593" t="s">
        <v>773</v>
      </c>
    </row>
    <row r="220" spans="1:8">
      <c r="A220" s="593" t="s">
        <v>774</v>
      </c>
    </row>
    <row r="222" spans="1:8">
      <c r="B222" s="615" t="s">
        <v>272</v>
      </c>
      <c r="C222" s="622">
        <f>IF(E119="CU",F210/(SQRT((0.0297*(LOG10((F214+234)/(F212+234))))/F211)),F210/(SQRT((0.0125*(LOG10((F214+228)/(F212+228))))/F211)))</f>
        <v>77097.665557584638</v>
      </c>
      <c r="D222" s="593" t="s">
        <v>273</v>
      </c>
    </row>
    <row r="223" spans="1:8">
      <c r="B223" s="615"/>
      <c r="C223" s="655"/>
    </row>
    <row r="224" spans="1:8">
      <c r="B224" s="622">
        <f>C222</f>
        <v>77097.665557584638</v>
      </c>
    </row>
    <row r="225" spans="1:7" ht="15.6">
      <c r="A225" s="615" t="s">
        <v>272</v>
      </c>
      <c r="B225" s="612" t="s">
        <v>274</v>
      </c>
      <c r="C225" s="641">
        <f>B224/B226</f>
        <v>39.066067512659934</v>
      </c>
      <c r="D225" s="593" t="s">
        <v>503</v>
      </c>
    </row>
    <row r="226" spans="1:7">
      <c r="B226" s="611">
        <v>1973.52</v>
      </c>
    </row>
    <row r="228" spans="1:7">
      <c r="A228" s="593" t="s">
        <v>775</v>
      </c>
      <c r="F228" s="644" t="str">
        <f>VLOOKUP(C225,B277:D293,2)</f>
        <v>1/0 AWG</v>
      </c>
    </row>
    <row r="229" spans="1:7" ht="15.6">
      <c r="A229" s="593" t="s">
        <v>776</v>
      </c>
      <c r="D229" s="644">
        <f>VLOOKUP(C225,B277:D293,3)</f>
        <v>53.481000000000002</v>
      </c>
      <c r="E229" s="593" t="s">
        <v>503</v>
      </c>
    </row>
    <row r="231" spans="1:7" s="771" customFormat="1" ht="15.6">
      <c r="A231" s="777" t="s">
        <v>867</v>
      </c>
    </row>
    <row r="233" spans="1:7">
      <c r="A233" s="1185" t="s">
        <v>777</v>
      </c>
      <c r="B233" s="1185"/>
      <c r="C233" s="1185"/>
      <c r="D233" s="642">
        <f>C169</f>
        <v>600</v>
      </c>
      <c r="E233" s="628" t="str">
        <f>D169</f>
        <v>KCM</v>
      </c>
      <c r="F233" s="818" t="str">
        <f>IF(E119&lt;&gt;"AL","de Cobre","de Aluminio")</f>
        <v>de Aluminio</v>
      </c>
    </row>
    <row r="234" spans="1:7">
      <c r="A234" s="1185" t="s">
        <v>778</v>
      </c>
      <c r="B234" s="1185"/>
      <c r="C234" s="1185"/>
      <c r="D234" s="642">
        <f>C189</f>
        <v>500</v>
      </c>
      <c r="E234" s="593" t="str">
        <f>D189</f>
        <v>KCM</v>
      </c>
      <c r="F234" s="818" t="str">
        <f>IF(E119&lt;&gt;"AL","de Cobre","de Aluminio")</f>
        <v>de Aluminio</v>
      </c>
    </row>
    <row r="235" spans="1:7">
      <c r="A235" s="1185" t="s">
        <v>779</v>
      </c>
      <c r="B235" s="1185"/>
      <c r="C235" s="1185"/>
      <c r="D235" s="657" t="str">
        <f>F228</f>
        <v>1/0 AWG</v>
      </c>
      <c r="F235" s="818" t="str">
        <f>IF(E119&lt;&gt;"AL","de Cobre","de Aluminio")</f>
        <v>de Aluminio</v>
      </c>
    </row>
    <row r="237" spans="1:7">
      <c r="A237" s="1185" t="s">
        <v>780</v>
      </c>
      <c r="B237" s="1185"/>
      <c r="C237" s="1185"/>
      <c r="D237" s="627">
        <f>E116*C188</f>
        <v>8</v>
      </c>
      <c r="E237" s="593" t="s">
        <v>250</v>
      </c>
      <c r="F237" s="642">
        <f>C189</f>
        <v>500</v>
      </c>
      <c r="G237" s="593" t="str">
        <f>D189</f>
        <v>KCM</v>
      </c>
    </row>
    <row r="238" spans="1:7">
      <c r="D238" s="627"/>
      <c r="F238" s="642" t="str">
        <f>IF(E119&lt;&gt;"AL","de Cobre","de Aluminio")</f>
        <v>de Aluminio</v>
      </c>
    </row>
    <row r="239" spans="1:7">
      <c r="D239" s="627"/>
      <c r="F239" s="642"/>
    </row>
    <row r="240" spans="1:7" s="777" customFormat="1" ht="15.6">
      <c r="A240" s="777" t="s">
        <v>868</v>
      </c>
      <c r="D240" s="782"/>
      <c r="F240" s="783"/>
    </row>
    <row r="241" spans="1:6" s="777" customFormat="1" ht="15.6">
      <c r="A241" s="777" t="s">
        <v>869</v>
      </c>
    </row>
    <row r="243" spans="1:6">
      <c r="A243" s="593" t="s">
        <v>781</v>
      </c>
    </row>
    <row r="244" spans="1:6">
      <c r="A244" s="593" t="s">
        <v>782</v>
      </c>
    </row>
    <row r="246" spans="1:6">
      <c r="C246" s="615"/>
      <c r="D246" s="615" t="str">
        <f>'AL-TAB'!G149</f>
        <v>Inom. DE LOS MOTORES - In del Mot. Mayor</v>
      </c>
      <c r="E246" s="650">
        <f>'AL-TAB'!H149</f>
        <v>66.8</v>
      </c>
      <c r="F246" s="621" t="str">
        <f>'AL-TAB'!I149</f>
        <v>A</v>
      </c>
    </row>
    <row r="247" spans="1:6">
      <c r="C247" s="615"/>
      <c r="D247" s="615" t="str">
        <f>'AL-TAB'!G150</f>
        <v>PROT. DEL MOT. MAYOR</v>
      </c>
      <c r="E247" s="650">
        <f>'AL-TAB'!H150</f>
        <v>70</v>
      </c>
      <c r="F247" s="621" t="str">
        <f>'AL-TAB'!I150</f>
        <v>A</v>
      </c>
    </row>
    <row r="248" spans="1:6">
      <c r="C248" s="615"/>
      <c r="D248" s="615" t="str">
        <f>'AL-TAB'!G151</f>
        <v xml:space="preserve">125% DE LA In DE LAS CARGAS CONTINUAS </v>
      </c>
      <c r="E248" s="650">
        <f>'AL-TAB'!H151</f>
        <v>126.26262626262627</v>
      </c>
      <c r="F248" s="621" t="str">
        <f>'AL-TAB'!I151</f>
        <v>A</v>
      </c>
    </row>
    <row r="249" spans="1:6">
      <c r="A249" s="611"/>
      <c r="B249" s="622"/>
      <c r="C249" s="615"/>
      <c r="D249" s="615" t="str">
        <f>'AL-TAB'!G152</f>
        <v>In DE LAS CARGAS NO CONTINUAS</v>
      </c>
      <c r="E249" s="650">
        <f>'AL-TAB'!H152</f>
        <v>58.784375547381323</v>
      </c>
      <c r="F249" s="621" t="str">
        <f>'AL-TAB'!I152</f>
        <v>A</v>
      </c>
    </row>
    <row r="250" spans="1:6">
      <c r="C250" s="615"/>
      <c r="D250" s="615" t="str">
        <f>'AL-TAB'!G153</f>
        <v>In OTROS TABLEROS</v>
      </c>
      <c r="E250" s="650">
        <f>'AL-TAB'!H153</f>
        <v>0</v>
      </c>
      <c r="F250" s="621" t="str">
        <f>'AL-TAB'!I153</f>
        <v>A</v>
      </c>
    </row>
    <row r="251" spans="1:6">
      <c r="A251" s="594"/>
      <c r="B251" s="594"/>
      <c r="C251" s="615"/>
      <c r="D251" s="615"/>
      <c r="E251" s="622" t="str">
        <f>'AL-TAB'!H154</f>
        <v>---------------------</v>
      </c>
      <c r="F251" s="621"/>
    </row>
    <row r="252" spans="1:6">
      <c r="C252" s="615"/>
      <c r="D252" s="615" t="str">
        <f>'AL-TAB'!G155</f>
        <v>Itot =</v>
      </c>
      <c r="E252" s="650">
        <f>'AL-TAB'!H155</f>
        <v>321.84700181000761</v>
      </c>
      <c r="F252" s="621" t="str">
        <f>'AL-TAB'!I155</f>
        <v>A</v>
      </c>
    </row>
    <row r="253" spans="1:6">
      <c r="C253" s="615"/>
      <c r="D253" s="615" t="str">
        <f>'AL-TAB'!G156</f>
        <v>FD =</v>
      </c>
      <c r="E253" s="650">
        <f>'AL-TAB'!H156</f>
        <v>0.8</v>
      </c>
      <c r="F253" s="615"/>
    </row>
    <row r="254" spans="1:6">
      <c r="C254" s="615"/>
      <c r="D254" s="615" t="str">
        <f>'AL-TAB'!G157</f>
        <v>% DISP.DE LA PROT=</v>
      </c>
      <c r="E254" s="650">
        <f>'AL-TAB'!H157</f>
        <v>100</v>
      </c>
      <c r="F254" s="621"/>
    </row>
    <row r="255" spans="1:6">
      <c r="D255" s="615" t="str">
        <f>'AL-TAB'!G158</f>
        <v>Itot =</v>
      </c>
      <c r="E255" s="650">
        <f>'AL-TAB'!H158</f>
        <v>257.47760144800611</v>
      </c>
      <c r="F255" s="621" t="str">
        <f>'AL-TAB'!I158</f>
        <v>A</v>
      </c>
    </row>
    <row r="257" spans="1:6">
      <c r="A257" s="593" t="str">
        <f>IF(D257&gt;800,"Interruptor Electromágnetico de:" &amp; E115 &amp; " Polos,","Interruptor Termomágnetico de :" &amp; E115 &amp; " Polos,")</f>
        <v>Interruptor Termomágnetico de :3 Polos,</v>
      </c>
      <c r="B257" s="628"/>
      <c r="C257" s="611"/>
      <c r="D257" s="958">
        <f>TABLERO!BW116</f>
        <v>300</v>
      </c>
      <c r="E257" s="593" t="s">
        <v>783</v>
      </c>
    </row>
    <row r="258" spans="1:6">
      <c r="B258" s="628"/>
      <c r="C258" s="611"/>
      <c r="D258" s="627"/>
    </row>
    <row r="260" spans="1:6" s="777" customFormat="1" ht="15.6">
      <c r="A260" s="777" t="s">
        <v>870</v>
      </c>
    </row>
    <row r="261" spans="1:6" s="777" customFormat="1" ht="15.6"/>
    <row r="262" spans="1:6">
      <c r="A262" s="593" t="s">
        <v>221</v>
      </c>
    </row>
    <row r="263" spans="1:6">
      <c r="A263" s="593" t="s">
        <v>784</v>
      </c>
    </row>
    <row r="264" spans="1:6">
      <c r="A264" s="593" t="str">
        <f>IF(TABLERO!M116=1,"",IF(TABLERO!M116=2,"Conductores en charola en una sola capa.",IF(TABLERO!M116=3,"Conductores en charola en una sola capa con tapa.",IF(TABLERO!M116=4,"Conductores en charola en configuración triangular o tetrapolar separados 2.15 veces el diametro del conductor.",IF(TABLERO!M116=5,"Conductores en charola separados 1 vez el diametro del conductor.")))))</f>
        <v/>
      </c>
    </row>
    <row r="266" spans="1:6">
      <c r="A266" s="627">
        <f>E116*C188</f>
        <v>8</v>
      </c>
      <c r="B266" s="593" t="s">
        <v>250</v>
      </c>
      <c r="C266" s="642">
        <f>C189</f>
        <v>500</v>
      </c>
      <c r="D266" s="593" t="str">
        <f>D189</f>
        <v>KCM</v>
      </c>
      <c r="E266" s="959" t="s">
        <v>785</v>
      </c>
      <c r="F266" s="593" t="str">
        <f>IF(E119&lt;&gt;"AL","de Cobre","de Aluminio")</f>
        <v>de Aluminio</v>
      </c>
    </row>
    <row r="267" spans="1:6">
      <c r="A267" s="611">
        <f>A268</f>
        <v>1</v>
      </c>
      <c r="B267" s="615" t="s">
        <v>292</v>
      </c>
      <c r="C267" s="642" t="str">
        <f>TABLERO!CA116</f>
        <v>1/0</v>
      </c>
      <c r="D267" s="593" t="s">
        <v>253</v>
      </c>
      <c r="E267" s="954" t="s">
        <v>786</v>
      </c>
      <c r="F267" s="593" t="str">
        <f>IF(E119&lt;&gt;"AL","de Cobre","de Aluminio")</f>
        <v>de Aluminio</v>
      </c>
    </row>
    <row r="268" spans="1:6">
      <c r="A268" s="613">
        <f>IF(TABLERO!M18="TR",TABLERO!O118,IF(TABLERO!M18="PE",TABLERO!O124,TABLERO!O116))</f>
        <v>1</v>
      </c>
      <c r="B268" s="621"/>
      <c r="C268" s="642" t="str">
        <f>IF(TABLERO!M18="UPS",TABLERO!CB126,IF(TABLERO!M18="TR",TABLERO!CB118,IF(TABLERO!M18="PE",TABLERO!CB124,TABLERO!CB116)))</f>
        <v>MC-STABILOY</v>
      </c>
      <c r="D268" s="621"/>
      <c r="E268" s="593" t="s">
        <v>787</v>
      </c>
    </row>
    <row r="269" spans="1:6">
      <c r="A269" s="593" t="str">
        <f>IF(D257&gt;800,"Protegido con un interruptor Electromágnetico de:","Protegido con un interruptor Termomágnetico de:")</f>
        <v>Protegido con un interruptor Termomágnetico de:</v>
      </c>
      <c r="E269" s="960" t="str">
        <f>D257&amp;" A de Disparo."</f>
        <v>300 A de Disparo.</v>
      </c>
    </row>
    <row r="273" spans="2:4">
      <c r="C273" s="644"/>
    </row>
    <row r="274" spans="2:4">
      <c r="B274" s="593" t="s">
        <v>280</v>
      </c>
    </row>
    <row r="275" spans="2:4">
      <c r="B275" s="611" t="s">
        <v>56</v>
      </c>
      <c r="C275" s="611" t="s">
        <v>57</v>
      </c>
      <c r="D275" s="611"/>
    </row>
    <row r="276" spans="2:4">
      <c r="B276" s="611"/>
      <c r="C276" s="611"/>
      <c r="D276" s="611"/>
    </row>
    <row r="277" spans="2:4">
      <c r="B277" s="611">
        <v>0</v>
      </c>
      <c r="C277" s="611" t="s">
        <v>58</v>
      </c>
      <c r="D277" s="622">
        <v>2.0821000000000001</v>
      </c>
    </row>
    <row r="278" spans="2:4">
      <c r="B278" s="611">
        <v>2.0821000000000001</v>
      </c>
      <c r="C278" s="611" t="s">
        <v>59</v>
      </c>
      <c r="D278" s="622">
        <v>3.3071000000000002</v>
      </c>
    </row>
    <row r="279" spans="2:4">
      <c r="B279" s="611">
        <v>3.3071000000000002</v>
      </c>
      <c r="C279" s="611" t="s">
        <v>60</v>
      </c>
      <c r="D279" s="622">
        <v>5.2601000000000004</v>
      </c>
    </row>
    <row r="280" spans="2:4">
      <c r="B280" s="611">
        <v>5.2601000000000004</v>
      </c>
      <c r="C280" s="611" t="s">
        <v>61</v>
      </c>
      <c r="D280" s="622">
        <v>8.3671000000000006</v>
      </c>
    </row>
    <row r="281" spans="2:4">
      <c r="B281" s="611">
        <v>8.3671000000000006</v>
      </c>
      <c r="C281" s="611" t="s">
        <v>62</v>
      </c>
      <c r="D281" s="622">
        <v>13.301</v>
      </c>
    </row>
    <row r="282" spans="2:4">
      <c r="B282" s="611">
        <v>13.301</v>
      </c>
      <c r="C282" s="611" t="s">
        <v>63</v>
      </c>
      <c r="D282" s="622">
        <v>21.151</v>
      </c>
    </row>
    <row r="283" spans="2:4">
      <c r="B283" s="611">
        <v>21.151</v>
      </c>
      <c r="C283" s="611" t="s">
        <v>64</v>
      </c>
      <c r="D283" s="622">
        <v>33.621000000000002</v>
      </c>
    </row>
    <row r="284" spans="2:4">
      <c r="B284" s="611">
        <v>33.621000000000002</v>
      </c>
      <c r="C284" s="611" t="s">
        <v>65</v>
      </c>
      <c r="D284" s="622">
        <v>53.481000000000002</v>
      </c>
    </row>
    <row r="285" spans="2:4">
      <c r="B285" s="611">
        <v>53.481000000000002</v>
      </c>
      <c r="C285" s="611" t="s">
        <v>66</v>
      </c>
      <c r="D285" s="622">
        <v>67.430999999999997</v>
      </c>
    </row>
    <row r="286" spans="2:4">
      <c r="B286" s="611">
        <v>67.430999999999997</v>
      </c>
      <c r="C286" s="611" t="s">
        <v>67</v>
      </c>
      <c r="D286" s="622">
        <v>85.010999999999996</v>
      </c>
    </row>
    <row r="287" spans="2:4">
      <c r="B287" s="611">
        <v>85.010999999999996</v>
      </c>
      <c r="C287" s="611" t="s">
        <v>68</v>
      </c>
      <c r="D287" s="622">
        <v>107.20099999999999</v>
      </c>
    </row>
    <row r="288" spans="2:4">
      <c r="B288" s="611">
        <v>107.20099999999999</v>
      </c>
      <c r="C288" s="611" t="s">
        <v>69</v>
      </c>
      <c r="D288" s="622">
        <v>126.70099999999999</v>
      </c>
    </row>
    <row r="289" spans="2:4">
      <c r="B289" s="611">
        <v>126.70099999999999</v>
      </c>
      <c r="C289" s="611" t="s">
        <v>70</v>
      </c>
      <c r="D289" s="622">
        <v>152.001</v>
      </c>
    </row>
    <row r="290" spans="2:4">
      <c r="B290" s="611">
        <v>152.001</v>
      </c>
      <c r="C290" s="611" t="s">
        <v>71</v>
      </c>
      <c r="D290" s="622">
        <v>202.70099999999999</v>
      </c>
    </row>
    <row r="291" spans="2:4">
      <c r="B291" s="611">
        <v>202.70099999999999</v>
      </c>
      <c r="C291" s="611" t="s">
        <v>72</v>
      </c>
      <c r="D291" s="622">
        <v>253.40100000000001</v>
      </c>
    </row>
    <row r="292" spans="2:4">
      <c r="B292" s="611">
        <v>253.40100000000001</v>
      </c>
      <c r="C292" s="611" t="s">
        <v>73</v>
      </c>
      <c r="D292" s="622">
        <v>380.00099999999998</v>
      </c>
    </row>
    <row r="293" spans="2:4">
      <c r="B293" s="611">
        <v>380.00099999999998</v>
      </c>
      <c r="C293" s="611" t="s">
        <v>74</v>
      </c>
      <c r="D293" s="622">
        <v>506.70100000000002</v>
      </c>
    </row>
  </sheetData>
  <sheetProtection algorithmName="SHA-512" hashValue="qmTQQSBrH8gzhDy5QinH2BzC9lsBOFIYKkPhm5UUYBZg+GIYoM9PeOxlvdOHKeH3pKvQ5ohBNC42YDKcxiLAkw==" saltValue="v9HWuSrEHqZbFvB1QqaA2Q==" spinCount="100000" sheet="1" objects="1" scenarios="1"/>
  <mergeCells count="9">
    <mergeCell ref="A234:C234"/>
    <mergeCell ref="A235:C235"/>
    <mergeCell ref="A237:C237"/>
    <mergeCell ref="A210:E210"/>
    <mergeCell ref="A209:E209"/>
    <mergeCell ref="A211:E211"/>
    <mergeCell ref="A212:E212"/>
    <mergeCell ref="A214:E214"/>
    <mergeCell ref="A233:C233"/>
  </mergeCells>
  <printOptions horizontalCentered="1" verticalCentered="1"/>
  <pageMargins left="0.62992125984251968" right="0.74803149606299213" top="0.78740157480314965" bottom="0.19685039370078741" header="0.19685039370078741" footer="0.27559055118110237"/>
  <pageSetup paperSize="152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2" manualBreakCount="2">
    <brk id="49" max="16383" man="1"/>
    <brk id="102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15361" r:id="rId4">
          <objectPr defaultSize="0" autoPict="0" r:id="rId5">
            <anchor moveWithCells="1">
              <from>
                <xdr:col>1</xdr:col>
                <xdr:colOff>419100</xdr:colOff>
                <xdr:row>200</xdr:row>
                <xdr:rowOff>121920</xdr:rowOff>
              </from>
              <to>
                <xdr:col>4</xdr:col>
                <xdr:colOff>228600</xdr:colOff>
                <xdr:row>206</xdr:row>
                <xdr:rowOff>68580</xdr:rowOff>
              </to>
            </anchor>
          </objectPr>
        </oleObject>
      </mc:Choice>
      <mc:Fallback>
        <oleObject progId="Equation.DSMT4" shapeId="1536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indexed="13"/>
    <pageSetUpPr fitToPage="1"/>
  </sheetPr>
  <dimension ref="A2:L130"/>
  <sheetViews>
    <sheetView showGridLines="0" view="pageBreakPreview" zoomScaleNormal="100" zoomScaleSheetLayoutView="100" workbookViewId="0">
      <selection activeCell="B38" sqref="B38:B39"/>
    </sheetView>
  </sheetViews>
  <sheetFormatPr baseColWidth="10" defaultColWidth="11.44140625" defaultRowHeight="13.2"/>
  <cols>
    <col min="1" max="1" width="15.44140625" style="593" customWidth="1"/>
    <col min="2" max="2" width="21.109375" style="593" customWidth="1"/>
    <col min="3" max="5" width="11.44140625" style="593"/>
    <col min="6" max="6" width="36" style="593" customWidth="1"/>
    <col min="7" max="7" width="9.88671875" style="593" customWidth="1"/>
    <col min="8" max="8" width="10.88671875" style="593" bestFit="1" customWidth="1"/>
    <col min="9" max="9" width="8.5546875" style="593" bestFit="1" customWidth="1"/>
    <col min="10" max="10" width="10.109375" style="593" customWidth="1"/>
    <col min="11" max="11" width="9.5546875" style="593" customWidth="1"/>
    <col min="12" max="12" width="11.33203125" style="593" customWidth="1"/>
    <col min="13" max="16384" width="11.44140625" style="593"/>
  </cols>
  <sheetData>
    <row r="2" spans="1:10" hidden="1"/>
    <row r="3" spans="1:10" hidden="1"/>
    <row r="4" spans="1:10" hidden="1"/>
    <row r="5" spans="1:10" hidden="1"/>
    <row r="6" spans="1:10" hidden="1"/>
    <row r="7" spans="1:10" hidden="1"/>
    <row r="8" spans="1:10" hidden="1"/>
    <row r="9" spans="1:10" hidden="1"/>
    <row r="10" spans="1:10" hidden="1"/>
    <row r="11" spans="1:10" hidden="1"/>
    <row r="12" spans="1:10" ht="24.6" hidden="1">
      <c r="B12" s="658"/>
      <c r="C12" s="658"/>
      <c r="D12" s="658"/>
      <c r="E12" s="658"/>
      <c r="F12" s="658"/>
      <c r="G12" s="658"/>
    </row>
    <row r="13" spans="1:10" hidden="1"/>
    <row r="14" spans="1:10" ht="24.6">
      <c r="A14" s="1186" t="s">
        <v>203</v>
      </c>
      <c r="B14" s="1186"/>
      <c r="C14" s="1186"/>
      <c r="D14" s="1186"/>
      <c r="E14" s="1186"/>
      <c r="F14" s="1186"/>
      <c r="G14" s="658"/>
    </row>
    <row r="15" spans="1:10" ht="12.75" customHeight="1">
      <c r="A15" s="1188" t="s">
        <v>93</v>
      </c>
      <c r="B15" s="1187" t="str">
        <f>TABLERO!F6</f>
        <v>G</v>
      </c>
      <c r="C15" s="659"/>
      <c r="F15" s="659"/>
      <c r="G15" s="659"/>
      <c r="H15" s="742" t="s">
        <v>109</v>
      </c>
      <c r="I15" s="743" t="s">
        <v>110</v>
      </c>
      <c r="J15" s="742" t="s">
        <v>111</v>
      </c>
    </row>
    <row r="16" spans="1:10" ht="12.75" customHeight="1">
      <c r="A16" s="1188"/>
      <c r="B16" s="1187"/>
      <c r="C16" s="659"/>
      <c r="F16" s="724"/>
      <c r="G16" s="724"/>
      <c r="H16" s="744">
        <f>'CUADRO (1)'!$AI$29</f>
        <v>0</v>
      </c>
      <c r="I16" s="745" t="s">
        <v>23</v>
      </c>
      <c r="J16" s="744">
        <f>'CUADRO (1)'!$AI$29</f>
        <v>0</v>
      </c>
    </row>
    <row r="17" spans="1:12">
      <c r="A17" s="662" t="s">
        <v>1</v>
      </c>
      <c r="B17" s="1189" t="str">
        <f>IF(TABLERO!F7=0,"",TABLERO!F7)</f>
        <v>ZONA DE CARGA</v>
      </c>
      <c r="C17" s="1189"/>
      <c r="G17" s="662" t="s">
        <v>112</v>
      </c>
      <c r="H17" s="746" t="str">
        <f>'CUADRO (1)'!$AU16</f>
        <v>4,600.00 W</v>
      </c>
      <c r="I17" s="660">
        <f>TABLERO!M10</f>
        <v>1</v>
      </c>
      <c r="J17" s="746" t="str">
        <f>'CUADRO (1)'!$AY16</f>
        <v>4,600.00 W</v>
      </c>
    </row>
    <row r="18" spans="1:12">
      <c r="A18" s="662" t="s">
        <v>113</v>
      </c>
      <c r="B18" s="1189" t="str">
        <f>IF(TABLERO!F8=0,"",TABLERO!F8)</f>
        <v>TAB-G</v>
      </c>
      <c r="C18" s="1189"/>
      <c r="G18" s="662" t="s">
        <v>114</v>
      </c>
      <c r="H18" s="746" t="str">
        <f>'CUADRO (1)'!$AU17</f>
        <v>30,000.00 W</v>
      </c>
      <c r="I18" s="660">
        <f>TABLERO!M12</f>
        <v>1</v>
      </c>
      <c r="J18" s="746" t="str">
        <f>'CUADRO (1)'!$AY17</f>
        <v>30,000.00 W</v>
      </c>
    </row>
    <row r="19" spans="1:12">
      <c r="A19" s="662" t="s">
        <v>177</v>
      </c>
      <c r="B19" s="1189" t="str">
        <f>TABLERO!F9&amp;" / "&amp;TABLERO!H9&amp;" V"&amp;TABLERO!F11</f>
        <v>220 / 127 VCA</v>
      </c>
      <c r="C19" s="1189"/>
      <c r="G19" s="662" t="str">
        <f>IF(TABLERO!M11="NORMA","ART.220-13 RECEPTACULOS: ","RECEPTACULOS: ")</f>
        <v xml:space="preserve">RECEPTACULOS: </v>
      </c>
      <c r="H19" s="746" t="str">
        <f>'CUADRO (1)'!$AU18</f>
        <v>20,136.00 W</v>
      </c>
      <c r="I19" s="660">
        <f>TABLERO!BK26</f>
        <v>1</v>
      </c>
      <c r="J19" s="746" t="str">
        <f>'CUADRO (1)'!$AY18</f>
        <v>20,136.00 W</v>
      </c>
    </row>
    <row r="20" spans="1:12">
      <c r="A20" s="662" t="s">
        <v>178</v>
      </c>
      <c r="B20" s="1195">
        <f>IF(TABLERO!F10=0,"",TABLERO!F10)</f>
        <v>3</v>
      </c>
      <c r="C20" s="1195"/>
      <c r="G20" s="662" t="s">
        <v>115</v>
      </c>
      <c r="H20" s="746" t="str">
        <f>'CUADRO (1)'!$AU19</f>
        <v>38,707.02 W</v>
      </c>
      <c r="I20" s="660">
        <f>TABLERO!M13</f>
        <v>1</v>
      </c>
      <c r="J20" s="746" t="str">
        <f>'CUADRO (1)'!$AY19</f>
        <v>38,707.02 W</v>
      </c>
    </row>
    <row r="21" spans="1:12">
      <c r="A21" s="662" t="s">
        <v>179</v>
      </c>
      <c r="B21" s="1195">
        <f>IF(TABLERO!H10=0,"",TABLERO!H10)</f>
        <v>4</v>
      </c>
      <c r="C21" s="1195"/>
      <c r="G21" s="662" t="s">
        <v>116</v>
      </c>
      <c r="H21" s="746" t="str">
        <f>'CUADRO (1)'!$AU20</f>
        <v>0.00 W</v>
      </c>
      <c r="I21" s="660">
        <f>TABLERO!M16</f>
        <v>1</v>
      </c>
      <c r="J21" s="746" t="str">
        <f>'CUADRO (1)'!$AY20</f>
        <v>0.00 W</v>
      </c>
    </row>
    <row r="22" spans="1:12">
      <c r="A22" s="662" t="s">
        <v>180</v>
      </c>
      <c r="B22" s="1195">
        <f>IF(TABLERO!M8=0,"",TABLERO!M8)</f>
        <v>60</v>
      </c>
      <c r="C22" s="1195"/>
      <c r="G22" s="662" t="s">
        <v>47</v>
      </c>
      <c r="H22" s="746" t="str">
        <f>'CUADRO (1)'!$AU21</f>
        <v>0.00 W</v>
      </c>
      <c r="I22" s="660">
        <f>TABLERO!M14</f>
        <v>1</v>
      </c>
      <c r="J22" s="746" t="str">
        <f>'CUADRO (1)'!$AY21</f>
        <v>0.00 W</v>
      </c>
    </row>
    <row r="23" spans="1:12">
      <c r="A23" s="615" t="s">
        <v>181</v>
      </c>
      <c r="B23" s="621">
        <f>IF(TABLERO!F14=0,"",TABLERO!F14)</f>
        <v>0.9</v>
      </c>
      <c r="G23" s="662" t="s">
        <v>122</v>
      </c>
      <c r="H23" s="746" t="str">
        <f>'CUADRO (1)'!$AU22</f>
        <v>0.00 W</v>
      </c>
      <c r="I23" s="660">
        <f>TABLERO!M15</f>
        <v>1</v>
      </c>
      <c r="J23" s="746" t="str">
        <f>'CUADRO (1)'!$AY22</f>
        <v>0.00 W</v>
      </c>
    </row>
    <row r="24" spans="1:12">
      <c r="A24" s="615"/>
      <c r="H24" s="747"/>
      <c r="I24" s="747"/>
      <c r="J24" s="747"/>
    </row>
    <row r="25" spans="1:12">
      <c r="A25" s="662" t="s">
        <v>120</v>
      </c>
      <c r="B25" s="659"/>
      <c r="C25" s="659"/>
      <c r="G25" s="662" t="s">
        <v>100</v>
      </c>
      <c r="H25" s="748" t="str">
        <f>'CUADRO (1)'!$AU23</f>
        <v>93,443.02 W</v>
      </c>
      <c r="I25" s="663">
        <f>TABLERO!M17</f>
        <v>0.8</v>
      </c>
      <c r="J25" s="748" t="str">
        <f>'CUADRO (1)'!$AY23</f>
        <v>74,754.42 W</v>
      </c>
    </row>
    <row r="26" spans="1:12" ht="17.399999999999999">
      <c r="A26" s="662" t="s">
        <v>95</v>
      </c>
      <c r="B26" s="1189" t="str">
        <f>IF(TABLERO!M6=0,"",TABLERO!M6)</f>
        <v xml:space="preserve"> LA400M141B</v>
      </c>
      <c r="C26" s="1189"/>
      <c r="D26" s="1180" t="str">
        <f>IF(TABLERO!F5=0,"",TABLERO!F5)</f>
        <v>BODEGA</v>
      </c>
      <c r="E26" s="1180"/>
      <c r="F26" s="1180"/>
      <c r="G26" s="592"/>
    </row>
    <row r="27" spans="1:12" ht="18" thickBot="1">
      <c r="A27" s="662" t="s">
        <v>50</v>
      </c>
      <c r="B27" s="1190" t="str">
        <f>IF(TABLERO!M7=0,"",TABLERO!M7)</f>
        <v>SQUARED</v>
      </c>
      <c r="C27" s="1190"/>
      <c r="D27" s="1194"/>
      <c r="E27" s="1194"/>
      <c r="F27" s="1194"/>
      <c r="G27" s="592"/>
      <c r="I27" s="615" t="s">
        <v>195</v>
      </c>
      <c r="J27" s="622">
        <f>TABLERO!CK23</f>
        <v>16.526892140886932</v>
      </c>
    </row>
    <row r="28" spans="1:12">
      <c r="A28" s="709"/>
      <c r="B28" s="667"/>
      <c r="C28" s="667" t="s">
        <v>13</v>
      </c>
      <c r="D28" s="667" t="s">
        <v>14</v>
      </c>
      <c r="E28" s="667"/>
      <c r="F28" s="667"/>
      <c r="G28" s="667" t="s">
        <v>294</v>
      </c>
      <c r="H28" s="667" t="s">
        <v>9</v>
      </c>
      <c r="I28" s="667" t="s">
        <v>10</v>
      </c>
      <c r="J28" s="1191" t="s">
        <v>41</v>
      </c>
      <c r="K28" s="1192"/>
      <c r="L28" s="1193"/>
    </row>
    <row r="29" spans="1:12" ht="13.8" thickBot="1">
      <c r="A29" s="749" t="s">
        <v>5</v>
      </c>
      <c r="B29" s="750" t="s">
        <v>6</v>
      </c>
      <c r="C29" s="750">
        <f>'CUADRO (1)'!$AI$29</f>
        <v>0</v>
      </c>
      <c r="D29" s="750" t="s">
        <v>117</v>
      </c>
      <c r="E29" s="750" t="s">
        <v>118</v>
      </c>
      <c r="F29" s="750" t="s">
        <v>75</v>
      </c>
      <c r="G29" s="750" t="s">
        <v>25</v>
      </c>
      <c r="H29" s="750" t="s">
        <v>119</v>
      </c>
      <c r="I29" s="750" t="s">
        <v>106</v>
      </c>
      <c r="J29" s="751" t="s">
        <v>32</v>
      </c>
      <c r="K29" s="751" t="s">
        <v>26</v>
      </c>
      <c r="L29" s="752" t="s">
        <v>27</v>
      </c>
    </row>
    <row r="30" spans="1:12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7"/>
    </row>
    <row r="31" spans="1:12">
      <c r="A31" s="753" t="str">
        <f>TABLERO!B31&amp;IF(TABLERO!C31="","",","&amp;TABLERO!C31)&amp;IF(TABLERO!D31="","",","&amp;TABLERO!D31)</f>
        <v>1,3,5</v>
      </c>
      <c r="B31" s="754" t="str">
        <f>IF(TABLERO!E31=0,"",TABLERO!E31)</f>
        <v>TAB-A</v>
      </c>
      <c r="C31" s="755">
        <f>IF(TABLERO!BB31=0,"",IF(TABLERO!$F$17&lt;&gt;"KVA",TABLERO!BT31*1000,TABLERO!BT31*1000/TABLERO!DA31))</f>
        <v>12404</v>
      </c>
      <c r="D31" s="756">
        <f>IF(OR(TABLERO!BU31="",TABLERO!BU31=0),"",TABLERO!BU31)</f>
        <v>36.211829275413088</v>
      </c>
      <c r="E31" s="754" t="str">
        <f>IF(OR(TABLERO!BB31=0,TABLERO!H31="RE"),"",TABLERO!F31&amp;"P-"&amp;TABLERO!BW31&amp;"A")</f>
        <v>3P-60A</v>
      </c>
      <c r="F31" s="754" t="str">
        <f>IF(OR(TABLERO!BB31=0,TABLERO!BB31=""),"",IF(TABLERO!$H31="RE","",IF(ISNA(TABLERO!ED31),"*** REVISA TU ALIMENTADOR ***",IF(OR(TABLERO!BB31=0,TABLERO!H31="RE"),"",TABLERO!G31*TABLERO!N31&amp;"-"&amp;TABLERO!BX31&amp;""&amp;TABLERO!ED31&amp;","&amp;TABLERO!I31&amp;",("&amp;TABLERO!N31&amp;"xF"&amp;IF(TABLERO!F31=TABLERO!G31,")","-"&amp;TABLERO!N31&amp;"N)")))&amp;", "&amp;IF(OR(TABLERO!BB31=0,TABLERO!H31="RE"),"",TABLERO!O31&amp;"-"&amp;TABLERO!CA31&amp;"T AWG")&amp;", "&amp;IF(OR(TABLERO!BB31=0,TABLERO!H31="RE"),"",TABLERO!O31&amp;TABLERO!CB31)))</f>
        <v>4-2AWG,CU,(1xF-1N), 1-6T AWG, 1T-35 mm</v>
      </c>
      <c r="G31" s="757">
        <f>IF(TABLERO!BY31=0,"",TABLERO!BY31)</f>
        <v>95</v>
      </c>
      <c r="H31" s="756">
        <f>IF(TABLERO!BB31=0,"",TABLERO!K31)</f>
        <v>120</v>
      </c>
      <c r="I31" s="756">
        <f>'CUADRO (1)'!$AV31</f>
        <v>2.3082764552807684</v>
      </c>
      <c r="J31" s="756">
        <f>'CUADRO (1)'!$BA31</f>
        <v>3544</v>
      </c>
      <c r="K31" s="756">
        <f>'CUADRO (1)'!$BB31</f>
        <v>3930</v>
      </c>
      <c r="L31" s="758">
        <f>'CUADRO (1)'!$BC31</f>
        <v>4930</v>
      </c>
    </row>
    <row r="32" spans="1:12">
      <c r="A32" s="753" t="str">
        <f>TABLERO!B32&amp;IF(TABLERO!C32="","",","&amp;TABLERO!C32)&amp;IF(TABLERO!D32="","",","&amp;TABLERO!D32)</f>
        <v>2,4,6</v>
      </c>
      <c r="B32" s="754" t="str">
        <f>IF(TABLERO!E32=0,"",TABLERO!E32)</f>
        <v>TAB-B</v>
      </c>
      <c r="C32" s="755">
        <f>IF(TABLERO!BB32=0,"",IF(TABLERO!$F$17&lt;&gt;"KVA",TABLERO!BT32*1000,TABLERO!BT32*1000/TABLERO!DA32))</f>
        <v>9831.9999999999982</v>
      </c>
      <c r="D32" s="756">
        <f>IF(OR(TABLERO!BU32="",TABLERO!BU32=0),"",TABLERO!BU32)</f>
        <v>28.703217142523496</v>
      </c>
      <c r="E32" s="754" t="str">
        <f>IF(OR(TABLERO!BB32=0,TABLERO!H32="RE"),"",TABLERO!F32&amp;"P-"&amp;TABLERO!BW32&amp;"A")</f>
        <v>3P-60A</v>
      </c>
      <c r="F32" s="754" t="str">
        <f>IF(OR(TABLERO!BB32=0,TABLERO!BB32=""),"",IF(TABLERO!$H32="RE","",IF(ISNA(TABLERO!ED32),"*** REVISA TU ALIMENTADOR ***",IF(OR(TABLERO!BB32=0,TABLERO!H32="RE"),"",TABLERO!G32*TABLERO!N32&amp;"-"&amp;TABLERO!BX32&amp;""&amp;TABLERO!ED32&amp;","&amp;TABLERO!I32&amp;",("&amp;TABLERO!N32&amp;"xF"&amp;IF(TABLERO!F32=TABLERO!G32,")","-"&amp;TABLERO!N32&amp;"N)")))&amp;", "&amp;IF(OR(TABLERO!BB32=0,TABLERO!H32="RE"),"",TABLERO!O32&amp;"-"&amp;TABLERO!CA32&amp;"T AWG")&amp;", "&amp;IF(OR(TABLERO!BB32=0,TABLERO!H32="RE"),"",TABLERO!O32&amp;TABLERO!CB32)))</f>
        <v>4-4AWG,CU,(1xF-1N), 1-6T AWG, 1T-35 mm</v>
      </c>
      <c r="G32" s="757">
        <f>IF(TABLERO!BY32=0,"",TABLERO!BY32)</f>
        <v>70</v>
      </c>
      <c r="H32" s="756">
        <f>IF(TABLERO!BB32=0,"",TABLERO!K32)</f>
        <v>40</v>
      </c>
      <c r="I32" s="756">
        <f>'CUADRO (1)'!$AV32</f>
        <v>0.90634094397924403</v>
      </c>
      <c r="J32" s="756">
        <f>'CUADRO (1)'!$BA32</f>
        <v>3416</v>
      </c>
      <c r="K32" s="756">
        <f>'CUADRO (1)'!$BB32</f>
        <v>3444</v>
      </c>
      <c r="L32" s="758">
        <f>'CUADRO (1)'!$BC32</f>
        <v>2972</v>
      </c>
    </row>
    <row r="33" spans="1:12">
      <c r="A33" s="753" t="str">
        <f>TABLERO!B33&amp;IF(TABLERO!C33="","",","&amp;TABLERO!C33)&amp;IF(TABLERO!D33="","",","&amp;TABLERO!D33)</f>
        <v>7,9,11</v>
      </c>
      <c r="B33" s="754" t="str">
        <f>IF(TABLERO!E33=0,"",TABLERO!E33)</f>
        <v>TAB-C</v>
      </c>
      <c r="C33" s="755">
        <f>IF(TABLERO!BB33=0,"",IF(TABLERO!$F$17&lt;&gt;"KVA",TABLERO!BT33*1000,TABLERO!BT33*1000/TABLERO!DA33))</f>
        <v>30000</v>
      </c>
      <c r="D33" s="756">
        <f>IF(OR(TABLERO!BU33="",TABLERO!BU33=0),"",TABLERO!BU33)</f>
        <v>87.581012436503769</v>
      </c>
      <c r="E33" s="754" t="str">
        <f>IF(OR(TABLERO!BB33=0,TABLERO!H33="RE"),"",TABLERO!F33&amp;"P-"&amp;TABLERO!BW33&amp;"A")</f>
        <v>3P-150A</v>
      </c>
      <c r="F33" s="754" t="str">
        <f>IF(OR(TABLERO!BB33=0,TABLERO!BB33=""),"",IF(TABLERO!$H33="RE","",IF(ISNA(TABLERO!ED33),"*** REVISA TU ALIMENTADOR ***",IF(OR(TABLERO!BB33=0,TABLERO!H33="RE"),"",TABLERO!G33*TABLERO!N33&amp;"-"&amp;TABLERO!BX33&amp;""&amp;TABLERO!ED33&amp;","&amp;TABLERO!I33&amp;",("&amp;TABLERO!N33&amp;"xF"&amp;IF(TABLERO!F33=TABLERO!G33,")","-"&amp;TABLERO!N33&amp;"N)")))&amp;", "&amp;IF(OR(TABLERO!BB33=0,TABLERO!H33="RE"),"",TABLERO!O33&amp;"-"&amp;TABLERO!CA33&amp;"T AWG")&amp;", "&amp;IF(OR(TABLERO!BB33=0,TABLERO!H33="RE"),"",TABLERO!O33&amp;TABLERO!CB33)))</f>
        <v>4-4/0AWG,AL,(1xF-1N), 1-2T AWG, 1MC-STABILOY</v>
      </c>
      <c r="G33" s="757">
        <f>IF(TABLERO!BY33=0,"",TABLERO!BY33)</f>
        <v>180</v>
      </c>
      <c r="H33" s="756">
        <f>IF(TABLERO!BB33=0,"",TABLERO!K33)</f>
        <v>120</v>
      </c>
      <c r="I33" s="756">
        <f>'CUADRO (1)'!$AV33</f>
        <v>3.0561455566704896</v>
      </c>
      <c r="J33" s="756">
        <f>'CUADRO (1)'!$BA33</f>
        <v>12000</v>
      </c>
      <c r="K33" s="756">
        <f>'CUADRO (1)'!$BB33</f>
        <v>12000</v>
      </c>
      <c r="L33" s="758">
        <f>'CUADRO (1)'!$BC33</f>
        <v>6000</v>
      </c>
    </row>
    <row r="34" spans="1:12">
      <c r="A34" s="753" t="str">
        <f>TABLERO!B34&amp;IF(TABLERO!C34="","",","&amp;TABLERO!C34)&amp;IF(TABLERO!D34="","",","&amp;TABLERO!D34)</f>
        <v>8,10,12</v>
      </c>
      <c r="B34" s="754" t="str">
        <f>IF(TABLERO!E34=0,"",TABLERO!E34)</f>
        <v>COMP. CARTON</v>
      </c>
      <c r="C34" s="755">
        <f>IF(TABLERO!BB34=0,"",IF(TABLERO!$F$17&lt;&gt;"KVA",TABLERO!BT34*1000,TABLERO!BT34*1000/TABLERO!DA34))</f>
        <v>15825.348000000002</v>
      </c>
      <c r="D34" s="756">
        <f>IF(OR(TABLERO!BU34="",TABLERO!BU34=0),"",TABLERO!BU34)</f>
        <v>46.2</v>
      </c>
      <c r="E34" s="754" t="str">
        <f>IF(OR(TABLERO!BB34=0,TABLERO!H34="RE"),"",TABLERO!F34&amp;"P-"&amp;TABLERO!BW34&amp;"A")</f>
        <v>3P-70A</v>
      </c>
      <c r="F34" s="754" t="str">
        <f>IF(OR(TABLERO!BB34=0,TABLERO!BB34=""),"",IF(TABLERO!$H34="RE","",IF(ISNA(TABLERO!ED34),"*** REVISA TU ALIMENTADOR ***",IF(OR(TABLERO!BB34=0,TABLERO!H34="RE"),"",TABLERO!G34*TABLERO!N34&amp;"-"&amp;TABLERO!BX34&amp;""&amp;TABLERO!ED34&amp;","&amp;TABLERO!I34&amp;",("&amp;TABLERO!N34&amp;"xF"&amp;IF(TABLERO!F34=TABLERO!G34,")","-"&amp;TABLERO!N34&amp;"N)")))&amp;", "&amp;IF(OR(TABLERO!BB34=0,TABLERO!H34="RE"),"",TABLERO!O34&amp;"-"&amp;TABLERO!CA34&amp;"T AWG")&amp;", "&amp;IF(OR(TABLERO!BB34=0,TABLERO!H34="RE"),"",TABLERO!O34&amp;TABLERO!CB34)))</f>
        <v>3-2AWG,AL,(1xF), 1-6T AWG, 1MC-STABILOY</v>
      </c>
      <c r="G34" s="757">
        <f>IF(TABLERO!BY34=0,"",TABLERO!BY34)</f>
        <v>75</v>
      </c>
      <c r="H34" s="756">
        <f>IF(TABLERO!BB34=0,"",TABLERO!K34)</f>
        <v>80</v>
      </c>
      <c r="I34" s="756">
        <f>'CUADRO (1)'!$AV34</f>
        <v>2.9834527627337737</v>
      </c>
      <c r="J34" s="756">
        <f>'CUADRO (1)'!$BA34</f>
        <v>5275.1160000000009</v>
      </c>
      <c r="K34" s="756">
        <f>'CUADRO (1)'!$BB34</f>
        <v>5275.1160000000009</v>
      </c>
      <c r="L34" s="758">
        <f>'CUADRO (1)'!$BC34</f>
        <v>5275.1160000000009</v>
      </c>
    </row>
    <row r="35" spans="1:12">
      <c r="A35" s="753" t="str">
        <f>TABLERO!B35&amp;IF(TABLERO!C35="","",","&amp;TABLERO!C35)&amp;IF(TABLERO!D35="","",","&amp;TABLERO!D35)</f>
        <v>13,15,17</v>
      </c>
      <c r="B35" s="754" t="str">
        <f>IF(TABLERO!E35=0,"",TABLERO!E35)</f>
        <v>VENT. EXTRACCION</v>
      </c>
      <c r="C35" s="755">
        <f>IF(TABLERO!BB35=0,"",IF(TABLERO!$F$17&lt;&gt;"KVA",TABLERO!BT35*1000,TABLERO!BT35*1000/TABLERO!DA35))</f>
        <v>5720.4179999999997</v>
      </c>
      <c r="D35" s="756">
        <f>IF(OR(TABLERO!BU35="",TABLERO!BU35=0),"",TABLERO!BU35)</f>
        <v>16.7</v>
      </c>
      <c r="E35" s="754" t="str">
        <f>IF(OR(TABLERO!BB35=0,TABLERO!H35="RE"),"",TABLERO!F35&amp;"P-"&amp;TABLERO!BW35&amp;"A")</f>
        <v>3P-30A</v>
      </c>
      <c r="F35" s="754" t="str">
        <f>IF(OR(TABLERO!BB35=0,TABLERO!BB35=""),"",IF(TABLERO!$H35="RE","",IF(ISNA(TABLERO!ED35),"*** REVISA TU ALIMENTADOR ***",IF(OR(TABLERO!BB35=0,TABLERO!H35="RE"),"",TABLERO!G35*TABLERO!N35&amp;"-"&amp;TABLERO!BX35&amp;""&amp;TABLERO!ED35&amp;","&amp;TABLERO!I35&amp;",("&amp;TABLERO!N35&amp;"xF"&amp;IF(TABLERO!F35=TABLERO!G35,")","-"&amp;TABLERO!N35&amp;"N)")))&amp;", "&amp;IF(OR(TABLERO!BB35=0,TABLERO!H35="RE"),"",TABLERO!O35&amp;"-"&amp;TABLERO!CA35&amp;"T AWG")&amp;", "&amp;IF(OR(TABLERO!BB35=0,TABLERO!H35="RE"),"",TABLERO!O35&amp;TABLERO!CB35)))</f>
        <v>3-10AWG,CU,(1xF), 1-10T AWG, 1T-16 mm</v>
      </c>
      <c r="G35" s="757">
        <f>IF(TABLERO!BY35=0,"",TABLERO!BY35)</f>
        <v>35</v>
      </c>
      <c r="H35" s="756">
        <f>IF(TABLERO!BB35=0,"",TABLERO!K35)</f>
        <v>43</v>
      </c>
      <c r="I35" s="756">
        <f>'CUADRO (1)'!$AV35</f>
        <v>2.0330052492005497</v>
      </c>
      <c r="J35" s="756">
        <f>'CUADRO (1)'!$BA35</f>
        <v>1906.8059999999998</v>
      </c>
      <c r="K35" s="756">
        <f>'CUADRO (1)'!$BB35</f>
        <v>1906.8059999999998</v>
      </c>
      <c r="L35" s="758">
        <f>'CUADRO (1)'!$BC35</f>
        <v>1906.8059999999998</v>
      </c>
    </row>
    <row r="36" spans="1:12">
      <c r="A36" s="753" t="str">
        <f>TABLERO!B36&amp;IF(TABLERO!C36="","",","&amp;TABLERO!C36)&amp;IF(TABLERO!D36="","",","&amp;TABLERO!D36)</f>
        <v>14,16,18</v>
      </c>
      <c r="B36" s="754" t="str">
        <f>IF(TABLERO!E36=0,"",TABLERO!E36)</f>
        <v>VENT. EXTRACCION</v>
      </c>
      <c r="C36" s="755">
        <f>IF(TABLERO!BB36=0,"",IF(TABLERO!$F$17&lt;&gt;"KVA",TABLERO!BT36*1000,TABLERO!BT36*1000/TABLERO!DA36))</f>
        <v>5720.4179999999997</v>
      </c>
      <c r="D36" s="756">
        <f>IF(OR(TABLERO!BU36="",TABLERO!BU36=0),"",TABLERO!BU36)</f>
        <v>16.7</v>
      </c>
      <c r="E36" s="754" t="str">
        <f>IF(OR(TABLERO!BB36=0,TABLERO!H36="RE"),"",TABLERO!F36&amp;"P-"&amp;TABLERO!BW36&amp;"A")</f>
        <v>3P-30A</v>
      </c>
      <c r="F36" s="754" t="str">
        <f>IF(OR(TABLERO!BB36=0,TABLERO!BB36=""),"",IF(TABLERO!$H36="RE","",IF(ISNA(TABLERO!ED36),"*** REVISA TU ALIMENTADOR ***",IF(OR(TABLERO!BB36=0,TABLERO!H36="RE"),"",TABLERO!G36*TABLERO!N36&amp;"-"&amp;TABLERO!BX36&amp;""&amp;TABLERO!ED36&amp;","&amp;TABLERO!I36&amp;",("&amp;TABLERO!N36&amp;"xF"&amp;IF(TABLERO!F36=TABLERO!G36,")","-"&amp;TABLERO!N36&amp;"N)")))&amp;", "&amp;IF(OR(TABLERO!BB36=0,TABLERO!H36="RE"),"",TABLERO!O36&amp;"-"&amp;TABLERO!CA36&amp;"T AWG")&amp;", "&amp;IF(OR(TABLERO!BB36=0,TABLERO!H36="RE"),"",TABLERO!O36&amp;TABLERO!CB36)))</f>
        <v>2-10AWG,CU,(1xF-1N), 1-10T AWG, 1T-16 mm</v>
      </c>
      <c r="G36" s="757">
        <f>IF(TABLERO!BY36=0,"",TABLERO!BY36)</f>
        <v>35</v>
      </c>
      <c r="H36" s="756">
        <f>IF(TABLERO!BB36=0,"",TABLERO!K36)</f>
        <v>46</v>
      </c>
      <c r="I36" s="756">
        <f>'CUADRO (1)'!$AV36</f>
        <v>2.17484282472617</v>
      </c>
      <c r="J36" s="756">
        <f>'CUADRO (1)'!$BA36</f>
        <v>1906.8059999999998</v>
      </c>
      <c r="K36" s="756">
        <f>'CUADRO (1)'!$BB36</f>
        <v>1906.8059999999998</v>
      </c>
      <c r="L36" s="758">
        <f>'CUADRO (1)'!$BC36</f>
        <v>1906.8059999999998</v>
      </c>
    </row>
    <row r="37" spans="1:12">
      <c r="A37" s="753" t="str">
        <f>TABLERO!B37&amp;IF(TABLERO!C37="","",","&amp;TABLERO!C37)&amp;IF(TABLERO!D37="","",","&amp;TABLERO!D37)</f>
        <v>19,21,23</v>
      </c>
      <c r="B37" s="754" t="str">
        <f>IF(TABLERO!E37=0,"",TABLERO!E37)</f>
        <v>VENT. EXTRACCION</v>
      </c>
      <c r="C37" s="755">
        <f>IF(TABLERO!BB37=0,"",IF(TABLERO!$F$17&lt;&gt;"KVA",TABLERO!BT37*1000,TABLERO!BT37*1000/TABLERO!DA37))</f>
        <v>5720.4179999999997</v>
      </c>
      <c r="D37" s="756">
        <f>IF(OR(TABLERO!BU37="",TABLERO!BU37=0),"",TABLERO!BU37)</f>
        <v>16.7</v>
      </c>
      <c r="E37" s="754" t="str">
        <f>IF(OR(TABLERO!BB37=0,TABLERO!H37="RE"),"",TABLERO!F37&amp;"P-"&amp;TABLERO!BW37&amp;"A")</f>
        <v>3P-30A</v>
      </c>
      <c r="F37" s="754" t="str">
        <f>IF(OR(TABLERO!BB37=0,TABLERO!BB37=""),"",IF(TABLERO!$H37="RE","",IF(ISNA(TABLERO!ED37),"*** REVISA TU ALIMENTADOR ***",IF(OR(TABLERO!BB37=0,TABLERO!H37="RE"),"",TABLERO!G37*TABLERO!N37&amp;"-"&amp;TABLERO!BX37&amp;""&amp;TABLERO!ED37&amp;","&amp;TABLERO!I37&amp;",("&amp;TABLERO!N37&amp;"xF"&amp;IF(TABLERO!F37=TABLERO!G37,")","-"&amp;TABLERO!N37&amp;"N)")))&amp;", "&amp;IF(OR(TABLERO!BB37=0,TABLERO!H37="RE"),"",TABLERO!O37&amp;"-"&amp;TABLERO!CA37&amp;"T AWG")&amp;", "&amp;IF(OR(TABLERO!BB37=0,TABLERO!H37="RE"),"",TABLERO!O37&amp;TABLERO!CB37)))</f>
        <v>3-10AWG,CU,(1xF), 1-10T AWG, 1T-16 mm</v>
      </c>
      <c r="G37" s="757">
        <f>IF(TABLERO!BY37=0,"",TABLERO!BY37)</f>
        <v>35</v>
      </c>
      <c r="H37" s="756">
        <f>IF(TABLERO!BB37=0,"",TABLERO!K37)</f>
        <v>49</v>
      </c>
      <c r="I37" s="756">
        <f>'CUADRO (1)'!$AV37</f>
        <v>2.3166804002517893</v>
      </c>
      <c r="J37" s="756">
        <f>'CUADRO (1)'!$BA37</f>
        <v>1906.8059999999998</v>
      </c>
      <c r="K37" s="756">
        <f>'CUADRO (1)'!$BB37</f>
        <v>1906.8059999999998</v>
      </c>
      <c r="L37" s="758">
        <f>'CUADRO (1)'!$BC37</f>
        <v>1906.8059999999998</v>
      </c>
    </row>
    <row r="38" spans="1:12">
      <c r="A38" s="753" t="str">
        <f>TABLERO!B38&amp;IF(TABLERO!C38="","",","&amp;TABLERO!C38)&amp;IF(TABLERO!D38="","",","&amp;TABLERO!D38)</f>
        <v>24,26,28</v>
      </c>
      <c r="B38" s="754" t="str">
        <f>IF(TABLERO!E38=0,"",TABLERO!E38)</f>
        <v>VENT. EXTRACCION</v>
      </c>
      <c r="C38" s="755">
        <f>IF(TABLERO!BB38=0,"",IF(TABLERO!$F$17&lt;&gt;"KVA",TABLERO!BT38*1000,TABLERO!BT38*1000/TABLERO!DA38))</f>
        <v>5720.4179999999997</v>
      </c>
      <c r="D38" s="756">
        <f>IF(OR(TABLERO!BU38="",TABLERO!BU38=0),"",TABLERO!BU38)</f>
        <v>16.7</v>
      </c>
      <c r="E38" s="754" t="str">
        <f>IF(OR(TABLERO!BB38=0,TABLERO!H38="RE"),"",TABLERO!F38&amp;"P-"&amp;TABLERO!BW38&amp;"A")</f>
        <v>3P-30A</v>
      </c>
      <c r="F38" s="754" t="str">
        <f>IF(OR(TABLERO!BB38=0,TABLERO!BB38=""),"",IF(TABLERO!$H38="RE","",IF(ISNA(TABLERO!ED38),"*** REVISA TU ALIMENTADOR ***",IF(OR(TABLERO!BB38=0,TABLERO!H38="RE"),"",TABLERO!G38*TABLERO!N38&amp;"-"&amp;TABLERO!BX38&amp;""&amp;TABLERO!ED38&amp;","&amp;TABLERO!I38&amp;",("&amp;TABLERO!N38&amp;"xF"&amp;IF(TABLERO!F38=TABLERO!G38,")","-"&amp;TABLERO!N38&amp;"N)")))&amp;", "&amp;IF(OR(TABLERO!BB38=0,TABLERO!H38="RE"),"",TABLERO!O38&amp;"-"&amp;TABLERO!CA38&amp;"T AWG")&amp;", "&amp;IF(OR(TABLERO!BB38=0,TABLERO!H38="RE"),"",TABLERO!O38&amp;TABLERO!CB38)))</f>
        <v>3-10AWG,CU,(1xF), 1-10T AWG, 1T-16 mm</v>
      </c>
      <c r="G38" s="757">
        <f>IF(TABLERO!BY38=0,"",TABLERO!BY38)</f>
        <v>35</v>
      </c>
      <c r="H38" s="756">
        <f>IF(TABLERO!BB38=0,"",TABLERO!K38)</f>
        <v>52</v>
      </c>
      <c r="I38" s="756">
        <f>'CUADRO (1)'!$AV38</f>
        <v>2.4585179757774087</v>
      </c>
      <c r="J38" s="756">
        <f>'CUADRO (1)'!$BA38</f>
        <v>1906.8059999999998</v>
      </c>
      <c r="K38" s="756">
        <f>'CUADRO (1)'!$BB38</f>
        <v>1906.8059999999998</v>
      </c>
      <c r="L38" s="758">
        <f>'CUADRO (1)'!$BC38</f>
        <v>1906.8059999999998</v>
      </c>
    </row>
    <row r="39" spans="1:12">
      <c r="A39" s="753" t="str">
        <f>TABLERO!B39&amp;IF(TABLERO!C39="","",","&amp;TABLERO!C39)&amp;IF(TABLERO!D39="","",","&amp;TABLERO!D39)</f>
        <v>25,27,29</v>
      </c>
      <c r="B39" s="754" t="str">
        <f>IF(TABLERO!E39=0,"",TABLERO!E39)</f>
        <v>CONT. MANTENIMIENTO</v>
      </c>
      <c r="C39" s="755">
        <f>IF(TABLERO!BB39=0,"",IF(TABLERO!$F$17&lt;&gt;"KVA",TABLERO!BT39*1000,TABLERO!BT39*1000/TABLERO!DA39))</f>
        <v>2500</v>
      </c>
      <c r="D39" s="756">
        <f>IF(OR(TABLERO!BU39="",TABLERO!BU39=0),"",TABLERO!BU39)</f>
        <v>7.2984177030419799</v>
      </c>
      <c r="E39" s="754" t="str">
        <f>IF(OR(TABLERO!BB39=0,TABLERO!H39="RE"),"",TABLERO!F39&amp;"P-"&amp;TABLERO!BW39&amp;"A")</f>
        <v>3P-20A</v>
      </c>
      <c r="F39" s="754" t="str">
        <f>IF(OR(TABLERO!BB39=0,TABLERO!BB39=""),"",IF(TABLERO!$H39="RE","",IF(ISNA(TABLERO!ED39),"*** REVISA TU ALIMENTADOR ***",IF(OR(TABLERO!BB39=0,TABLERO!H39="RE"),"",TABLERO!G39*TABLERO!N39&amp;"-"&amp;TABLERO!BX39&amp;""&amp;TABLERO!ED39&amp;","&amp;TABLERO!I39&amp;",("&amp;TABLERO!N39&amp;"xF"&amp;IF(TABLERO!F39=TABLERO!G39,")","-"&amp;TABLERO!N39&amp;"N)")))&amp;", "&amp;IF(OR(TABLERO!BB39=0,TABLERO!H39="RE"),"",TABLERO!O39&amp;"-"&amp;TABLERO!CA39&amp;"T AWG")&amp;", "&amp;IF(OR(TABLERO!BB39=0,TABLERO!H39="RE"),"",TABLERO!O39&amp;TABLERO!CB39)))</f>
        <v>4-10AWG,CU,(1xF-1N), 1-10T AWG, 1T-16 mm</v>
      </c>
      <c r="G39" s="757">
        <f>IF(TABLERO!BY39=0,"",TABLERO!BY39)</f>
        <v>30</v>
      </c>
      <c r="H39" s="756">
        <f>IF(TABLERO!BB39=0,"",TABLERO!K39)</f>
        <v>25</v>
      </c>
      <c r="I39" s="756">
        <f>'CUADRO (1)'!$AV39</f>
        <v>0.51656181246144572</v>
      </c>
      <c r="J39" s="756">
        <f>'CUADRO (1)'!$BA39</f>
        <v>833.33333333333337</v>
      </c>
      <c r="K39" s="756">
        <f>'CUADRO (1)'!$BB39</f>
        <v>833.33333333333337</v>
      </c>
      <c r="L39" s="758">
        <f>'CUADRO (1)'!$BC39</f>
        <v>833.33333333333337</v>
      </c>
    </row>
    <row r="40" spans="1:12">
      <c r="A40" s="753" t="str">
        <f>TABLERO!B40&amp;IF(TABLERO!C40="","",","&amp;TABLERO!C40)&amp;IF(TABLERO!D40="","",","&amp;TABLERO!D40)</f>
        <v/>
      </c>
      <c r="B40" s="754" t="str">
        <f>IF(TABLERO!E40=0,"",TABLERO!E40)</f>
        <v/>
      </c>
      <c r="C40" s="755" t="str">
        <f>IF(TABLERO!BB40=0,"",IF(TABLERO!$F$17&lt;&gt;"KVA",TABLERO!BT40*1000,TABLERO!BT40*1000/TABLERO!DA40))</f>
        <v/>
      </c>
      <c r="D40" s="756" t="str">
        <f>IF(OR(TABLERO!BU40="",TABLERO!BU40=0),"",TABLERO!BU40)</f>
        <v/>
      </c>
      <c r="E40" s="754" t="str">
        <f>IF(OR(TABLERO!BB40=0,TABLERO!H40="RE"),"",TABLERO!F40&amp;"P-"&amp;TABLERO!BW40&amp;"A")</f>
        <v/>
      </c>
      <c r="F40" s="754" t="str">
        <f>IF(OR(TABLERO!BB40=0,TABLERO!BB40=""),"",IF(TABLERO!$H40="RE","",IF(ISNA(TABLERO!ED40),"*** REVISA TU ALIMENTADOR ***",IF(OR(TABLERO!BB40=0,TABLERO!H40="RE"),"",TABLERO!G40*TABLERO!N40&amp;"-"&amp;TABLERO!BX40&amp;""&amp;TABLERO!ED40&amp;","&amp;TABLERO!I40&amp;",("&amp;TABLERO!N40&amp;"xF"&amp;IF(TABLERO!F40=TABLERO!G40,")","-"&amp;TABLERO!N40&amp;"N)")))&amp;", "&amp;IF(OR(TABLERO!BB40=0,TABLERO!H40="RE"),"",TABLERO!O40&amp;"-"&amp;TABLERO!CA40&amp;"T AWG")&amp;", "&amp;IF(OR(TABLERO!BB40=0,TABLERO!H40="RE"),"",TABLERO!O40&amp;TABLERO!CB40)))</f>
        <v/>
      </c>
      <c r="G40" s="757" t="str">
        <f>IF(TABLERO!BY40=0,"",TABLERO!BY40)</f>
        <v/>
      </c>
      <c r="H40" s="756" t="str">
        <f>IF(TABLERO!BB40=0,"",TABLERO!K40)</f>
        <v/>
      </c>
      <c r="I40" s="756" t="str">
        <f>'CUADRO (1)'!$AV40</f>
        <v/>
      </c>
      <c r="J40" s="756" t="str">
        <f>'CUADRO (1)'!$BA40</f>
        <v/>
      </c>
      <c r="K40" s="756" t="str">
        <f>'CUADRO (1)'!$BB40</f>
        <v/>
      </c>
      <c r="L40" s="758" t="str">
        <f>'CUADRO (1)'!$BC40</f>
        <v/>
      </c>
    </row>
    <row r="41" spans="1:12">
      <c r="A41" s="753" t="str">
        <f>TABLERO!B41&amp;IF(TABLERO!C41="","",","&amp;TABLERO!C41)&amp;IF(TABLERO!D41="","",","&amp;TABLERO!D41)</f>
        <v/>
      </c>
      <c r="B41" s="754" t="str">
        <f>IF(TABLERO!E41=0,"",TABLERO!E41)</f>
        <v/>
      </c>
      <c r="C41" s="755" t="str">
        <f>IF(TABLERO!BB41=0,"",IF(TABLERO!$F$17&lt;&gt;"KVA",TABLERO!BT41*1000,TABLERO!BT41*1000/TABLERO!DA41))</f>
        <v/>
      </c>
      <c r="D41" s="756" t="str">
        <f>IF(OR(TABLERO!BU41="",TABLERO!BU41=0),"",TABLERO!BU41)</f>
        <v/>
      </c>
      <c r="E41" s="754" t="str">
        <f>IF(OR(TABLERO!BB41=0,TABLERO!H41="RE"),"",TABLERO!F41&amp;"P-"&amp;TABLERO!BW41&amp;"A")</f>
        <v/>
      </c>
      <c r="F41" s="754" t="str">
        <f>IF(OR(TABLERO!BB41=0,TABLERO!BB41=""),"",IF(TABLERO!$H41="RE","",IF(ISNA(TABLERO!ED41),"*** REVISA TU ALIMENTADOR ***",IF(OR(TABLERO!BB41=0,TABLERO!H41="RE"),"",TABLERO!G41*TABLERO!N41&amp;"-"&amp;TABLERO!BX41&amp;""&amp;TABLERO!ED41&amp;","&amp;TABLERO!I41&amp;",("&amp;TABLERO!N41&amp;"xF"&amp;IF(TABLERO!F41=TABLERO!G41,")","-"&amp;TABLERO!N41&amp;"N)")))&amp;", "&amp;IF(OR(TABLERO!BB41=0,TABLERO!H41="RE"),"",TABLERO!O41&amp;"-"&amp;TABLERO!CA41&amp;"T AWG")&amp;", "&amp;IF(OR(TABLERO!BB41=0,TABLERO!H41="RE"),"",TABLERO!O41&amp;TABLERO!CB41)))</f>
        <v/>
      </c>
      <c r="G41" s="757" t="str">
        <f>IF(TABLERO!BY41=0,"",TABLERO!BY41)</f>
        <v/>
      </c>
      <c r="H41" s="756" t="str">
        <f>IF(TABLERO!BB41=0,"",TABLERO!K41)</f>
        <v/>
      </c>
      <c r="I41" s="756" t="str">
        <f>'CUADRO (1)'!$AV41</f>
        <v/>
      </c>
      <c r="J41" s="756" t="str">
        <f>'CUADRO (1)'!$BA41</f>
        <v/>
      </c>
      <c r="K41" s="756" t="str">
        <f>'CUADRO (1)'!$BB41</f>
        <v/>
      </c>
      <c r="L41" s="758" t="str">
        <f>'CUADRO (1)'!$BC41</f>
        <v/>
      </c>
    </row>
    <row r="42" spans="1:12">
      <c r="A42" s="753" t="str">
        <f>TABLERO!B42&amp;IF(TABLERO!C42="","",","&amp;TABLERO!C42)&amp;IF(TABLERO!D42="","",","&amp;TABLERO!D42)</f>
        <v/>
      </c>
      <c r="B42" s="754" t="str">
        <f>IF(TABLERO!E42=0,"",TABLERO!E42)</f>
        <v/>
      </c>
      <c r="C42" s="755" t="str">
        <f>IF(TABLERO!BB42=0,"",IF(TABLERO!$F$17&lt;&gt;"KVA",TABLERO!BT42*1000,TABLERO!BT42*1000/TABLERO!DA42))</f>
        <v/>
      </c>
      <c r="D42" s="756" t="str">
        <f>IF(OR(TABLERO!BU42="",TABLERO!BU42=0),"",TABLERO!BU42)</f>
        <v/>
      </c>
      <c r="E42" s="754" t="str">
        <f>IF(OR(TABLERO!BB42=0,TABLERO!H42="RE"),"",TABLERO!F42&amp;"P-"&amp;TABLERO!BW42&amp;"A")</f>
        <v/>
      </c>
      <c r="F42" s="754" t="str">
        <f>IF(OR(TABLERO!BB42=0,TABLERO!BB42=""),"",IF(TABLERO!$H42="RE","",IF(ISNA(TABLERO!ED42),"*** REVISA TU ALIMENTADOR ***",IF(OR(TABLERO!BB42=0,TABLERO!H42="RE"),"",TABLERO!G42*TABLERO!N42&amp;"-"&amp;TABLERO!BX42&amp;""&amp;TABLERO!ED42&amp;","&amp;TABLERO!I42&amp;",("&amp;TABLERO!N42&amp;"xF"&amp;IF(TABLERO!F42=TABLERO!G42,")","-"&amp;TABLERO!N42&amp;"N)")))&amp;", "&amp;IF(OR(TABLERO!BB42=0,TABLERO!H42="RE"),"",TABLERO!O42&amp;"-"&amp;TABLERO!CA42&amp;"T AWG")&amp;", "&amp;IF(OR(TABLERO!BB42=0,TABLERO!H42="RE"),"",TABLERO!O42&amp;TABLERO!CB42)))</f>
        <v/>
      </c>
      <c r="G42" s="757" t="str">
        <f>IF(TABLERO!BY42=0,"",TABLERO!BY42)</f>
        <v/>
      </c>
      <c r="H42" s="756" t="str">
        <f>IF(TABLERO!BB42=0,"",TABLERO!K42)</f>
        <v/>
      </c>
      <c r="I42" s="756" t="str">
        <f>'CUADRO (1)'!$AV42</f>
        <v/>
      </c>
      <c r="J42" s="756" t="str">
        <f>'CUADRO (1)'!$BA42</f>
        <v/>
      </c>
      <c r="K42" s="756" t="str">
        <f>'CUADRO (1)'!$BB42</f>
        <v/>
      </c>
      <c r="L42" s="758" t="str">
        <f>'CUADRO (1)'!$BC42</f>
        <v/>
      </c>
    </row>
    <row r="43" spans="1:12">
      <c r="A43" s="753" t="str">
        <f>TABLERO!B43&amp;IF(TABLERO!C43="","",","&amp;TABLERO!C43)&amp;IF(TABLERO!D43="","",","&amp;TABLERO!D43)</f>
        <v/>
      </c>
      <c r="B43" s="754" t="str">
        <f>IF(TABLERO!E43=0,"",TABLERO!E43)</f>
        <v/>
      </c>
      <c r="C43" s="755" t="str">
        <f>IF(TABLERO!BB43=0,"",IF(TABLERO!$F$17&lt;&gt;"KVA",TABLERO!BT43*1000,TABLERO!BT43*1000/TABLERO!DA43))</f>
        <v/>
      </c>
      <c r="D43" s="756" t="str">
        <f>IF(OR(TABLERO!BU43="",TABLERO!BU43=0),"",TABLERO!BU43)</f>
        <v/>
      </c>
      <c r="E43" s="754" t="str">
        <f>IF(OR(TABLERO!BB43=0,TABLERO!H43="RE"),"",TABLERO!F43&amp;"P-"&amp;TABLERO!BW43&amp;"A")</f>
        <v/>
      </c>
      <c r="F43" s="754" t="str">
        <f>IF(OR(TABLERO!BB43=0,TABLERO!BB43=""),"",IF(TABLERO!$H43="RE","",IF(ISNA(TABLERO!ED43),"*** REVISA TU ALIMENTADOR ***",IF(OR(TABLERO!BB43=0,TABLERO!H43="RE"),"",TABLERO!G43*TABLERO!N43&amp;"-"&amp;TABLERO!BX43&amp;""&amp;TABLERO!ED43&amp;","&amp;TABLERO!I43&amp;",("&amp;TABLERO!N43&amp;"xF"&amp;IF(TABLERO!F43=TABLERO!G43,")","-"&amp;TABLERO!N43&amp;"N)")))&amp;", "&amp;IF(OR(TABLERO!BB43=0,TABLERO!H43="RE"),"",TABLERO!O43&amp;"-"&amp;TABLERO!CA43&amp;"T AWG")&amp;", "&amp;IF(OR(TABLERO!BB43=0,TABLERO!H43="RE"),"",TABLERO!O43&amp;TABLERO!CB43)))</f>
        <v/>
      </c>
      <c r="G43" s="757" t="str">
        <f>IF(TABLERO!BY43=0,"",TABLERO!BY43)</f>
        <v/>
      </c>
      <c r="H43" s="756" t="str">
        <f>IF(TABLERO!BB43=0,"",TABLERO!K43)</f>
        <v/>
      </c>
      <c r="I43" s="756" t="str">
        <f>'CUADRO (1)'!$AV43</f>
        <v/>
      </c>
      <c r="J43" s="756" t="str">
        <f>'CUADRO (1)'!$BA43</f>
        <v/>
      </c>
      <c r="K43" s="756" t="str">
        <f>'CUADRO (1)'!$BB43</f>
        <v/>
      </c>
      <c r="L43" s="758" t="str">
        <f>'CUADRO (1)'!$BC43</f>
        <v/>
      </c>
    </row>
    <row r="44" spans="1:12">
      <c r="A44" s="753" t="str">
        <f>TABLERO!B44&amp;IF(TABLERO!C44="","",","&amp;TABLERO!C44)&amp;IF(TABLERO!D44="","",","&amp;TABLERO!D44)</f>
        <v/>
      </c>
      <c r="B44" s="754" t="str">
        <f>IF(TABLERO!E44=0,"",TABLERO!E44)</f>
        <v/>
      </c>
      <c r="C44" s="755" t="str">
        <f>IF(TABLERO!BB44=0,"",IF(TABLERO!$F$17&lt;&gt;"KVA",TABLERO!BT44*1000,TABLERO!BT44*1000/TABLERO!DA44))</f>
        <v/>
      </c>
      <c r="D44" s="756" t="str">
        <f>IF(OR(TABLERO!BU44="",TABLERO!BU44=0),"",TABLERO!BU44)</f>
        <v/>
      </c>
      <c r="E44" s="754" t="str">
        <f>IF(OR(TABLERO!BB44=0,TABLERO!H44="RE"),"",TABLERO!F44&amp;"P-"&amp;TABLERO!BW44&amp;"A")</f>
        <v/>
      </c>
      <c r="F44" s="754" t="str">
        <f>IF(OR(TABLERO!BB44=0,TABLERO!BB44=""),"",IF(TABLERO!$H44="RE","",IF(ISNA(TABLERO!ED44),"*** REVISA TU ALIMENTADOR ***",IF(OR(TABLERO!BB44=0,TABLERO!H44="RE"),"",TABLERO!G44*TABLERO!N44&amp;"-"&amp;TABLERO!BX44&amp;""&amp;TABLERO!ED44&amp;","&amp;TABLERO!I44&amp;",("&amp;TABLERO!N44&amp;"xF"&amp;IF(TABLERO!F44=TABLERO!G44,")","-"&amp;TABLERO!N44&amp;"N)")))&amp;", "&amp;IF(OR(TABLERO!BB44=0,TABLERO!H44="RE"),"",TABLERO!O44&amp;"-"&amp;TABLERO!CA44&amp;"T AWG")&amp;", "&amp;IF(OR(TABLERO!BB44=0,TABLERO!H44="RE"),"",TABLERO!O44&amp;TABLERO!CB44)))</f>
        <v/>
      </c>
      <c r="G44" s="757" t="str">
        <f>IF(TABLERO!BY44=0,"",TABLERO!BY44)</f>
        <v/>
      </c>
      <c r="H44" s="756" t="str">
        <f>IF(TABLERO!BB44=0,"",TABLERO!K44)</f>
        <v/>
      </c>
      <c r="I44" s="756" t="str">
        <f>'CUADRO (1)'!$AV44</f>
        <v/>
      </c>
      <c r="J44" s="756" t="str">
        <f>'CUADRO (1)'!$BA44</f>
        <v/>
      </c>
      <c r="K44" s="756" t="str">
        <f>'CUADRO (1)'!$BB44</f>
        <v/>
      </c>
      <c r="L44" s="758" t="str">
        <f>'CUADRO (1)'!$BC44</f>
        <v/>
      </c>
    </row>
    <row r="45" spans="1:12">
      <c r="A45" s="753" t="str">
        <f>TABLERO!B45&amp;IF(TABLERO!C45="","",","&amp;TABLERO!C45)&amp;IF(TABLERO!D45="","",","&amp;TABLERO!D45)</f>
        <v/>
      </c>
      <c r="B45" s="754" t="str">
        <f>IF(TABLERO!E45=0,"",TABLERO!E45)</f>
        <v/>
      </c>
      <c r="C45" s="755" t="str">
        <f>IF(TABLERO!BB45=0,"",IF(TABLERO!$F$17&lt;&gt;"KVA",TABLERO!BT45*1000,TABLERO!BT45*1000/TABLERO!DA45))</f>
        <v/>
      </c>
      <c r="D45" s="756" t="str">
        <f>IF(OR(TABLERO!BU45="",TABLERO!BU45=0),"",TABLERO!BU45)</f>
        <v/>
      </c>
      <c r="E45" s="754" t="str">
        <f>IF(OR(TABLERO!BB45=0,TABLERO!H45="RE"),"",TABLERO!F45&amp;"P-"&amp;TABLERO!BW45&amp;"A")</f>
        <v/>
      </c>
      <c r="F45" s="754" t="str">
        <f>IF(OR(TABLERO!BB45=0,TABLERO!BB45=""),"",IF(TABLERO!$H45="RE","",IF(ISNA(TABLERO!ED45),"*** REVISA TU ALIMENTADOR ***",IF(OR(TABLERO!BB45=0,TABLERO!H45="RE"),"",TABLERO!G45*TABLERO!N45&amp;"-"&amp;TABLERO!BX45&amp;""&amp;TABLERO!ED45&amp;","&amp;TABLERO!I45&amp;",("&amp;TABLERO!N45&amp;"xF"&amp;IF(TABLERO!F45=TABLERO!G45,")","-"&amp;TABLERO!N45&amp;"N)")))&amp;", "&amp;IF(OR(TABLERO!BB45=0,TABLERO!H45="RE"),"",TABLERO!O45&amp;"-"&amp;TABLERO!CA45&amp;"T AWG")&amp;", "&amp;IF(OR(TABLERO!BB45=0,TABLERO!H45="RE"),"",TABLERO!O45&amp;TABLERO!CB45)))</f>
        <v/>
      </c>
      <c r="G45" s="757" t="str">
        <f>IF(TABLERO!BY45=0,"",TABLERO!BY45)</f>
        <v/>
      </c>
      <c r="H45" s="756" t="str">
        <f>IF(TABLERO!BB45=0,"",TABLERO!K45)</f>
        <v/>
      </c>
      <c r="I45" s="756" t="str">
        <f>'CUADRO (1)'!$AV45</f>
        <v/>
      </c>
      <c r="J45" s="756" t="str">
        <f>'CUADRO (1)'!$BA45</f>
        <v/>
      </c>
      <c r="K45" s="756" t="str">
        <f>'CUADRO (1)'!$BB45</f>
        <v/>
      </c>
      <c r="L45" s="758" t="str">
        <f>'CUADRO (1)'!$BC45</f>
        <v/>
      </c>
    </row>
    <row r="46" spans="1:12">
      <c r="A46" s="753" t="str">
        <f>TABLERO!B46&amp;IF(TABLERO!C46="","",","&amp;TABLERO!C46)&amp;IF(TABLERO!D46="","",","&amp;TABLERO!D46)</f>
        <v/>
      </c>
      <c r="B46" s="754" t="str">
        <f>IF(TABLERO!E46=0,"",TABLERO!E46)</f>
        <v/>
      </c>
      <c r="C46" s="755" t="str">
        <f>IF(TABLERO!BB46=0,"",IF(TABLERO!$F$17&lt;&gt;"KVA",TABLERO!BT46*1000,TABLERO!BT46*1000/TABLERO!DA46))</f>
        <v/>
      </c>
      <c r="D46" s="756" t="str">
        <f>IF(OR(TABLERO!BU46="",TABLERO!BU46=0),"",TABLERO!BU46)</f>
        <v/>
      </c>
      <c r="E46" s="754" t="str">
        <f>IF(OR(TABLERO!BB46=0,TABLERO!H46="RE"),"",TABLERO!F46&amp;"P-"&amp;TABLERO!BW46&amp;"A")</f>
        <v/>
      </c>
      <c r="F46" s="754" t="str">
        <f>IF(OR(TABLERO!BB46=0,TABLERO!BB46=""),"",IF(TABLERO!$H46="RE","",IF(ISNA(TABLERO!ED46),"*** REVISA TU ALIMENTADOR ***",IF(OR(TABLERO!BB46=0,TABLERO!H46="RE"),"",TABLERO!G46*TABLERO!N46&amp;"-"&amp;TABLERO!BX46&amp;""&amp;TABLERO!ED46&amp;","&amp;TABLERO!I46&amp;",("&amp;TABLERO!N46&amp;"xF"&amp;IF(TABLERO!F46=TABLERO!G46,")","-"&amp;TABLERO!N46&amp;"N)")))&amp;", "&amp;IF(OR(TABLERO!BB46=0,TABLERO!H46="RE"),"",TABLERO!O46&amp;"-"&amp;TABLERO!CA46&amp;"T AWG")&amp;", "&amp;IF(OR(TABLERO!BB46=0,TABLERO!H46="RE"),"",TABLERO!O46&amp;TABLERO!CB46)))</f>
        <v/>
      </c>
      <c r="G46" s="757" t="str">
        <f>IF(TABLERO!BY46=0,"",TABLERO!BY46)</f>
        <v/>
      </c>
      <c r="H46" s="756" t="str">
        <f>IF(TABLERO!BB46=0,"",TABLERO!K46)</f>
        <v/>
      </c>
      <c r="I46" s="756" t="str">
        <f>'CUADRO (1)'!$AV46</f>
        <v/>
      </c>
      <c r="J46" s="756" t="str">
        <f>'CUADRO (1)'!$BA46</f>
        <v/>
      </c>
      <c r="K46" s="756" t="str">
        <f>'CUADRO (1)'!$BB46</f>
        <v/>
      </c>
      <c r="L46" s="758" t="str">
        <f>'CUADRO (1)'!$BC46</f>
        <v/>
      </c>
    </row>
    <row r="47" spans="1:12">
      <c r="A47" s="753" t="str">
        <f>TABLERO!B47&amp;IF(TABLERO!C47="","",","&amp;TABLERO!C47)&amp;IF(TABLERO!D47="","",","&amp;TABLERO!D47)</f>
        <v/>
      </c>
      <c r="B47" s="754" t="str">
        <f>IF(TABLERO!E47=0,"",TABLERO!E47)</f>
        <v/>
      </c>
      <c r="C47" s="755" t="str">
        <f>IF(TABLERO!BB47=0,"",IF(TABLERO!$F$17&lt;&gt;"KVA",TABLERO!BT47*1000,TABLERO!BT47*1000/TABLERO!DA47))</f>
        <v/>
      </c>
      <c r="D47" s="756" t="str">
        <f>IF(OR(TABLERO!BU47="",TABLERO!BU47=0),"",TABLERO!BU47)</f>
        <v/>
      </c>
      <c r="E47" s="754" t="str">
        <f>IF(OR(TABLERO!BB47=0,TABLERO!H47="RE"),"",TABLERO!F47&amp;"P-"&amp;TABLERO!BW47&amp;"A")</f>
        <v/>
      </c>
      <c r="F47" s="754" t="str">
        <f>IF(OR(TABLERO!BB47=0,TABLERO!BB47=""),"",IF(TABLERO!$H47="RE","",IF(ISNA(TABLERO!ED47),"*** REVISA TU ALIMENTADOR ***",IF(OR(TABLERO!BB47=0,TABLERO!H47="RE"),"",TABLERO!G47*TABLERO!N47&amp;"-"&amp;TABLERO!BX47&amp;""&amp;TABLERO!ED47&amp;","&amp;TABLERO!I47&amp;",("&amp;TABLERO!N47&amp;"xF"&amp;IF(TABLERO!F47=TABLERO!G47,")","-"&amp;TABLERO!N47&amp;"N)")))&amp;", "&amp;IF(OR(TABLERO!BB47=0,TABLERO!H47="RE"),"",TABLERO!O47&amp;"-"&amp;TABLERO!CA47&amp;"T AWG")&amp;", "&amp;IF(OR(TABLERO!BB47=0,TABLERO!H47="RE"),"",TABLERO!O47&amp;TABLERO!CB47)))</f>
        <v/>
      </c>
      <c r="G47" s="757" t="str">
        <f>IF(TABLERO!BY47=0,"",TABLERO!BY47)</f>
        <v/>
      </c>
      <c r="H47" s="756" t="str">
        <f>IF(TABLERO!BB47=0,"",TABLERO!K47)</f>
        <v/>
      </c>
      <c r="I47" s="756" t="str">
        <f>'CUADRO (1)'!$AV47</f>
        <v/>
      </c>
      <c r="J47" s="756" t="str">
        <f>'CUADRO (1)'!$BA47</f>
        <v/>
      </c>
      <c r="K47" s="756" t="str">
        <f>'CUADRO (1)'!$BB47</f>
        <v/>
      </c>
      <c r="L47" s="758" t="str">
        <f>'CUADRO (1)'!$BC47</f>
        <v/>
      </c>
    </row>
    <row r="48" spans="1:12">
      <c r="A48" s="753" t="str">
        <f>TABLERO!B48&amp;IF(TABLERO!C48="","",","&amp;TABLERO!C48)&amp;IF(TABLERO!D48="","",","&amp;TABLERO!D48)</f>
        <v/>
      </c>
      <c r="B48" s="754" t="str">
        <f>IF(TABLERO!E48=0,"",TABLERO!E48)</f>
        <v/>
      </c>
      <c r="C48" s="755" t="str">
        <f>IF(TABLERO!BB48=0,"",IF(TABLERO!$F$17&lt;&gt;"KVA",TABLERO!BT48*1000,TABLERO!BT48*1000/TABLERO!DA48))</f>
        <v/>
      </c>
      <c r="D48" s="756" t="str">
        <f>IF(OR(TABLERO!BU48="",TABLERO!BU48=0),"",TABLERO!BU48)</f>
        <v/>
      </c>
      <c r="E48" s="754" t="str">
        <f>IF(OR(TABLERO!BB48=0,TABLERO!H48="RE"),"",TABLERO!F48&amp;"P-"&amp;TABLERO!BW48&amp;"A")</f>
        <v/>
      </c>
      <c r="F48" s="754" t="str">
        <f>IF(OR(TABLERO!BB48=0,TABLERO!BB48=""),"",IF(TABLERO!$H48="RE","",IF(ISNA(TABLERO!ED48),"*** REVISA TU ALIMENTADOR ***",IF(OR(TABLERO!BB48=0,TABLERO!H48="RE"),"",TABLERO!G48*TABLERO!N48&amp;"-"&amp;TABLERO!BX48&amp;""&amp;TABLERO!ED48&amp;","&amp;TABLERO!I48&amp;",("&amp;TABLERO!N48&amp;"xF"&amp;IF(TABLERO!F48=TABLERO!G48,")","-"&amp;TABLERO!N48&amp;"N)")))&amp;", "&amp;IF(OR(TABLERO!BB48=0,TABLERO!H48="RE"),"",TABLERO!O48&amp;"-"&amp;TABLERO!CA48&amp;"T AWG")&amp;", "&amp;IF(OR(TABLERO!BB48=0,TABLERO!H48="RE"),"",TABLERO!O48&amp;TABLERO!CB48)))</f>
        <v/>
      </c>
      <c r="G48" s="757" t="str">
        <f>IF(TABLERO!BY48=0,"",TABLERO!BY48)</f>
        <v/>
      </c>
      <c r="H48" s="756" t="str">
        <f>IF(TABLERO!BB48=0,"",TABLERO!K48)</f>
        <v/>
      </c>
      <c r="I48" s="756" t="str">
        <f>'CUADRO (1)'!$AV48</f>
        <v/>
      </c>
      <c r="J48" s="756" t="str">
        <f>'CUADRO (1)'!$BA48</f>
        <v/>
      </c>
      <c r="K48" s="756" t="str">
        <f>'CUADRO (1)'!$BB48</f>
        <v/>
      </c>
      <c r="L48" s="758" t="str">
        <f>'CUADRO (1)'!$BC48</f>
        <v/>
      </c>
    </row>
    <row r="49" spans="1:12">
      <c r="A49" s="753" t="str">
        <f>TABLERO!B49&amp;IF(TABLERO!C49="","",","&amp;TABLERO!C49)&amp;IF(TABLERO!D49="","",","&amp;TABLERO!D49)</f>
        <v/>
      </c>
      <c r="B49" s="754" t="str">
        <f>IF(TABLERO!E49=0,"",TABLERO!E49)</f>
        <v/>
      </c>
      <c r="C49" s="755" t="str">
        <f>IF(TABLERO!BB49=0,"",IF(TABLERO!$F$17&lt;&gt;"KVA",TABLERO!BT49*1000,TABLERO!BT49*1000/TABLERO!DA49))</f>
        <v/>
      </c>
      <c r="D49" s="756" t="str">
        <f>IF(OR(TABLERO!BU49="",TABLERO!BU49=0),"",TABLERO!BU49)</f>
        <v/>
      </c>
      <c r="E49" s="754" t="str">
        <f>IF(OR(TABLERO!BB49=0,TABLERO!H49="RE"),"",TABLERO!F49&amp;"P-"&amp;TABLERO!BW49&amp;"A")</f>
        <v/>
      </c>
      <c r="F49" s="754" t="str">
        <f>IF(OR(TABLERO!BB49=0,TABLERO!BB49=""),"",IF(TABLERO!$H49="RE","",IF(ISNA(TABLERO!ED49),"*** REVISA TU ALIMENTADOR ***",IF(OR(TABLERO!BB49=0,TABLERO!H49="RE"),"",TABLERO!G49*TABLERO!N49&amp;"-"&amp;TABLERO!BX49&amp;""&amp;TABLERO!ED49&amp;","&amp;TABLERO!I49&amp;",("&amp;TABLERO!N49&amp;"xF"&amp;IF(TABLERO!F49=TABLERO!G49,")","-"&amp;TABLERO!N49&amp;"N)")))&amp;", "&amp;IF(OR(TABLERO!BB49=0,TABLERO!H49="RE"),"",TABLERO!O49&amp;"-"&amp;TABLERO!CA49&amp;"T AWG")&amp;", "&amp;IF(OR(TABLERO!BB49=0,TABLERO!H49="RE"),"",TABLERO!O49&amp;TABLERO!CB49)))</f>
        <v/>
      </c>
      <c r="G49" s="757" t="str">
        <f>IF(TABLERO!BY49=0,"",TABLERO!BY49)</f>
        <v/>
      </c>
      <c r="H49" s="756" t="str">
        <f>IF(TABLERO!BB49=0,"",TABLERO!K49)</f>
        <v/>
      </c>
      <c r="I49" s="756" t="str">
        <f>'CUADRO (1)'!$AV49</f>
        <v/>
      </c>
      <c r="J49" s="756" t="str">
        <f>'CUADRO (1)'!$BA49</f>
        <v/>
      </c>
      <c r="K49" s="756" t="str">
        <f>'CUADRO (1)'!$BB49</f>
        <v/>
      </c>
      <c r="L49" s="758" t="str">
        <f>'CUADRO (1)'!$BC49</f>
        <v/>
      </c>
    </row>
    <row r="50" spans="1:12">
      <c r="A50" s="753" t="str">
        <f>TABLERO!B50&amp;IF(TABLERO!C50="","",","&amp;TABLERO!C50)&amp;IF(TABLERO!D50="","",","&amp;TABLERO!D50)</f>
        <v/>
      </c>
      <c r="B50" s="754" t="str">
        <f>IF(TABLERO!E50=0,"",TABLERO!E50)</f>
        <v/>
      </c>
      <c r="C50" s="755" t="str">
        <f>IF(TABLERO!BB50=0,"",IF(TABLERO!$F$17&lt;&gt;"KVA",TABLERO!BT50*1000,TABLERO!BT50*1000/TABLERO!DA50))</f>
        <v/>
      </c>
      <c r="D50" s="756" t="str">
        <f>IF(OR(TABLERO!BU50="",TABLERO!BU50=0),"",TABLERO!BU50)</f>
        <v/>
      </c>
      <c r="E50" s="754" t="str">
        <f>IF(OR(TABLERO!BB50=0,TABLERO!H50="RE"),"",TABLERO!F50&amp;"P-"&amp;TABLERO!BW50&amp;"A")</f>
        <v/>
      </c>
      <c r="F50" s="754" t="str">
        <f>IF(OR(TABLERO!BB50=0,TABLERO!BB50=""),"",IF(TABLERO!$H50="RE","",IF(ISNA(TABLERO!ED50),"*** REVISA TU ALIMENTADOR ***",IF(OR(TABLERO!BB50=0,TABLERO!H50="RE"),"",TABLERO!G50*TABLERO!N50&amp;"-"&amp;TABLERO!BX50&amp;""&amp;TABLERO!ED50&amp;","&amp;TABLERO!I50&amp;",("&amp;TABLERO!N50&amp;"xF"&amp;IF(TABLERO!F50=TABLERO!G50,")","-"&amp;TABLERO!N50&amp;"N)")))&amp;", "&amp;IF(OR(TABLERO!BB50=0,TABLERO!H50="RE"),"",TABLERO!O50&amp;"-"&amp;TABLERO!CA50&amp;"T AWG")&amp;", "&amp;IF(OR(TABLERO!BB50=0,TABLERO!H50="RE"),"",TABLERO!O50&amp;TABLERO!CB50)))</f>
        <v/>
      </c>
      <c r="G50" s="757" t="str">
        <f>IF(TABLERO!BY50=0,"",TABLERO!BY50)</f>
        <v/>
      </c>
      <c r="H50" s="756" t="str">
        <f>IF(TABLERO!BB50=0,"",TABLERO!K50)</f>
        <v/>
      </c>
      <c r="I50" s="756" t="str">
        <f>'CUADRO (1)'!$AV50</f>
        <v/>
      </c>
      <c r="J50" s="756" t="str">
        <f>'CUADRO (1)'!$BA50</f>
        <v/>
      </c>
      <c r="K50" s="756" t="str">
        <f>'CUADRO (1)'!$BB50</f>
        <v/>
      </c>
      <c r="L50" s="758" t="str">
        <f>'CUADRO (1)'!$BC50</f>
        <v/>
      </c>
    </row>
    <row r="51" spans="1:12">
      <c r="A51" s="753" t="str">
        <f>TABLERO!B51&amp;IF(TABLERO!C51="","",","&amp;TABLERO!C51)&amp;IF(TABLERO!D51="","",","&amp;TABLERO!D51)</f>
        <v/>
      </c>
      <c r="B51" s="754" t="str">
        <f>IF(TABLERO!E51=0,"",TABLERO!E51)</f>
        <v/>
      </c>
      <c r="C51" s="755" t="str">
        <f>IF(TABLERO!BB51=0,"",IF(TABLERO!$F$17&lt;&gt;"KVA",TABLERO!BT51*1000,TABLERO!BT51*1000/TABLERO!DA51))</f>
        <v/>
      </c>
      <c r="D51" s="756" t="str">
        <f>IF(OR(TABLERO!BU51="",TABLERO!BU51=0),"",TABLERO!BU51)</f>
        <v/>
      </c>
      <c r="E51" s="754" t="str">
        <f>IF(OR(TABLERO!BB51=0,TABLERO!H51="RE"),"",TABLERO!F51&amp;"P-"&amp;TABLERO!BW51&amp;"A")</f>
        <v/>
      </c>
      <c r="F51" s="754" t="str">
        <f>IF(OR(TABLERO!BB51=0,TABLERO!BB51=""),"",IF(TABLERO!$H51="RE","",IF(ISNA(TABLERO!ED51),"*** REVISA TU ALIMENTADOR ***",IF(OR(TABLERO!BB51=0,TABLERO!H51="RE"),"",TABLERO!G51*TABLERO!N51&amp;"-"&amp;TABLERO!BX51&amp;""&amp;TABLERO!ED51&amp;","&amp;TABLERO!I51&amp;",("&amp;TABLERO!N51&amp;"xF"&amp;IF(TABLERO!F51=TABLERO!G51,")","-"&amp;TABLERO!N51&amp;"N)")))&amp;", "&amp;IF(OR(TABLERO!BB51=0,TABLERO!H51="RE"),"",TABLERO!O51&amp;"-"&amp;TABLERO!CA51&amp;"T AWG")&amp;", "&amp;IF(OR(TABLERO!BB51=0,TABLERO!H51="RE"),"",TABLERO!O51&amp;TABLERO!CB51)))</f>
        <v/>
      </c>
      <c r="G51" s="757" t="str">
        <f>IF(TABLERO!BY51=0,"",TABLERO!BY51)</f>
        <v/>
      </c>
      <c r="H51" s="756" t="str">
        <f>IF(TABLERO!BB51=0,"",TABLERO!K51)</f>
        <v/>
      </c>
      <c r="I51" s="756" t="str">
        <f>'CUADRO (1)'!$AV51</f>
        <v/>
      </c>
      <c r="J51" s="756" t="str">
        <f>'CUADRO (1)'!$BA51</f>
        <v/>
      </c>
      <c r="K51" s="756" t="str">
        <f>'CUADRO (1)'!$BB51</f>
        <v/>
      </c>
      <c r="L51" s="758" t="str">
        <f>'CUADRO (1)'!$BC51</f>
        <v/>
      </c>
    </row>
    <row r="52" spans="1:12">
      <c r="A52" s="753" t="str">
        <f>TABLERO!B52&amp;IF(TABLERO!C52="","",","&amp;TABLERO!C52)&amp;IF(TABLERO!D52="","",","&amp;TABLERO!D52)</f>
        <v/>
      </c>
      <c r="B52" s="754" t="str">
        <f>IF(TABLERO!E52=0,"",TABLERO!E52)</f>
        <v/>
      </c>
      <c r="C52" s="755" t="str">
        <f>IF(TABLERO!BB52=0,"",IF(TABLERO!$F$17&lt;&gt;"KVA",TABLERO!BT52*1000,TABLERO!BT52*1000/TABLERO!DA52))</f>
        <v/>
      </c>
      <c r="D52" s="756" t="str">
        <f>IF(OR(TABLERO!BU52="",TABLERO!BU52=0),"",TABLERO!BU52)</f>
        <v/>
      </c>
      <c r="E52" s="754" t="str">
        <f>IF(OR(TABLERO!BB52=0,TABLERO!H52="RE"),"",TABLERO!F52&amp;"P-"&amp;TABLERO!BW52&amp;"A")</f>
        <v/>
      </c>
      <c r="F52" s="754" t="str">
        <f>IF(OR(TABLERO!BB52=0,TABLERO!BB52=""),"",IF(TABLERO!$H52="RE","",IF(ISNA(TABLERO!ED52),"*** REVISA TU ALIMENTADOR ***",IF(OR(TABLERO!BB52=0,TABLERO!H52="RE"),"",TABLERO!G52*TABLERO!N52&amp;"-"&amp;TABLERO!BX52&amp;""&amp;TABLERO!ED52&amp;","&amp;TABLERO!I52&amp;",("&amp;TABLERO!N52&amp;"xF"&amp;IF(TABLERO!F52=TABLERO!G52,")","-"&amp;TABLERO!N52&amp;"N)")))&amp;", "&amp;IF(OR(TABLERO!BB52=0,TABLERO!H52="RE"),"",TABLERO!O52&amp;"-"&amp;TABLERO!CA52&amp;"T AWG")&amp;", "&amp;IF(OR(TABLERO!BB52=0,TABLERO!H52="RE"),"",TABLERO!O52&amp;TABLERO!CB52)))</f>
        <v/>
      </c>
      <c r="G52" s="757" t="str">
        <f>IF(TABLERO!BY52=0,"",TABLERO!BY52)</f>
        <v/>
      </c>
      <c r="H52" s="756" t="str">
        <f>IF(TABLERO!BB52=0,"",TABLERO!K52)</f>
        <v/>
      </c>
      <c r="I52" s="756" t="str">
        <f>'CUADRO (1)'!$AV52</f>
        <v/>
      </c>
      <c r="J52" s="756" t="str">
        <f>'CUADRO (1)'!$BA52</f>
        <v/>
      </c>
      <c r="K52" s="756" t="str">
        <f>'CUADRO (1)'!$BB52</f>
        <v/>
      </c>
      <c r="L52" s="758" t="str">
        <f>'CUADRO (1)'!$BC52</f>
        <v/>
      </c>
    </row>
    <row r="53" spans="1:12">
      <c r="A53" s="753" t="str">
        <f>TABLERO!B53&amp;IF(TABLERO!C53="","",","&amp;TABLERO!C53)&amp;IF(TABLERO!D53="","",","&amp;TABLERO!D53)</f>
        <v/>
      </c>
      <c r="B53" s="754" t="str">
        <f>IF(TABLERO!E53=0,"",TABLERO!E53)</f>
        <v/>
      </c>
      <c r="C53" s="755" t="str">
        <f>IF(TABLERO!BB53=0,"",IF(TABLERO!$F$17&lt;&gt;"KVA",TABLERO!BT53*1000,TABLERO!BT53*1000/TABLERO!DA53))</f>
        <v/>
      </c>
      <c r="D53" s="756" t="str">
        <f>IF(OR(TABLERO!BU53="",TABLERO!BU53=0),"",TABLERO!BU53)</f>
        <v/>
      </c>
      <c r="E53" s="754" t="str">
        <f>IF(OR(TABLERO!BB53=0,TABLERO!H53="RE"),"",TABLERO!F53&amp;"P-"&amp;TABLERO!BW53&amp;"A")</f>
        <v/>
      </c>
      <c r="F53" s="754" t="str">
        <f>IF(OR(TABLERO!BB53=0,TABLERO!BB53=""),"",IF(TABLERO!$H53="RE","",IF(ISNA(TABLERO!ED53),"*** REVISA TU ALIMENTADOR ***",IF(OR(TABLERO!BB53=0,TABLERO!H53="RE"),"",TABLERO!G53*TABLERO!N53&amp;"-"&amp;TABLERO!BX53&amp;""&amp;TABLERO!ED53&amp;","&amp;TABLERO!I53&amp;",("&amp;TABLERO!N53&amp;"xF"&amp;IF(TABLERO!F53=TABLERO!G53,")","-"&amp;TABLERO!N53&amp;"N)")))&amp;", "&amp;IF(OR(TABLERO!BB53=0,TABLERO!H53="RE"),"",TABLERO!O53&amp;"-"&amp;TABLERO!CA53&amp;"T AWG")&amp;", "&amp;IF(OR(TABLERO!BB53=0,TABLERO!H53="RE"),"",TABLERO!O53&amp;TABLERO!CB53)))</f>
        <v/>
      </c>
      <c r="G53" s="757" t="str">
        <f>IF(TABLERO!BY53=0,"",TABLERO!BY53)</f>
        <v/>
      </c>
      <c r="H53" s="756" t="str">
        <f>IF(TABLERO!BB53=0,"",TABLERO!K53)</f>
        <v/>
      </c>
      <c r="I53" s="756" t="str">
        <f>'CUADRO (1)'!$AV53</f>
        <v/>
      </c>
      <c r="J53" s="756" t="str">
        <f>'CUADRO (1)'!$BA53</f>
        <v/>
      </c>
      <c r="K53" s="756" t="str">
        <f>'CUADRO (1)'!$BB53</f>
        <v/>
      </c>
      <c r="L53" s="758" t="str">
        <f>'CUADRO (1)'!$BC53</f>
        <v/>
      </c>
    </row>
    <row r="54" spans="1:12">
      <c r="A54" s="753" t="str">
        <f>TABLERO!B54&amp;IF(TABLERO!C54="","",","&amp;TABLERO!C54)&amp;IF(TABLERO!D54="","",","&amp;TABLERO!D54)</f>
        <v/>
      </c>
      <c r="B54" s="754" t="str">
        <f>IF(TABLERO!E54=0,"",TABLERO!E54)</f>
        <v/>
      </c>
      <c r="C54" s="755" t="str">
        <f>IF(TABLERO!BB54=0,"",IF(TABLERO!$F$17&lt;&gt;"KVA",TABLERO!BT54*1000,TABLERO!BT54*1000/TABLERO!DA54))</f>
        <v/>
      </c>
      <c r="D54" s="756" t="str">
        <f>IF(OR(TABLERO!BU54="",TABLERO!BU54=0),"",TABLERO!BU54)</f>
        <v/>
      </c>
      <c r="E54" s="754" t="str">
        <f>IF(OR(TABLERO!BB54=0,TABLERO!H54="RE"),"",TABLERO!F54&amp;"P-"&amp;TABLERO!BW54&amp;"A")</f>
        <v/>
      </c>
      <c r="F54" s="754" t="str">
        <f>IF(OR(TABLERO!BB54=0,TABLERO!BB54=""),"",IF(TABLERO!$H54="RE","",IF(ISNA(TABLERO!ED54),"*** REVISA TU ALIMENTADOR ***",IF(OR(TABLERO!BB54=0,TABLERO!H54="RE"),"",TABLERO!G54*TABLERO!N54&amp;"-"&amp;TABLERO!BX54&amp;""&amp;TABLERO!ED54&amp;","&amp;TABLERO!I54&amp;",("&amp;TABLERO!N54&amp;"xF"&amp;IF(TABLERO!F54=TABLERO!G54,")","-"&amp;TABLERO!N54&amp;"N)")))&amp;", "&amp;IF(OR(TABLERO!BB54=0,TABLERO!H54="RE"),"",TABLERO!O54&amp;"-"&amp;TABLERO!CA54&amp;"T AWG")&amp;", "&amp;IF(OR(TABLERO!BB54=0,TABLERO!H54="RE"),"",TABLERO!O54&amp;TABLERO!CB54)))</f>
        <v/>
      </c>
      <c r="G54" s="757" t="str">
        <f>IF(TABLERO!BY54=0,"",TABLERO!BY54)</f>
        <v/>
      </c>
      <c r="H54" s="756" t="str">
        <f>IF(TABLERO!BB54=0,"",TABLERO!K54)</f>
        <v/>
      </c>
      <c r="I54" s="756" t="str">
        <f>'CUADRO (1)'!$AV54</f>
        <v/>
      </c>
      <c r="J54" s="756" t="str">
        <f>'CUADRO (1)'!$BA54</f>
        <v/>
      </c>
      <c r="K54" s="756" t="str">
        <f>'CUADRO (1)'!$BB54</f>
        <v/>
      </c>
      <c r="L54" s="758" t="str">
        <f>'CUADRO (1)'!$BC54</f>
        <v/>
      </c>
    </row>
    <row r="55" spans="1:12">
      <c r="A55" s="753" t="str">
        <f>TABLERO!B55&amp;IF(TABLERO!C55="","",","&amp;TABLERO!C55)&amp;IF(TABLERO!D55="","",","&amp;TABLERO!D55)</f>
        <v/>
      </c>
      <c r="B55" s="754" t="str">
        <f>IF(TABLERO!E55=0,"",TABLERO!E55)</f>
        <v/>
      </c>
      <c r="C55" s="755" t="str">
        <f>IF(TABLERO!BB55=0,"",IF(TABLERO!$F$17&lt;&gt;"KVA",TABLERO!BT55*1000,TABLERO!BT55*1000/TABLERO!DA55))</f>
        <v/>
      </c>
      <c r="D55" s="756" t="str">
        <f>IF(OR(TABLERO!BU55="",TABLERO!BU55=0),"",TABLERO!BU55)</f>
        <v/>
      </c>
      <c r="E55" s="754" t="str">
        <f>IF(OR(TABLERO!BB55=0,TABLERO!H55="RE"),"",TABLERO!F55&amp;"P-"&amp;TABLERO!BW55&amp;"A")</f>
        <v/>
      </c>
      <c r="F55" s="754" t="str">
        <f>IF(OR(TABLERO!BB55=0,TABLERO!BB55=""),"",IF(TABLERO!$H55="RE","",IF(ISNA(TABLERO!ED55),"*** REVISA TU ALIMENTADOR ***",IF(OR(TABLERO!BB55=0,TABLERO!H55="RE"),"",TABLERO!G55*TABLERO!N55&amp;"-"&amp;TABLERO!BX55&amp;""&amp;TABLERO!ED55&amp;","&amp;TABLERO!I55&amp;",("&amp;TABLERO!N55&amp;"xF"&amp;IF(TABLERO!F55=TABLERO!G55,")","-"&amp;TABLERO!N55&amp;"N)")))&amp;", "&amp;IF(OR(TABLERO!BB55=0,TABLERO!H55="RE"),"",TABLERO!O55&amp;"-"&amp;TABLERO!CA55&amp;"T AWG")&amp;", "&amp;IF(OR(TABLERO!BB55=0,TABLERO!H55="RE"),"",TABLERO!O55&amp;TABLERO!CB55)))</f>
        <v/>
      </c>
      <c r="G55" s="757" t="str">
        <f>IF(TABLERO!BY55=0,"",TABLERO!BY55)</f>
        <v/>
      </c>
      <c r="H55" s="756" t="str">
        <f>IF(TABLERO!BB55=0,"",TABLERO!K55)</f>
        <v/>
      </c>
      <c r="I55" s="756" t="str">
        <f>'CUADRO (1)'!$AV55</f>
        <v/>
      </c>
      <c r="J55" s="756" t="str">
        <f>'CUADRO (1)'!$BA55</f>
        <v/>
      </c>
      <c r="K55" s="756" t="str">
        <f>'CUADRO (1)'!$BB55</f>
        <v/>
      </c>
      <c r="L55" s="758" t="str">
        <f>'CUADRO (1)'!$BC55</f>
        <v/>
      </c>
    </row>
    <row r="56" spans="1:12">
      <c r="A56" s="753" t="str">
        <f>TABLERO!B56&amp;IF(TABLERO!C56="","",","&amp;TABLERO!C56)&amp;IF(TABLERO!D56="","",","&amp;TABLERO!D56)</f>
        <v/>
      </c>
      <c r="B56" s="754" t="str">
        <f>IF(TABLERO!E56=0,"",TABLERO!E56)</f>
        <v/>
      </c>
      <c r="C56" s="755" t="str">
        <f>IF(TABLERO!BB56=0,"",IF(TABLERO!$F$17&lt;&gt;"KVA",TABLERO!BT56*1000,TABLERO!BT56*1000/TABLERO!DA56))</f>
        <v/>
      </c>
      <c r="D56" s="756" t="str">
        <f>IF(OR(TABLERO!BU56="",TABLERO!BU56=0),"",TABLERO!BU56)</f>
        <v/>
      </c>
      <c r="E56" s="754" t="str">
        <f>IF(OR(TABLERO!BB56=0,TABLERO!H56="RE"),"",TABLERO!F56&amp;"P-"&amp;TABLERO!BW56&amp;"A")</f>
        <v/>
      </c>
      <c r="F56" s="754" t="str">
        <f>IF(OR(TABLERO!BB56=0,TABLERO!BB56=""),"",IF(TABLERO!$H56="RE","",IF(ISNA(TABLERO!ED56),"*** REVISA TU ALIMENTADOR ***",IF(OR(TABLERO!BB56=0,TABLERO!H56="RE"),"",TABLERO!G56*TABLERO!N56&amp;"-"&amp;TABLERO!BX56&amp;""&amp;TABLERO!ED56&amp;","&amp;TABLERO!I56&amp;",("&amp;TABLERO!N56&amp;"xF"&amp;IF(TABLERO!F56=TABLERO!G56,")","-"&amp;TABLERO!N56&amp;"N)")))&amp;", "&amp;IF(OR(TABLERO!BB56=0,TABLERO!H56="RE"),"",TABLERO!O56&amp;"-"&amp;TABLERO!CA56&amp;"T AWG")&amp;", "&amp;IF(OR(TABLERO!BB56=0,TABLERO!H56="RE"),"",TABLERO!O56&amp;TABLERO!CB56)))</f>
        <v/>
      </c>
      <c r="G56" s="757" t="str">
        <f>IF(TABLERO!BY56=0,"",TABLERO!BY56)</f>
        <v/>
      </c>
      <c r="H56" s="756" t="str">
        <f>IF(TABLERO!BB56=0,"",TABLERO!K56)</f>
        <v/>
      </c>
      <c r="I56" s="756" t="str">
        <f>'CUADRO (1)'!$AV56</f>
        <v/>
      </c>
      <c r="J56" s="756" t="str">
        <f>'CUADRO (1)'!$BA56</f>
        <v/>
      </c>
      <c r="K56" s="756" t="str">
        <f>'CUADRO (1)'!$BB56</f>
        <v/>
      </c>
      <c r="L56" s="758" t="str">
        <f>'CUADRO (1)'!$BC56</f>
        <v/>
      </c>
    </row>
    <row r="57" spans="1:12">
      <c r="A57" s="753" t="str">
        <f>TABLERO!B57&amp;IF(TABLERO!C57="","",","&amp;TABLERO!C57)&amp;IF(TABLERO!D57="","",","&amp;TABLERO!D57)</f>
        <v/>
      </c>
      <c r="B57" s="754" t="str">
        <f>IF(TABLERO!E57=0,"",TABLERO!E57)</f>
        <v/>
      </c>
      <c r="C57" s="755" t="str">
        <f>IF(TABLERO!BB57=0,"",IF(TABLERO!$F$17&lt;&gt;"KVA",TABLERO!BT57*1000,TABLERO!BT57*1000/TABLERO!DA57))</f>
        <v/>
      </c>
      <c r="D57" s="756" t="str">
        <f>IF(OR(TABLERO!BU57="",TABLERO!BU57=0),"",TABLERO!BU57)</f>
        <v/>
      </c>
      <c r="E57" s="754" t="str">
        <f>IF(OR(TABLERO!BB57=0,TABLERO!H57="RE"),"",TABLERO!F57&amp;"P-"&amp;TABLERO!BW57&amp;"A")</f>
        <v/>
      </c>
      <c r="F57" s="754" t="str">
        <f>IF(OR(TABLERO!BB57=0,TABLERO!BB57=""),"",IF(TABLERO!$H57="RE","",IF(ISNA(TABLERO!ED57),"*** REVISA TU ALIMENTADOR ***",IF(OR(TABLERO!BB57=0,TABLERO!H57="RE"),"",TABLERO!G57*TABLERO!N57&amp;"-"&amp;TABLERO!BX57&amp;""&amp;TABLERO!ED57&amp;","&amp;TABLERO!I57&amp;",("&amp;TABLERO!N57&amp;"xF"&amp;IF(TABLERO!F57=TABLERO!G57,")","-"&amp;TABLERO!N57&amp;"N)")))&amp;", "&amp;IF(OR(TABLERO!BB57=0,TABLERO!H57="RE"),"",TABLERO!O57&amp;"-"&amp;TABLERO!CA57&amp;"T AWG")&amp;", "&amp;IF(OR(TABLERO!BB57=0,TABLERO!H57="RE"),"",TABLERO!O57&amp;TABLERO!CB57)))</f>
        <v/>
      </c>
      <c r="G57" s="757" t="str">
        <f>IF(TABLERO!BY57=0,"",TABLERO!BY57)</f>
        <v/>
      </c>
      <c r="H57" s="756" t="str">
        <f>IF(TABLERO!BB57=0,"",TABLERO!K57)</f>
        <v/>
      </c>
      <c r="I57" s="756" t="str">
        <f>'CUADRO (1)'!$AV57</f>
        <v/>
      </c>
      <c r="J57" s="756" t="str">
        <f>'CUADRO (1)'!$BA57</f>
        <v/>
      </c>
      <c r="K57" s="756" t="str">
        <f>'CUADRO (1)'!$BB57</f>
        <v/>
      </c>
      <c r="L57" s="758" t="str">
        <f>'CUADRO (1)'!$BC57</f>
        <v/>
      </c>
    </row>
    <row r="58" spans="1:12">
      <c r="A58" s="753" t="str">
        <f>TABLERO!B58&amp;IF(TABLERO!C58="","",","&amp;TABLERO!C58)&amp;IF(TABLERO!D58="","",","&amp;TABLERO!D58)</f>
        <v/>
      </c>
      <c r="B58" s="754" t="str">
        <f>IF(TABLERO!E58=0,"",TABLERO!E58)</f>
        <v/>
      </c>
      <c r="C58" s="755" t="str">
        <f>IF(TABLERO!BB58=0,"",IF(TABLERO!$F$17&lt;&gt;"KVA",TABLERO!BT58*1000,TABLERO!BT58*1000/TABLERO!DA58))</f>
        <v/>
      </c>
      <c r="D58" s="756" t="str">
        <f>IF(OR(TABLERO!BU58="",TABLERO!BU58=0),"",TABLERO!BU58)</f>
        <v/>
      </c>
      <c r="E58" s="754" t="str">
        <f>IF(OR(TABLERO!BB58=0,TABLERO!H58="RE"),"",TABLERO!F58&amp;"P-"&amp;TABLERO!BW58&amp;"A")</f>
        <v/>
      </c>
      <c r="F58" s="754" t="str">
        <f>IF(OR(TABLERO!BB58=0,TABLERO!BB58=""),"",IF(TABLERO!$H58="RE","",IF(ISNA(TABLERO!ED58),"*** REVISA TU ALIMENTADOR ***",IF(OR(TABLERO!BB58=0,TABLERO!H58="RE"),"",TABLERO!G58*TABLERO!N58&amp;"-"&amp;TABLERO!BX58&amp;""&amp;TABLERO!ED58&amp;","&amp;TABLERO!I58&amp;",("&amp;TABLERO!N58&amp;"xF"&amp;IF(TABLERO!F58=TABLERO!G58,")","-"&amp;TABLERO!N58&amp;"N)")))&amp;", "&amp;IF(OR(TABLERO!BB58=0,TABLERO!H58="RE"),"",TABLERO!O58&amp;"-"&amp;TABLERO!CA58&amp;"T AWG")&amp;", "&amp;IF(OR(TABLERO!BB58=0,TABLERO!H58="RE"),"",TABLERO!O58&amp;TABLERO!CB58)))</f>
        <v/>
      </c>
      <c r="G58" s="757" t="str">
        <f>IF(TABLERO!BY58=0,"",TABLERO!BY58)</f>
        <v/>
      </c>
      <c r="H58" s="756" t="str">
        <f>IF(TABLERO!BB58=0,"",TABLERO!K58)</f>
        <v/>
      </c>
      <c r="I58" s="756" t="str">
        <f>'CUADRO (1)'!$AV58</f>
        <v/>
      </c>
      <c r="J58" s="756" t="str">
        <f>'CUADRO (1)'!$BA58</f>
        <v/>
      </c>
      <c r="K58" s="756" t="str">
        <f>'CUADRO (1)'!$BB58</f>
        <v/>
      </c>
      <c r="L58" s="758" t="str">
        <f>'CUADRO (1)'!$BC58</f>
        <v/>
      </c>
    </row>
    <row r="59" spans="1:12">
      <c r="A59" s="753" t="str">
        <f>TABLERO!B59&amp;IF(TABLERO!C59="","",","&amp;TABLERO!C59)&amp;IF(TABLERO!D59="","",","&amp;TABLERO!D59)</f>
        <v/>
      </c>
      <c r="B59" s="754" t="str">
        <f>IF(TABLERO!E59=0,"",TABLERO!E59)</f>
        <v/>
      </c>
      <c r="C59" s="755" t="str">
        <f>IF(TABLERO!BB59=0,"",IF(TABLERO!$F$17&lt;&gt;"KVA",TABLERO!BT59*1000,TABLERO!BT59*1000/TABLERO!DA59))</f>
        <v/>
      </c>
      <c r="D59" s="756" t="str">
        <f>IF(OR(TABLERO!BU59="",TABLERO!BU59=0),"",TABLERO!BU59)</f>
        <v/>
      </c>
      <c r="E59" s="754" t="str">
        <f>IF(OR(TABLERO!BB59=0,TABLERO!H59="RE"),"",TABLERO!F59&amp;"P-"&amp;TABLERO!BW59&amp;"A")</f>
        <v/>
      </c>
      <c r="F59" s="754" t="str">
        <f>IF(OR(TABLERO!BB59=0,TABLERO!BB59=""),"",IF(TABLERO!$H59="RE","",IF(ISNA(TABLERO!ED59),"*** REVISA TU ALIMENTADOR ***",IF(OR(TABLERO!BB59=0,TABLERO!H59="RE"),"",TABLERO!G59*TABLERO!N59&amp;"-"&amp;TABLERO!BX59&amp;""&amp;TABLERO!ED59&amp;","&amp;TABLERO!I59&amp;",("&amp;TABLERO!N59&amp;"xF"&amp;IF(TABLERO!F59=TABLERO!G59,")","-"&amp;TABLERO!N59&amp;"N)")))&amp;", "&amp;IF(OR(TABLERO!BB59=0,TABLERO!H59="RE"),"",TABLERO!O59&amp;"-"&amp;TABLERO!CA59&amp;"T AWG")&amp;", "&amp;IF(OR(TABLERO!BB59=0,TABLERO!H59="RE"),"",TABLERO!O59&amp;TABLERO!CB59)))</f>
        <v/>
      </c>
      <c r="G59" s="757" t="str">
        <f>IF(TABLERO!BY59=0,"",TABLERO!BY59)</f>
        <v/>
      </c>
      <c r="H59" s="756" t="str">
        <f>IF(TABLERO!BB59=0,"",TABLERO!K59)</f>
        <v/>
      </c>
      <c r="I59" s="756" t="str">
        <f>'CUADRO (1)'!$AV59</f>
        <v/>
      </c>
      <c r="J59" s="756" t="str">
        <f>'CUADRO (1)'!$BA59</f>
        <v/>
      </c>
      <c r="K59" s="756" t="str">
        <f>'CUADRO (1)'!$BB59</f>
        <v/>
      </c>
      <c r="L59" s="758" t="str">
        <f>'CUADRO (1)'!$BC59</f>
        <v/>
      </c>
    </row>
    <row r="60" spans="1:12">
      <c r="A60" s="753" t="str">
        <f>TABLERO!B60&amp;IF(TABLERO!C60="","",","&amp;TABLERO!C60)&amp;IF(TABLERO!D60="","",","&amp;TABLERO!D60)</f>
        <v/>
      </c>
      <c r="B60" s="754" t="str">
        <f>IF(TABLERO!E60=0,"",TABLERO!E60)</f>
        <v/>
      </c>
      <c r="C60" s="755" t="str">
        <f>IF(TABLERO!BB60=0,"",IF(TABLERO!$F$17&lt;&gt;"KVA",TABLERO!BT60*1000,TABLERO!BT60*1000/TABLERO!DA60))</f>
        <v/>
      </c>
      <c r="D60" s="756" t="str">
        <f>IF(OR(TABLERO!BU60="",TABLERO!BU60=0),"",TABLERO!BU60)</f>
        <v/>
      </c>
      <c r="E60" s="754" t="str">
        <f>IF(OR(TABLERO!BB60=0,TABLERO!H60="RE"),"",TABLERO!F60&amp;"P-"&amp;TABLERO!BW60&amp;"A")</f>
        <v/>
      </c>
      <c r="F60" s="754" t="str">
        <f>IF(OR(TABLERO!BB60=0,TABLERO!BB60=""),"",IF(TABLERO!$H60="RE","",IF(ISNA(TABLERO!ED60),"*** REVISA TU ALIMENTADOR ***",IF(OR(TABLERO!BB60=0,TABLERO!H60="RE"),"",TABLERO!G60*TABLERO!N60&amp;"-"&amp;TABLERO!BX60&amp;""&amp;TABLERO!ED60&amp;","&amp;TABLERO!I60&amp;",("&amp;TABLERO!N60&amp;"xF"&amp;IF(TABLERO!F60=TABLERO!G60,")","-"&amp;TABLERO!N60&amp;"N)")))&amp;", "&amp;IF(OR(TABLERO!BB60=0,TABLERO!H60="RE"),"",TABLERO!O60&amp;"-"&amp;TABLERO!CA60&amp;"T AWG")&amp;", "&amp;IF(OR(TABLERO!BB60=0,TABLERO!H60="RE"),"",TABLERO!O60&amp;TABLERO!CB60)))</f>
        <v/>
      </c>
      <c r="G60" s="757" t="str">
        <f>IF(TABLERO!BY60=0,"",TABLERO!BY60)</f>
        <v/>
      </c>
      <c r="H60" s="756" t="str">
        <f>IF(TABLERO!BB60=0,"",TABLERO!K60)</f>
        <v/>
      </c>
      <c r="I60" s="756" t="str">
        <f>'CUADRO (1)'!$AV60</f>
        <v/>
      </c>
      <c r="J60" s="756" t="str">
        <f>'CUADRO (1)'!$BA60</f>
        <v/>
      </c>
      <c r="K60" s="756" t="str">
        <f>'CUADRO (1)'!$BB60</f>
        <v/>
      </c>
      <c r="L60" s="758" t="str">
        <f>'CUADRO (1)'!$BC60</f>
        <v/>
      </c>
    </row>
    <row r="61" spans="1:12">
      <c r="A61" s="753" t="str">
        <f>TABLERO!B61&amp;IF(TABLERO!C61="","",","&amp;TABLERO!C61)&amp;IF(TABLERO!D61="","",","&amp;TABLERO!D61)</f>
        <v>31</v>
      </c>
      <c r="B61" s="754" t="str">
        <f>IF(TABLERO!E61=0,"",TABLERO!E61)</f>
        <v/>
      </c>
      <c r="C61" s="755" t="str">
        <f>IF(TABLERO!BB61=0,"",IF(TABLERO!$F$17&lt;&gt;"KVA",TABLERO!BT61*1000,TABLERO!BT61*1000/TABLERO!DA61))</f>
        <v/>
      </c>
      <c r="D61" s="756" t="str">
        <f>IF(OR(TABLERO!BU61="",TABLERO!BU61=0),"",TABLERO!BU61)</f>
        <v/>
      </c>
      <c r="E61" s="754" t="str">
        <f>IF(OR(TABLERO!BB61=0,TABLERO!H61="RE"),"",TABLERO!F61&amp;"P-"&amp;TABLERO!BW61&amp;"A")</f>
        <v/>
      </c>
      <c r="F61" s="754" t="str">
        <f>IF(OR(TABLERO!BB61=0,TABLERO!BB61=""),"",IF(TABLERO!$H61="RE","",IF(ISNA(TABLERO!ED61),"*** REVISA TU ALIMENTADOR ***",IF(OR(TABLERO!BB61=0,TABLERO!H61="RE"),"",TABLERO!G61*TABLERO!N61&amp;"-"&amp;TABLERO!BX61&amp;""&amp;TABLERO!ED61&amp;","&amp;TABLERO!I61&amp;",("&amp;TABLERO!N61&amp;"xF"&amp;IF(TABLERO!F61=TABLERO!G61,")","-"&amp;TABLERO!N61&amp;"N)")))&amp;", "&amp;IF(OR(TABLERO!BB61=0,TABLERO!H61="RE"),"",TABLERO!O61&amp;"-"&amp;TABLERO!CA61&amp;"T AWG")&amp;", "&amp;IF(OR(TABLERO!BB61=0,TABLERO!H61="RE"),"",TABLERO!O61&amp;TABLERO!CB61)))</f>
        <v/>
      </c>
      <c r="G61" s="757" t="str">
        <f>IF(TABLERO!BY61=0,"",TABLERO!BY61)</f>
        <v/>
      </c>
      <c r="H61" s="756" t="str">
        <f>IF(TABLERO!BB61=0,"",TABLERO!K61)</f>
        <v/>
      </c>
      <c r="I61" s="756" t="str">
        <f>'CUADRO (1)'!$AV61</f>
        <v/>
      </c>
      <c r="J61" s="756" t="str">
        <f>'CUADRO (1)'!$BA61</f>
        <v/>
      </c>
      <c r="K61" s="756" t="str">
        <f>'CUADRO (1)'!$BB61</f>
        <v/>
      </c>
      <c r="L61" s="758" t="str">
        <f>'CUADRO (1)'!$BC61</f>
        <v/>
      </c>
    </row>
    <row r="62" spans="1:12">
      <c r="A62" s="753" t="str">
        <f>TABLERO!B62&amp;IF(TABLERO!C62="","",","&amp;TABLERO!C62)&amp;IF(TABLERO!D62="","",","&amp;TABLERO!D62)</f>
        <v>32</v>
      </c>
      <c r="B62" s="754" t="str">
        <f>IF(TABLERO!E62=0,"",TABLERO!E62)</f>
        <v/>
      </c>
      <c r="C62" s="755" t="str">
        <f>IF(TABLERO!BB62=0,"",IF(TABLERO!$F$17&lt;&gt;"KVA",TABLERO!BT62*1000,TABLERO!BT62*1000/TABLERO!DA62))</f>
        <v/>
      </c>
      <c r="D62" s="756" t="str">
        <f>IF(OR(TABLERO!BU62="",TABLERO!BU62=0),"",TABLERO!BU62)</f>
        <v/>
      </c>
      <c r="E62" s="754" t="str">
        <f>IF(OR(TABLERO!BB62=0,TABLERO!H62="RE"),"",TABLERO!F62&amp;"P-"&amp;TABLERO!BW62&amp;"A")</f>
        <v/>
      </c>
      <c r="F62" s="754" t="str">
        <f>IF(OR(TABLERO!BB62=0,TABLERO!BB62=""),"",IF(TABLERO!$H62="RE","",IF(ISNA(TABLERO!ED62),"*** REVISA TU ALIMENTADOR ***",IF(OR(TABLERO!BB62=0,TABLERO!H62="RE"),"",TABLERO!G62*TABLERO!N62&amp;"-"&amp;TABLERO!BX62&amp;""&amp;TABLERO!ED62&amp;","&amp;TABLERO!I62&amp;",("&amp;TABLERO!N62&amp;"xF"&amp;IF(TABLERO!F62=TABLERO!G62,")","-"&amp;TABLERO!N62&amp;"N)")))&amp;", "&amp;IF(OR(TABLERO!BB62=0,TABLERO!H62="RE"),"",TABLERO!O62&amp;"-"&amp;TABLERO!CA62&amp;"T AWG")&amp;", "&amp;IF(OR(TABLERO!BB62=0,TABLERO!H62="RE"),"",TABLERO!O62&amp;TABLERO!CB62)))</f>
        <v/>
      </c>
      <c r="G62" s="757" t="str">
        <f>IF(TABLERO!BY62=0,"",TABLERO!BY62)</f>
        <v/>
      </c>
      <c r="H62" s="756" t="str">
        <f>IF(TABLERO!BB62=0,"",TABLERO!K62)</f>
        <v/>
      </c>
      <c r="I62" s="756" t="str">
        <f>'CUADRO (1)'!$AV62</f>
        <v/>
      </c>
      <c r="J62" s="756" t="str">
        <f>'CUADRO (1)'!$BA62</f>
        <v/>
      </c>
      <c r="K62" s="756" t="str">
        <f>'CUADRO (1)'!$BB62</f>
        <v/>
      </c>
      <c r="L62" s="758" t="str">
        <f>'CUADRO (1)'!$BC62</f>
        <v/>
      </c>
    </row>
    <row r="63" spans="1:12">
      <c r="A63" s="753" t="str">
        <f>TABLERO!B63&amp;IF(TABLERO!C63="","",","&amp;TABLERO!C63)&amp;IF(TABLERO!D63="","",","&amp;TABLERO!D63)</f>
        <v>33</v>
      </c>
      <c r="B63" s="754" t="str">
        <f>IF(TABLERO!E63=0,"",TABLERO!E63)</f>
        <v/>
      </c>
      <c r="C63" s="755" t="str">
        <f>IF(TABLERO!BB63=0,"",IF(TABLERO!$F$17&lt;&gt;"KVA",TABLERO!BT63*1000,TABLERO!BT63*1000/TABLERO!DA63))</f>
        <v/>
      </c>
      <c r="D63" s="756" t="str">
        <f>IF(OR(TABLERO!BU63="",TABLERO!BU63=0),"",TABLERO!BU63)</f>
        <v/>
      </c>
      <c r="E63" s="754" t="str">
        <f>IF(OR(TABLERO!BB63=0,TABLERO!H63="RE"),"",TABLERO!F63&amp;"P-"&amp;TABLERO!BW63&amp;"A")</f>
        <v/>
      </c>
      <c r="F63" s="754" t="str">
        <f>IF(OR(TABLERO!BB63=0,TABLERO!BB63=""),"",IF(TABLERO!$H63="RE","",IF(ISNA(TABLERO!ED63),"*** REVISA TU ALIMENTADOR ***",IF(OR(TABLERO!BB63=0,TABLERO!H63="RE"),"",TABLERO!G63*TABLERO!N63&amp;"-"&amp;TABLERO!BX63&amp;""&amp;TABLERO!ED63&amp;","&amp;TABLERO!I63&amp;",("&amp;TABLERO!N63&amp;"xF"&amp;IF(TABLERO!F63=TABLERO!G63,")","-"&amp;TABLERO!N63&amp;"N)")))&amp;", "&amp;IF(OR(TABLERO!BB63=0,TABLERO!H63="RE"),"",TABLERO!O63&amp;"-"&amp;TABLERO!CA63&amp;"T AWG")&amp;", "&amp;IF(OR(TABLERO!BB63=0,TABLERO!H63="RE"),"",TABLERO!O63&amp;TABLERO!CB63)))</f>
        <v/>
      </c>
      <c r="G63" s="757" t="str">
        <f>IF(TABLERO!BY63=0,"",TABLERO!BY63)</f>
        <v/>
      </c>
      <c r="H63" s="756" t="str">
        <f>IF(TABLERO!BB63=0,"",TABLERO!K63)</f>
        <v/>
      </c>
      <c r="I63" s="756" t="str">
        <f>'CUADRO (1)'!$AV63</f>
        <v/>
      </c>
      <c r="J63" s="756" t="str">
        <f>'CUADRO (1)'!$BA63</f>
        <v/>
      </c>
      <c r="K63" s="756" t="str">
        <f>'CUADRO (1)'!$BB63</f>
        <v/>
      </c>
      <c r="L63" s="758" t="str">
        <f>'CUADRO (1)'!$BC63</f>
        <v/>
      </c>
    </row>
    <row r="64" spans="1:12">
      <c r="A64" s="753" t="str">
        <f>TABLERO!B64&amp;IF(TABLERO!C64="","",","&amp;TABLERO!C64)&amp;IF(TABLERO!D64="","",","&amp;TABLERO!D64)</f>
        <v>34</v>
      </c>
      <c r="B64" s="754" t="str">
        <f>IF(TABLERO!E64=0,"",TABLERO!E64)</f>
        <v/>
      </c>
      <c r="C64" s="755" t="str">
        <f>IF(TABLERO!BB64=0,"",IF(TABLERO!$F$17&lt;&gt;"KVA",TABLERO!BT64*1000,TABLERO!BT64*1000/TABLERO!DA64))</f>
        <v/>
      </c>
      <c r="D64" s="756" t="str">
        <f>IF(OR(TABLERO!BU64="",TABLERO!BU64=0),"",TABLERO!BU64)</f>
        <v/>
      </c>
      <c r="E64" s="754" t="str">
        <f>IF(OR(TABLERO!BB64=0,TABLERO!H64="RE"),"",TABLERO!F64&amp;"P-"&amp;TABLERO!BW64&amp;"A")</f>
        <v/>
      </c>
      <c r="F64" s="754" t="str">
        <f>IF(OR(TABLERO!BB64=0,TABLERO!BB64=""),"",IF(TABLERO!$H64="RE","",IF(ISNA(TABLERO!ED64),"*** REVISA TU ALIMENTADOR ***",IF(OR(TABLERO!BB64=0,TABLERO!H64="RE"),"",TABLERO!G64*TABLERO!N64&amp;"-"&amp;TABLERO!BX64&amp;""&amp;TABLERO!ED64&amp;","&amp;TABLERO!I64&amp;",("&amp;TABLERO!N64&amp;"xF"&amp;IF(TABLERO!F64=TABLERO!G64,")","-"&amp;TABLERO!N64&amp;"N)")))&amp;", "&amp;IF(OR(TABLERO!BB64=0,TABLERO!H64="RE"),"",TABLERO!O64&amp;"-"&amp;TABLERO!CA64&amp;"T AWG")&amp;", "&amp;IF(OR(TABLERO!BB64=0,TABLERO!H64="RE"),"",TABLERO!O64&amp;TABLERO!CB64)))</f>
        <v/>
      </c>
      <c r="G64" s="757" t="str">
        <f>IF(TABLERO!BY64=0,"",TABLERO!BY64)</f>
        <v/>
      </c>
      <c r="H64" s="756" t="str">
        <f>IF(TABLERO!BB64=0,"",TABLERO!K64)</f>
        <v/>
      </c>
      <c r="I64" s="756" t="str">
        <f>'CUADRO (1)'!$AV64</f>
        <v/>
      </c>
      <c r="J64" s="756" t="str">
        <f>'CUADRO (1)'!$BA64</f>
        <v/>
      </c>
      <c r="K64" s="756" t="str">
        <f>'CUADRO (1)'!$BB64</f>
        <v/>
      </c>
      <c r="L64" s="758" t="str">
        <f>'CUADRO (1)'!$BC64</f>
        <v/>
      </c>
    </row>
    <row r="65" spans="1:12">
      <c r="A65" s="753" t="str">
        <f>TABLERO!B65&amp;IF(TABLERO!C65="","",","&amp;TABLERO!C65)&amp;IF(TABLERO!D65="","",","&amp;TABLERO!D65)</f>
        <v>35</v>
      </c>
      <c r="B65" s="754" t="str">
        <f>IF(TABLERO!E65=0,"",TABLERO!E65)</f>
        <v/>
      </c>
      <c r="C65" s="755" t="str">
        <f>IF(TABLERO!BB65=0,"",IF(TABLERO!$F$17&lt;&gt;"KVA",TABLERO!BT65*1000,TABLERO!BT65*1000/TABLERO!DA65))</f>
        <v/>
      </c>
      <c r="D65" s="756" t="str">
        <f>IF(OR(TABLERO!BU65="",TABLERO!BU65=0),"",TABLERO!BU65)</f>
        <v/>
      </c>
      <c r="E65" s="754" t="str">
        <f>IF(OR(TABLERO!BB65=0,TABLERO!H65="RE"),"",TABLERO!F65&amp;"P-"&amp;TABLERO!BW65&amp;"A")</f>
        <v/>
      </c>
      <c r="F65" s="754" t="str">
        <f>IF(OR(TABLERO!BB65=0,TABLERO!BB65=""),"",IF(TABLERO!$H65="RE","",IF(ISNA(TABLERO!ED65),"*** REVISA TU ALIMENTADOR ***",IF(OR(TABLERO!BB65=0,TABLERO!H65="RE"),"",TABLERO!G65*TABLERO!N65&amp;"-"&amp;TABLERO!BX65&amp;""&amp;TABLERO!ED65&amp;","&amp;TABLERO!I65&amp;",("&amp;TABLERO!N65&amp;"xF"&amp;IF(TABLERO!F65=TABLERO!G65,")","-"&amp;TABLERO!N65&amp;"N)")))&amp;", "&amp;IF(OR(TABLERO!BB65=0,TABLERO!H65="RE"),"",TABLERO!O65&amp;"-"&amp;TABLERO!CA65&amp;"T AWG")&amp;", "&amp;IF(OR(TABLERO!BB65=0,TABLERO!H65="RE"),"",TABLERO!O65&amp;TABLERO!CB65)))</f>
        <v/>
      </c>
      <c r="G65" s="757" t="str">
        <f>IF(TABLERO!BY65=0,"",TABLERO!BY65)</f>
        <v/>
      </c>
      <c r="H65" s="756" t="str">
        <f>IF(TABLERO!BB65=0,"",TABLERO!K65)</f>
        <v/>
      </c>
      <c r="I65" s="756" t="str">
        <f>'CUADRO (1)'!$AV65</f>
        <v/>
      </c>
      <c r="J65" s="756" t="str">
        <f>'CUADRO (1)'!$BA65</f>
        <v/>
      </c>
      <c r="K65" s="756" t="str">
        <f>'CUADRO (1)'!$BB65</f>
        <v/>
      </c>
      <c r="L65" s="758" t="str">
        <f>'CUADRO (1)'!$BC65</f>
        <v/>
      </c>
    </row>
    <row r="66" spans="1:12">
      <c r="A66" s="753" t="str">
        <f>TABLERO!B66&amp;IF(TABLERO!C66="","",","&amp;TABLERO!C66)&amp;IF(TABLERO!D66="","",","&amp;TABLERO!D66)</f>
        <v>36</v>
      </c>
      <c r="B66" s="754" t="str">
        <f>IF(TABLERO!E66=0,"",TABLERO!E66)</f>
        <v/>
      </c>
      <c r="C66" s="755" t="str">
        <f>IF(TABLERO!BB66=0,"",IF(TABLERO!$F$17&lt;&gt;"KVA",TABLERO!BT66*1000,TABLERO!BT66*1000/TABLERO!DA66))</f>
        <v/>
      </c>
      <c r="D66" s="756" t="str">
        <f>IF(OR(TABLERO!BU66="",TABLERO!BU66=0),"",TABLERO!BU66)</f>
        <v/>
      </c>
      <c r="E66" s="754" t="str">
        <f>IF(OR(TABLERO!BB66=0,TABLERO!H66="RE"),"",TABLERO!F66&amp;"P-"&amp;TABLERO!BW66&amp;"A")</f>
        <v/>
      </c>
      <c r="F66" s="754" t="str">
        <f>IF(OR(TABLERO!BB66=0,TABLERO!BB66=""),"",IF(TABLERO!$H66="RE","",IF(ISNA(TABLERO!ED66),"*** REVISA TU ALIMENTADOR ***",IF(OR(TABLERO!BB66=0,TABLERO!H66="RE"),"",TABLERO!G66*TABLERO!N66&amp;"-"&amp;TABLERO!BX66&amp;""&amp;TABLERO!ED66&amp;","&amp;TABLERO!I66&amp;",("&amp;TABLERO!N66&amp;"xF"&amp;IF(TABLERO!F66=TABLERO!G66,")","-"&amp;TABLERO!N66&amp;"N)")))&amp;", "&amp;IF(OR(TABLERO!BB66=0,TABLERO!H66="RE"),"",TABLERO!O66&amp;"-"&amp;TABLERO!CA66&amp;"T AWG")&amp;", "&amp;IF(OR(TABLERO!BB66=0,TABLERO!H66="RE"),"",TABLERO!O66&amp;TABLERO!CB66)))</f>
        <v/>
      </c>
      <c r="G66" s="757" t="str">
        <f>IF(TABLERO!BY66=0,"",TABLERO!BY66)</f>
        <v/>
      </c>
      <c r="H66" s="756" t="str">
        <f>IF(TABLERO!BB66=0,"",TABLERO!K66)</f>
        <v/>
      </c>
      <c r="I66" s="756" t="str">
        <f>'CUADRO (1)'!$AV66</f>
        <v/>
      </c>
      <c r="J66" s="756" t="str">
        <f>'CUADRO (1)'!$BA66</f>
        <v/>
      </c>
      <c r="K66" s="756" t="str">
        <f>'CUADRO (1)'!$BB66</f>
        <v/>
      </c>
      <c r="L66" s="758" t="str">
        <f>'CUADRO (1)'!$BC66</f>
        <v/>
      </c>
    </row>
    <row r="67" spans="1:12">
      <c r="A67" s="753" t="str">
        <f>TABLERO!B67&amp;IF(TABLERO!C67="","",","&amp;TABLERO!C67)&amp;IF(TABLERO!D67="","",","&amp;TABLERO!D67)</f>
        <v>37</v>
      </c>
      <c r="B67" s="754" t="str">
        <f>IF(TABLERO!E67=0,"",TABLERO!E67)</f>
        <v/>
      </c>
      <c r="C67" s="755" t="str">
        <f>IF(TABLERO!BB67=0,"",IF(TABLERO!$F$17&lt;&gt;"KVA",TABLERO!BT67*1000,TABLERO!BT67*1000/TABLERO!DA67))</f>
        <v/>
      </c>
      <c r="D67" s="756" t="str">
        <f>IF(OR(TABLERO!BU67="",TABLERO!BU67=0),"",TABLERO!BU67)</f>
        <v/>
      </c>
      <c r="E67" s="754" t="str">
        <f>IF(OR(TABLERO!BB67=0,TABLERO!H67="RE"),"",TABLERO!F67&amp;"P-"&amp;TABLERO!BW67&amp;"A")</f>
        <v/>
      </c>
      <c r="F67" s="754" t="str">
        <f>IF(OR(TABLERO!BB67=0,TABLERO!BB67=""),"",IF(TABLERO!$H67="RE","",IF(ISNA(TABLERO!ED67),"*** REVISA TU ALIMENTADOR ***",IF(OR(TABLERO!BB67=0,TABLERO!H67="RE"),"",TABLERO!G67*TABLERO!N67&amp;"-"&amp;TABLERO!BX67&amp;""&amp;TABLERO!ED67&amp;","&amp;TABLERO!I67&amp;",("&amp;TABLERO!N67&amp;"xF"&amp;IF(TABLERO!F67=TABLERO!G67,")","-"&amp;TABLERO!N67&amp;"N)")))&amp;", "&amp;IF(OR(TABLERO!BB67=0,TABLERO!H67="RE"),"",TABLERO!O67&amp;"-"&amp;TABLERO!CA67&amp;"T AWG")&amp;", "&amp;IF(OR(TABLERO!BB67=0,TABLERO!H67="RE"),"",TABLERO!O67&amp;TABLERO!CB67)))</f>
        <v/>
      </c>
      <c r="G67" s="757" t="str">
        <f>IF(TABLERO!BY67=0,"",TABLERO!BY67)</f>
        <v/>
      </c>
      <c r="H67" s="756" t="str">
        <f>IF(TABLERO!BB67=0,"",TABLERO!K67)</f>
        <v/>
      </c>
      <c r="I67" s="756" t="str">
        <f>'CUADRO (1)'!$AV67</f>
        <v/>
      </c>
      <c r="J67" s="756" t="str">
        <f>'CUADRO (1)'!$BA67</f>
        <v/>
      </c>
      <c r="K67" s="756" t="str">
        <f>'CUADRO (1)'!$BB67</f>
        <v/>
      </c>
      <c r="L67" s="758" t="str">
        <f>'CUADRO (1)'!$BC67</f>
        <v/>
      </c>
    </row>
    <row r="68" spans="1:12">
      <c r="A68" s="753" t="str">
        <f>TABLERO!B68&amp;IF(TABLERO!C68="","",","&amp;TABLERO!C68)&amp;IF(TABLERO!D68="","",","&amp;TABLERO!D68)</f>
        <v>38</v>
      </c>
      <c r="B68" s="754" t="str">
        <f>IF(TABLERO!E68=0,"",TABLERO!E68)</f>
        <v/>
      </c>
      <c r="C68" s="755" t="str">
        <f>IF(TABLERO!BB68=0,"",IF(TABLERO!$F$17&lt;&gt;"KVA",TABLERO!BT68*1000,TABLERO!BT68*1000/TABLERO!DA68))</f>
        <v/>
      </c>
      <c r="D68" s="756" t="str">
        <f>IF(OR(TABLERO!BU68="",TABLERO!BU68=0),"",TABLERO!BU68)</f>
        <v/>
      </c>
      <c r="E68" s="754" t="str">
        <f>IF(OR(TABLERO!BB68=0,TABLERO!H68="RE"),"",TABLERO!F68&amp;"P-"&amp;TABLERO!BW68&amp;"A")</f>
        <v/>
      </c>
      <c r="F68" s="754" t="str">
        <f>IF(OR(TABLERO!BB68=0,TABLERO!BB68=""),"",IF(TABLERO!$H68="RE","",IF(ISNA(TABLERO!ED68),"*** REVISA TU ALIMENTADOR ***",IF(OR(TABLERO!BB68=0,TABLERO!H68="RE"),"",TABLERO!G68*TABLERO!N68&amp;"-"&amp;TABLERO!BX68&amp;""&amp;TABLERO!ED68&amp;","&amp;TABLERO!I68&amp;",("&amp;TABLERO!N68&amp;"xF"&amp;IF(TABLERO!F68=TABLERO!G68,")","-"&amp;TABLERO!N68&amp;"N)")))&amp;", "&amp;IF(OR(TABLERO!BB68=0,TABLERO!H68="RE"),"",TABLERO!O68&amp;"-"&amp;TABLERO!CA68&amp;"T AWG")&amp;", "&amp;IF(OR(TABLERO!BB68=0,TABLERO!H68="RE"),"",TABLERO!O68&amp;TABLERO!CB68)))</f>
        <v/>
      </c>
      <c r="G68" s="757" t="str">
        <f>IF(TABLERO!BY68=0,"",TABLERO!BY68)</f>
        <v/>
      </c>
      <c r="H68" s="756" t="str">
        <f>IF(TABLERO!BB68=0,"",TABLERO!K68)</f>
        <v/>
      </c>
      <c r="I68" s="756" t="str">
        <f>'CUADRO (1)'!$AV68</f>
        <v/>
      </c>
      <c r="J68" s="756" t="str">
        <f>'CUADRO (1)'!$BA68</f>
        <v/>
      </c>
      <c r="K68" s="756" t="str">
        <f>'CUADRO (1)'!$BB68</f>
        <v/>
      </c>
      <c r="L68" s="758" t="str">
        <f>'CUADRO (1)'!$BC68</f>
        <v/>
      </c>
    </row>
    <row r="69" spans="1:12">
      <c r="A69" s="753" t="str">
        <f>TABLERO!B69&amp;IF(TABLERO!C69="","",","&amp;TABLERO!C69)&amp;IF(TABLERO!D69="","",","&amp;TABLERO!D69)</f>
        <v>39</v>
      </c>
      <c r="B69" s="754" t="str">
        <f>IF(TABLERO!E69=0,"",TABLERO!E69)</f>
        <v/>
      </c>
      <c r="C69" s="755" t="str">
        <f>IF(TABLERO!BB69=0,"",IF(TABLERO!$F$17&lt;&gt;"KVA",TABLERO!BT69*1000,TABLERO!BT69*1000/TABLERO!DA69))</f>
        <v/>
      </c>
      <c r="D69" s="756" t="str">
        <f>IF(OR(TABLERO!BU69="",TABLERO!BU69=0),"",TABLERO!BU69)</f>
        <v/>
      </c>
      <c r="E69" s="754" t="str">
        <f>IF(OR(TABLERO!BB69=0,TABLERO!H69="RE"),"",TABLERO!F69&amp;"P-"&amp;TABLERO!BW69&amp;"A")</f>
        <v/>
      </c>
      <c r="F69" s="754" t="str">
        <f>IF(OR(TABLERO!BB69=0,TABLERO!BB69=""),"",IF(TABLERO!$H69="RE","",IF(ISNA(TABLERO!ED69),"*** REVISA TU ALIMENTADOR ***",IF(OR(TABLERO!BB69=0,TABLERO!H69="RE"),"",TABLERO!G69*TABLERO!N69&amp;"-"&amp;TABLERO!BX69&amp;""&amp;TABLERO!ED69&amp;","&amp;TABLERO!I69&amp;",("&amp;TABLERO!N69&amp;"xF"&amp;IF(TABLERO!F69=TABLERO!G69,")","-"&amp;TABLERO!N69&amp;"N)")))&amp;", "&amp;IF(OR(TABLERO!BB69=0,TABLERO!H69="RE"),"",TABLERO!O69&amp;"-"&amp;TABLERO!CA69&amp;"T AWG")&amp;", "&amp;IF(OR(TABLERO!BB69=0,TABLERO!H69="RE"),"",TABLERO!O69&amp;TABLERO!CB69)))</f>
        <v/>
      </c>
      <c r="G69" s="757" t="str">
        <f>IF(TABLERO!BY69=0,"",TABLERO!BY69)</f>
        <v/>
      </c>
      <c r="H69" s="756" t="str">
        <f>IF(TABLERO!BB69=0,"",TABLERO!K69)</f>
        <v/>
      </c>
      <c r="I69" s="756" t="str">
        <f>'CUADRO (1)'!$AV69</f>
        <v/>
      </c>
      <c r="J69" s="756" t="str">
        <f>'CUADRO (1)'!$BA69</f>
        <v/>
      </c>
      <c r="K69" s="756" t="str">
        <f>'CUADRO (1)'!$BB69</f>
        <v/>
      </c>
      <c r="L69" s="758" t="str">
        <f>'CUADRO (1)'!$BC69</f>
        <v/>
      </c>
    </row>
    <row r="70" spans="1:12">
      <c r="A70" s="753" t="str">
        <f>TABLERO!B70&amp;IF(TABLERO!C70="","",","&amp;TABLERO!C70)&amp;IF(TABLERO!D70="","",","&amp;TABLERO!D70)</f>
        <v>40</v>
      </c>
      <c r="B70" s="754" t="str">
        <f>IF(TABLERO!E70=0,"",TABLERO!E70)</f>
        <v/>
      </c>
      <c r="C70" s="755" t="str">
        <f>IF(TABLERO!BB70=0,"",IF(TABLERO!$F$17&lt;&gt;"KVA",TABLERO!BT70*1000,TABLERO!BT70*1000/TABLERO!DA70))</f>
        <v/>
      </c>
      <c r="D70" s="756" t="str">
        <f>IF(OR(TABLERO!BU70="",TABLERO!BU70=0),"",TABLERO!BU70)</f>
        <v/>
      </c>
      <c r="E70" s="754" t="str">
        <f>IF(OR(TABLERO!BB70=0,TABLERO!H70="RE"),"",TABLERO!F70&amp;"P-"&amp;TABLERO!BW70&amp;"A")</f>
        <v/>
      </c>
      <c r="F70" s="754" t="str">
        <f>IF(OR(TABLERO!BB70=0,TABLERO!BB70=""),"",IF(TABLERO!$H70="RE","",IF(ISNA(TABLERO!ED70),"*** REVISA TU ALIMENTADOR ***",IF(OR(TABLERO!BB70=0,TABLERO!H70="RE"),"",TABLERO!G70*TABLERO!N70&amp;"-"&amp;TABLERO!BX70&amp;""&amp;TABLERO!ED70&amp;","&amp;TABLERO!I70&amp;",("&amp;TABLERO!N70&amp;"xF"&amp;IF(TABLERO!F70=TABLERO!G70,")","-"&amp;TABLERO!N70&amp;"N)")))&amp;", "&amp;IF(OR(TABLERO!BB70=0,TABLERO!H70="RE"),"",TABLERO!O70&amp;"-"&amp;TABLERO!CA70&amp;"T AWG")&amp;", "&amp;IF(OR(TABLERO!BB70=0,TABLERO!H70="RE"),"",TABLERO!O70&amp;TABLERO!CB70)))</f>
        <v/>
      </c>
      <c r="G70" s="757" t="str">
        <f>IF(TABLERO!BY70=0,"",TABLERO!BY70)</f>
        <v/>
      </c>
      <c r="H70" s="756" t="str">
        <f>IF(TABLERO!BB70=0,"",TABLERO!K70)</f>
        <v/>
      </c>
      <c r="I70" s="756" t="str">
        <f>'CUADRO (1)'!$AV70</f>
        <v/>
      </c>
      <c r="J70" s="756" t="str">
        <f>'CUADRO (1)'!$BA70</f>
        <v/>
      </c>
      <c r="K70" s="756" t="str">
        <f>'CUADRO (1)'!$BB70</f>
        <v/>
      </c>
      <c r="L70" s="758" t="str">
        <f>'CUADRO (1)'!$BC70</f>
        <v/>
      </c>
    </row>
    <row r="71" spans="1:12">
      <c r="A71" s="753" t="str">
        <f>TABLERO!B71&amp;IF(TABLERO!C71="","",","&amp;TABLERO!C71)&amp;IF(TABLERO!D71="","",","&amp;TABLERO!D71)</f>
        <v>41</v>
      </c>
      <c r="B71" s="754" t="str">
        <f>IF(TABLERO!E71=0,"",TABLERO!E71)</f>
        <v/>
      </c>
      <c r="C71" s="755" t="str">
        <f>IF(TABLERO!BB71=0,"",IF(TABLERO!$F$17&lt;&gt;"KVA",TABLERO!BT71*1000,TABLERO!BT71*1000/TABLERO!DA71))</f>
        <v/>
      </c>
      <c r="D71" s="756" t="str">
        <f>IF(OR(TABLERO!BU71="",TABLERO!BU71=0),"",TABLERO!BU71)</f>
        <v/>
      </c>
      <c r="E71" s="754" t="str">
        <f>IF(OR(TABLERO!BB71=0,TABLERO!H71="RE"),"",TABLERO!F71&amp;"P-"&amp;TABLERO!BW71&amp;"A")</f>
        <v/>
      </c>
      <c r="F71" s="754" t="str">
        <f>IF(OR(TABLERO!BB71=0,TABLERO!BB71=""),"",IF(TABLERO!$H71="RE","",IF(ISNA(TABLERO!ED71),"*** REVISA TU ALIMENTADOR ***",IF(OR(TABLERO!BB71=0,TABLERO!H71="RE"),"",TABLERO!G71*TABLERO!N71&amp;"-"&amp;TABLERO!BX71&amp;""&amp;TABLERO!ED71&amp;","&amp;TABLERO!I71&amp;",("&amp;TABLERO!N71&amp;"xF"&amp;IF(TABLERO!F71=TABLERO!G71,")","-"&amp;TABLERO!N71&amp;"N)")))&amp;", "&amp;IF(OR(TABLERO!BB71=0,TABLERO!H71="RE"),"",TABLERO!O71&amp;"-"&amp;TABLERO!CA71&amp;"T AWG")&amp;", "&amp;IF(OR(TABLERO!BB71=0,TABLERO!H71="RE"),"",TABLERO!O71&amp;TABLERO!CB71)))</f>
        <v/>
      </c>
      <c r="G71" s="757" t="str">
        <f>IF(TABLERO!BY71=0,"",TABLERO!BY71)</f>
        <v/>
      </c>
      <c r="H71" s="756" t="str">
        <f>IF(TABLERO!BB71=0,"",TABLERO!K71)</f>
        <v/>
      </c>
      <c r="I71" s="756" t="str">
        <f>'CUADRO (1)'!$AV71</f>
        <v/>
      </c>
      <c r="J71" s="756" t="str">
        <f>'CUADRO (1)'!$BA71</f>
        <v/>
      </c>
      <c r="K71" s="756" t="str">
        <f>'CUADRO (1)'!$BB71</f>
        <v/>
      </c>
      <c r="L71" s="758" t="str">
        <f>'CUADRO (1)'!$BC71</f>
        <v/>
      </c>
    </row>
    <row r="72" spans="1:12">
      <c r="A72" s="753" t="str">
        <f>TABLERO!B72&amp;IF(TABLERO!C72="","",","&amp;TABLERO!C72)&amp;IF(TABLERO!D72="","",","&amp;TABLERO!D72)</f>
        <v>42</v>
      </c>
      <c r="B72" s="754" t="str">
        <f>IF(TABLERO!E72=0,"",TABLERO!E72)</f>
        <v/>
      </c>
      <c r="C72" s="755" t="str">
        <f>IF(TABLERO!BB72=0,"",IF(TABLERO!$F$17&lt;&gt;"KVA",TABLERO!BT72*1000,TABLERO!BT72*1000/TABLERO!DA72))</f>
        <v/>
      </c>
      <c r="D72" s="756" t="str">
        <f>IF(OR(TABLERO!BU72="",TABLERO!BU72=0),"",TABLERO!BU72)</f>
        <v/>
      </c>
      <c r="E72" s="754" t="str">
        <f>IF(OR(TABLERO!BB72=0,TABLERO!H72="RE"),"",TABLERO!F72&amp;"P-"&amp;TABLERO!BW72&amp;"A")</f>
        <v/>
      </c>
      <c r="F72" s="754" t="str">
        <f>IF(OR(TABLERO!BB72=0,TABLERO!BB72=""),"",IF(TABLERO!$H72="RE","",IF(ISNA(TABLERO!ED72),"*** REVISA TU ALIMENTADOR ***",IF(OR(TABLERO!BB72=0,TABLERO!H72="RE"),"",TABLERO!G72*TABLERO!N72&amp;"-"&amp;TABLERO!BX72&amp;""&amp;TABLERO!ED72&amp;","&amp;TABLERO!I72&amp;",("&amp;TABLERO!N72&amp;"xF"&amp;IF(TABLERO!F72=TABLERO!G72,")","-"&amp;TABLERO!N72&amp;"N)")))&amp;", "&amp;IF(OR(TABLERO!BB72=0,TABLERO!H72="RE"),"",TABLERO!O72&amp;"-"&amp;TABLERO!CA72&amp;"T AWG")&amp;", "&amp;IF(OR(TABLERO!BB72=0,TABLERO!H72="RE"),"",TABLERO!O72&amp;TABLERO!CB72)))</f>
        <v/>
      </c>
      <c r="G72" s="757" t="str">
        <f>IF(TABLERO!BY72=0,"",TABLERO!BY72)</f>
        <v/>
      </c>
      <c r="H72" s="756" t="str">
        <f>IF(TABLERO!BB72=0,"",TABLERO!K72)</f>
        <v/>
      </c>
      <c r="I72" s="756" t="str">
        <f>'CUADRO (1)'!$AV72</f>
        <v/>
      </c>
      <c r="J72" s="756" t="str">
        <f>'CUADRO (1)'!$BA72</f>
        <v/>
      </c>
      <c r="K72" s="756" t="str">
        <f>'CUADRO (1)'!$BB72</f>
        <v/>
      </c>
      <c r="L72" s="758" t="str">
        <f>'CUADRO (1)'!$BC72</f>
        <v/>
      </c>
    </row>
    <row r="73" spans="1:12">
      <c r="A73" s="753" t="str">
        <f>TABLERO!B73&amp;IF(TABLERO!C73="","",","&amp;TABLERO!C73)&amp;IF(TABLERO!D73="","",","&amp;TABLERO!D73)</f>
        <v>43</v>
      </c>
      <c r="B73" s="754" t="str">
        <f>IF(TABLERO!E73=0,"",TABLERO!E73)</f>
        <v/>
      </c>
      <c r="C73" s="755" t="str">
        <f>IF(TABLERO!BB73=0,"",IF(TABLERO!$F$17&lt;&gt;"KVA",TABLERO!BT73*1000,TABLERO!BT73*1000/TABLERO!DA73))</f>
        <v/>
      </c>
      <c r="D73" s="756" t="str">
        <f>IF(OR(TABLERO!BU73="",TABLERO!BU73=0),"",TABLERO!BU73)</f>
        <v/>
      </c>
      <c r="E73" s="754" t="str">
        <f>IF(OR(TABLERO!BB73=0,TABLERO!H73="RE"),"",TABLERO!F73&amp;"P-"&amp;TABLERO!BW73&amp;"A")</f>
        <v/>
      </c>
      <c r="F73" s="754" t="str">
        <f>IF(OR(TABLERO!BB73=0,TABLERO!BB73=""),"",IF(TABLERO!$H73="RE","",IF(ISNA(TABLERO!ED73),"*** REVISA TU ALIMENTADOR ***",IF(OR(TABLERO!BB73=0,TABLERO!H73="RE"),"",TABLERO!G73*TABLERO!N73&amp;"-"&amp;TABLERO!BX73&amp;""&amp;TABLERO!ED73&amp;","&amp;TABLERO!I73&amp;",("&amp;TABLERO!N73&amp;"xF"&amp;IF(TABLERO!F73=TABLERO!G73,")","-"&amp;TABLERO!N73&amp;"N)")))&amp;", "&amp;IF(OR(TABLERO!BB73=0,TABLERO!H73="RE"),"",TABLERO!O73&amp;"-"&amp;TABLERO!CA73&amp;"T AWG")&amp;", "&amp;IF(OR(TABLERO!BB73=0,TABLERO!H73="RE"),"",TABLERO!O73&amp;TABLERO!CB73)))</f>
        <v/>
      </c>
      <c r="G73" s="757" t="str">
        <f>IF(TABLERO!BY73=0,"",TABLERO!BY73)</f>
        <v/>
      </c>
      <c r="H73" s="756" t="str">
        <f>IF(TABLERO!BB73=0,"",TABLERO!K73)</f>
        <v/>
      </c>
      <c r="I73" s="756" t="str">
        <f>'CUADRO (1)'!$AV73</f>
        <v/>
      </c>
      <c r="J73" s="756" t="str">
        <f>'CUADRO (1)'!$BA73</f>
        <v/>
      </c>
      <c r="K73" s="756" t="str">
        <f>'CUADRO (1)'!$BB73</f>
        <v/>
      </c>
      <c r="L73" s="758" t="str">
        <f>'CUADRO (1)'!$BC73</f>
        <v/>
      </c>
    </row>
    <row r="74" spans="1:12">
      <c r="A74" s="753" t="str">
        <f>TABLERO!B74&amp;IF(TABLERO!C74="","",","&amp;TABLERO!C74)&amp;IF(TABLERO!D74="","",","&amp;TABLERO!D74)</f>
        <v>44</v>
      </c>
      <c r="B74" s="754" t="str">
        <f>IF(TABLERO!E74=0,"",TABLERO!E74)</f>
        <v/>
      </c>
      <c r="C74" s="755" t="str">
        <f>IF(TABLERO!BB74=0,"",IF(TABLERO!$F$17&lt;&gt;"KVA",TABLERO!BT74*1000,TABLERO!BT74*1000/TABLERO!DA74))</f>
        <v/>
      </c>
      <c r="D74" s="756" t="str">
        <f>IF(OR(TABLERO!BU74="",TABLERO!BU74=0),"",TABLERO!BU74)</f>
        <v/>
      </c>
      <c r="E74" s="754" t="str">
        <f>IF(OR(TABLERO!BB74=0,TABLERO!H74="RE"),"",TABLERO!F74&amp;"P-"&amp;TABLERO!BW74&amp;"A")</f>
        <v/>
      </c>
      <c r="F74" s="754" t="str">
        <f>IF(OR(TABLERO!BB74=0,TABLERO!BB74=""),"",IF(TABLERO!$H74="RE","",IF(ISNA(TABLERO!ED74),"*** REVISA TU ALIMENTADOR ***",IF(OR(TABLERO!BB74=0,TABLERO!H74="RE"),"",TABLERO!G74*TABLERO!N74&amp;"-"&amp;TABLERO!BX74&amp;""&amp;TABLERO!ED74&amp;","&amp;TABLERO!I74&amp;",("&amp;TABLERO!N74&amp;"xF"&amp;IF(TABLERO!F74=TABLERO!G74,")","-"&amp;TABLERO!N74&amp;"N)")))&amp;", "&amp;IF(OR(TABLERO!BB74=0,TABLERO!H74="RE"),"",TABLERO!O74&amp;"-"&amp;TABLERO!CA74&amp;"T AWG")&amp;", "&amp;IF(OR(TABLERO!BB74=0,TABLERO!H74="RE"),"",TABLERO!O74&amp;TABLERO!CB74)))</f>
        <v/>
      </c>
      <c r="G74" s="757" t="str">
        <f>IF(TABLERO!BY74=0,"",TABLERO!BY74)</f>
        <v/>
      </c>
      <c r="H74" s="756" t="str">
        <f>IF(TABLERO!BB74=0,"",TABLERO!K74)</f>
        <v/>
      </c>
      <c r="I74" s="756" t="str">
        <f>'CUADRO (1)'!$AV74</f>
        <v/>
      </c>
      <c r="J74" s="756" t="str">
        <f>'CUADRO (1)'!$BA74</f>
        <v/>
      </c>
      <c r="K74" s="756" t="str">
        <f>'CUADRO (1)'!$BB74</f>
        <v/>
      </c>
      <c r="L74" s="758" t="str">
        <f>'CUADRO (1)'!$BC74</f>
        <v/>
      </c>
    </row>
    <row r="75" spans="1:12">
      <c r="A75" s="753" t="str">
        <f>TABLERO!B75&amp;IF(TABLERO!C75="","",","&amp;TABLERO!C75)&amp;IF(TABLERO!D75="","",","&amp;TABLERO!D75)</f>
        <v>45</v>
      </c>
      <c r="B75" s="754" t="str">
        <f>IF(TABLERO!E75=0,"",TABLERO!E75)</f>
        <v/>
      </c>
      <c r="C75" s="755" t="str">
        <f>IF(TABLERO!BB75=0,"",IF(TABLERO!$F$17&lt;&gt;"KVA",TABLERO!BT75*1000,TABLERO!BT75*1000/TABLERO!DA75))</f>
        <v/>
      </c>
      <c r="D75" s="756" t="str">
        <f>IF(OR(TABLERO!BU75="",TABLERO!BU75=0),"",TABLERO!BU75)</f>
        <v/>
      </c>
      <c r="E75" s="754" t="str">
        <f>IF(OR(TABLERO!BB75=0,TABLERO!H75="RE"),"",TABLERO!F75&amp;"P-"&amp;TABLERO!BW75&amp;"A")</f>
        <v/>
      </c>
      <c r="F75" s="754" t="str">
        <f>IF(OR(TABLERO!BB75=0,TABLERO!BB75=""),"",IF(TABLERO!$H75="RE","",IF(ISNA(TABLERO!ED75),"*** REVISA TU ALIMENTADOR ***",IF(OR(TABLERO!BB75=0,TABLERO!H75="RE"),"",TABLERO!G75*TABLERO!N75&amp;"-"&amp;TABLERO!BX75&amp;""&amp;TABLERO!ED75&amp;","&amp;TABLERO!I75&amp;",("&amp;TABLERO!N75&amp;"xF"&amp;IF(TABLERO!F75=TABLERO!G75,")","-"&amp;TABLERO!N75&amp;"N)")))&amp;", "&amp;IF(OR(TABLERO!BB75=0,TABLERO!H75="RE"),"",TABLERO!O75&amp;"-"&amp;TABLERO!CA75&amp;"T AWG")&amp;", "&amp;IF(OR(TABLERO!BB75=0,TABLERO!H75="RE"),"",TABLERO!O75&amp;TABLERO!CB75)))</f>
        <v/>
      </c>
      <c r="G75" s="757" t="str">
        <f>IF(TABLERO!BY75=0,"",TABLERO!BY75)</f>
        <v/>
      </c>
      <c r="H75" s="756" t="str">
        <f>IF(TABLERO!BB75=0,"",TABLERO!K75)</f>
        <v/>
      </c>
      <c r="I75" s="756" t="str">
        <f>'CUADRO (1)'!$AV75</f>
        <v/>
      </c>
      <c r="J75" s="756" t="str">
        <f>'CUADRO (1)'!$BA75</f>
        <v/>
      </c>
      <c r="K75" s="756" t="str">
        <f>'CUADRO (1)'!$BB75</f>
        <v/>
      </c>
      <c r="L75" s="758" t="str">
        <f>'CUADRO (1)'!$BC75</f>
        <v/>
      </c>
    </row>
    <row r="76" spans="1:12">
      <c r="A76" s="753" t="str">
        <f>TABLERO!B76&amp;IF(TABLERO!C76="","",","&amp;TABLERO!C76)&amp;IF(TABLERO!D76="","",","&amp;TABLERO!D76)</f>
        <v>46</v>
      </c>
      <c r="B76" s="754" t="str">
        <f>IF(TABLERO!E76=0,"",TABLERO!E76)</f>
        <v/>
      </c>
      <c r="C76" s="755" t="str">
        <f>IF(TABLERO!BB76=0,"",IF(TABLERO!$F$17&lt;&gt;"KVA",TABLERO!BT76*1000,TABLERO!BT76*1000/TABLERO!DA76))</f>
        <v/>
      </c>
      <c r="D76" s="756" t="str">
        <f>IF(OR(TABLERO!BU76="",TABLERO!BU76=0),"",TABLERO!BU76)</f>
        <v/>
      </c>
      <c r="E76" s="754" t="str">
        <f>IF(OR(TABLERO!BB76=0,TABLERO!H76="RE"),"",TABLERO!F76&amp;"P-"&amp;TABLERO!BW76&amp;"A")</f>
        <v/>
      </c>
      <c r="F76" s="754" t="str">
        <f>IF(OR(TABLERO!BB76=0,TABLERO!BB76=""),"",IF(TABLERO!$H76="RE","",IF(ISNA(TABLERO!ED76),"*** REVISA TU ALIMENTADOR ***",IF(OR(TABLERO!BB76=0,TABLERO!H76="RE"),"",TABLERO!G76*TABLERO!N76&amp;"-"&amp;TABLERO!BX76&amp;""&amp;TABLERO!ED76&amp;","&amp;TABLERO!I76&amp;",("&amp;TABLERO!N76&amp;"xF"&amp;IF(TABLERO!F76=TABLERO!G76,")","-"&amp;TABLERO!N76&amp;"N)")))&amp;", "&amp;IF(OR(TABLERO!BB76=0,TABLERO!H76="RE"),"",TABLERO!O76&amp;"-"&amp;TABLERO!CA76&amp;"T AWG")&amp;", "&amp;IF(OR(TABLERO!BB76=0,TABLERO!H76="RE"),"",TABLERO!O76&amp;TABLERO!CB76)))</f>
        <v/>
      </c>
      <c r="G76" s="757" t="str">
        <f>IF(TABLERO!BY76=0,"",TABLERO!BY76)</f>
        <v/>
      </c>
      <c r="H76" s="756" t="str">
        <f>IF(TABLERO!BB76=0,"",TABLERO!K76)</f>
        <v/>
      </c>
      <c r="I76" s="756" t="str">
        <f>'CUADRO (1)'!$AV76</f>
        <v/>
      </c>
      <c r="J76" s="756" t="str">
        <f>'CUADRO (1)'!$BA76</f>
        <v/>
      </c>
      <c r="K76" s="756" t="str">
        <f>'CUADRO (1)'!$BB76</f>
        <v/>
      </c>
      <c r="L76" s="758" t="str">
        <f>'CUADRO (1)'!$BC76</f>
        <v/>
      </c>
    </row>
    <row r="77" spans="1:12">
      <c r="A77" s="753" t="str">
        <f>TABLERO!B77&amp;IF(TABLERO!C77="","",","&amp;TABLERO!C77)&amp;IF(TABLERO!D77="","",","&amp;TABLERO!D77)</f>
        <v>47</v>
      </c>
      <c r="B77" s="754" t="str">
        <f>IF(TABLERO!E77=0,"",TABLERO!E77)</f>
        <v/>
      </c>
      <c r="C77" s="755" t="str">
        <f>IF(TABLERO!BB77=0,"",IF(TABLERO!$F$17&lt;&gt;"KVA",TABLERO!BT77*1000,TABLERO!BT77*1000/TABLERO!DA77))</f>
        <v/>
      </c>
      <c r="D77" s="756" t="str">
        <f>IF(OR(TABLERO!BU77="",TABLERO!BU77=0),"",TABLERO!BU77)</f>
        <v/>
      </c>
      <c r="E77" s="754" t="str">
        <f>IF(OR(TABLERO!BB77=0,TABLERO!H77="RE"),"",TABLERO!F77&amp;"P-"&amp;TABLERO!BW77&amp;"A")</f>
        <v/>
      </c>
      <c r="F77" s="754" t="str">
        <f>IF(OR(TABLERO!BB77=0,TABLERO!BB77=""),"",IF(TABLERO!$H77="RE","",IF(ISNA(TABLERO!ED77),"*** REVISA TU ALIMENTADOR ***",IF(OR(TABLERO!BB77=0,TABLERO!H77="RE"),"",TABLERO!G77*TABLERO!N77&amp;"-"&amp;TABLERO!BX77&amp;""&amp;TABLERO!ED77&amp;","&amp;TABLERO!I77&amp;",("&amp;TABLERO!N77&amp;"xF"&amp;IF(TABLERO!F77=TABLERO!G77,")","-"&amp;TABLERO!N77&amp;"N)")))&amp;", "&amp;IF(OR(TABLERO!BB77=0,TABLERO!H77="RE"),"",TABLERO!O77&amp;"-"&amp;TABLERO!CA77&amp;"T AWG")&amp;", "&amp;IF(OR(TABLERO!BB77=0,TABLERO!H77="RE"),"",TABLERO!O77&amp;TABLERO!CB77)))</f>
        <v/>
      </c>
      <c r="G77" s="757" t="str">
        <f>IF(TABLERO!BY77=0,"",TABLERO!BY77)</f>
        <v/>
      </c>
      <c r="H77" s="756" t="str">
        <f>IF(TABLERO!BB77=0,"",TABLERO!K77)</f>
        <v/>
      </c>
      <c r="I77" s="756" t="str">
        <f>'CUADRO (1)'!$AV77</f>
        <v/>
      </c>
      <c r="J77" s="756" t="str">
        <f>'CUADRO (1)'!$BA77</f>
        <v/>
      </c>
      <c r="K77" s="756" t="str">
        <f>'CUADRO (1)'!$BB77</f>
        <v/>
      </c>
      <c r="L77" s="758" t="str">
        <f>'CUADRO (1)'!$BC77</f>
        <v/>
      </c>
    </row>
    <row r="78" spans="1:12">
      <c r="A78" s="753" t="str">
        <f>TABLERO!B78&amp;IF(TABLERO!C78="","",","&amp;TABLERO!C78)&amp;IF(TABLERO!D78="","",","&amp;TABLERO!D78)</f>
        <v>48</v>
      </c>
      <c r="B78" s="754" t="str">
        <f>IF(TABLERO!E78=0,"",TABLERO!E78)</f>
        <v/>
      </c>
      <c r="C78" s="755" t="str">
        <f>IF(TABLERO!BB78=0,"",IF(TABLERO!$F$17&lt;&gt;"KVA",TABLERO!BT78*1000,TABLERO!BT78*1000/TABLERO!DA78))</f>
        <v/>
      </c>
      <c r="D78" s="756" t="str">
        <f>IF(OR(TABLERO!BU78="",TABLERO!BU78=0),"",TABLERO!BU78)</f>
        <v/>
      </c>
      <c r="E78" s="754" t="str">
        <f>IF(OR(TABLERO!BB78=0,TABLERO!H78="RE"),"",TABLERO!F78&amp;"P-"&amp;TABLERO!BW78&amp;"A")</f>
        <v/>
      </c>
      <c r="F78" s="754" t="str">
        <f>IF(OR(TABLERO!BB78=0,TABLERO!BB78=""),"",IF(TABLERO!$H78="RE","",IF(ISNA(TABLERO!ED78),"*** REVISA TU ALIMENTADOR ***",IF(OR(TABLERO!BB78=0,TABLERO!H78="RE"),"",TABLERO!G78*TABLERO!N78&amp;"-"&amp;TABLERO!BX78&amp;""&amp;TABLERO!ED78&amp;","&amp;TABLERO!I78&amp;",("&amp;TABLERO!N78&amp;"xF"&amp;IF(TABLERO!F78=TABLERO!G78,")","-"&amp;TABLERO!N78&amp;"N)")))&amp;", "&amp;IF(OR(TABLERO!BB78=0,TABLERO!H78="RE"),"",TABLERO!O78&amp;"-"&amp;TABLERO!CA78&amp;"T AWG")&amp;", "&amp;IF(OR(TABLERO!BB78=0,TABLERO!H78="RE"),"",TABLERO!O78&amp;TABLERO!CB78)))</f>
        <v/>
      </c>
      <c r="G78" s="757" t="str">
        <f>IF(TABLERO!BY78=0,"",TABLERO!BY78)</f>
        <v/>
      </c>
      <c r="H78" s="756" t="str">
        <f>IF(TABLERO!BB78=0,"",TABLERO!K78)</f>
        <v/>
      </c>
      <c r="I78" s="756" t="str">
        <f>'CUADRO (1)'!$AV78</f>
        <v/>
      </c>
      <c r="J78" s="756" t="str">
        <f>'CUADRO (1)'!$BA78</f>
        <v/>
      </c>
      <c r="K78" s="756" t="str">
        <f>'CUADRO (1)'!$BB78</f>
        <v/>
      </c>
      <c r="L78" s="758" t="str">
        <f>'CUADRO (1)'!$BC78</f>
        <v/>
      </c>
    </row>
    <row r="79" spans="1:12">
      <c r="A79" s="753" t="str">
        <f>TABLERO!B79&amp;IF(TABLERO!C79="","",","&amp;TABLERO!C79)&amp;IF(TABLERO!D79="","",","&amp;TABLERO!D79)</f>
        <v>49</v>
      </c>
      <c r="B79" s="754" t="str">
        <f>IF(TABLERO!E79=0,"",TABLERO!E79)</f>
        <v/>
      </c>
      <c r="C79" s="755" t="str">
        <f>IF(TABLERO!BB79=0,"",IF(TABLERO!$F$17&lt;&gt;"KVA",TABLERO!BT79*1000,TABLERO!BT79*1000/TABLERO!DA79))</f>
        <v/>
      </c>
      <c r="D79" s="756" t="str">
        <f>IF(OR(TABLERO!BU79="",TABLERO!BU79=0),"",TABLERO!BU79)</f>
        <v/>
      </c>
      <c r="E79" s="754" t="str">
        <f>IF(OR(TABLERO!BB79=0,TABLERO!H79="RE"),"",TABLERO!F79&amp;"P-"&amp;TABLERO!BW79&amp;"A")</f>
        <v/>
      </c>
      <c r="F79" s="754" t="str">
        <f>IF(OR(TABLERO!BB79=0,TABLERO!BB79=""),"",IF(TABLERO!$H79="RE","",IF(ISNA(TABLERO!ED79),"*** REVISA TU ALIMENTADOR ***",IF(OR(TABLERO!BB79=0,TABLERO!H79="RE"),"",TABLERO!G79*TABLERO!N79&amp;"-"&amp;TABLERO!BX79&amp;""&amp;TABLERO!ED79&amp;","&amp;TABLERO!I79&amp;",("&amp;TABLERO!N79&amp;"xF"&amp;IF(TABLERO!F79=TABLERO!G79,")","-"&amp;TABLERO!N79&amp;"N)")))&amp;", "&amp;IF(OR(TABLERO!BB79=0,TABLERO!H79="RE"),"",TABLERO!O79&amp;"-"&amp;TABLERO!CA79&amp;"T AWG")&amp;", "&amp;IF(OR(TABLERO!BB79=0,TABLERO!H79="RE"),"",TABLERO!O79&amp;TABLERO!CB79)))</f>
        <v/>
      </c>
      <c r="G79" s="757" t="str">
        <f>IF(TABLERO!BY79=0,"",TABLERO!BY79)</f>
        <v/>
      </c>
      <c r="H79" s="756" t="str">
        <f>IF(TABLERO!BB79=0,"",TABLERO!K79)</f>
        <v/>
      </c>
      <c r="I79" s="756" t="str">
        <f>'CUADRO (1)'!$AV79</f>
        <v/>
      </c>
      <c r="J79" s="756" t="str">
        <f>'CUADRO (1)'!$BA79</f>
        <v/>
      </c>
      <c r="K79" s="756" t="str">
        <f>'CUADRO (1)'!$BB79</f>
        <v/>
      </c>
      <c r="L79" s="758" t="str">
        <f>'CUADRO (1)'!$BC79</f>
        <v/>
      </c>
    </row>
    <row r="80" spans="1:12">
      <c r="A80" s="753" t="str">
        <f>TABLERO!B80&amp;IF(TABLERO!C80="","",","&amp;TABLERO!C80)&amp;IF(TABLERO!D80="","",","&amp;TABLERO!D80)</f>
        <v>50</v>
      </c>
      <c r="B80" s="754" t="str">
        <f>IF(TABLERO!E80=0,"",TABLERO!E80)</f>
        <v/>
      </c>
      <c r="C80" s="755" t="str">
        <f>IF(TABLERO!BB80=0,"",IF(TABLERO!$F$17&lt;&gt;"KVA",TABLERO!BT80*1000,TABLERO!BT80*1000/TABLERO!DA80))</f>
        <v/>
      </c>
      <c r="D80" s="756" t="str">
        <f>IF(OR(TABLERO!BU80="",TABLERO!BU80=0),"",TABLERO!BU80)</f>
        <v/>
      </c>
      <c r="E80" s="754" t="str">
        <f>IF(OR(TABLERO!BB80=0,TABLERO!H80="RE"),"",TABLERO!F80&amp;"P-"&amp;TABLERO!BW80&amp;"A")</f>
        <v/>
      </c>
      <c r="F80" s="754" t="str">
        <f>IF(OR(TABLERO!BB80=0,TABLERO!BB80=""),"",IF(TABLERO!$H80="RE","",IF(ISNA(TABLERO!ED80),"*** REVISA TU ALIMENTADOR ***",IF(OR(TABLERO!BB80=0,TABLERO!H80="RE"),"",TABLERO!G80*TABLERO!N80&amp;"-"&amp;TABLERO!BX80&amp;""&amp;TABLERO!ED80&amp;","&amp;TABLERO!I80&amp;",("&amp;TABLERO!N80&amp;"xF"&amp;IF(TABLERO!F80=TABLERO!G80,")","-"&amp;TABLERO!N80&amp;"N)")))&amp;", "&amp;IF(OR(TABLERO!BB80=0,TABLERO!H80="RE"),"",TABLERO!O80&amp;"-"&amp;TABLERO!CA80&amp;"T AWG")&amp;", "&amp;IF(OR(TABLERO!BB80=0,TABLERO!H80="RE"),"",TABLERO!O80&amp;TABLERO!CB80)))</f>
        <v/>
      </c>
      <c r="G80" s="757" t="str">
        <f>IF(TABLERO!BY80=0,"",TABLERO!BY80)</f>
        <v/>
      </c>
      <c r="H80" s="756" t="str">
        <f>IF(TABLERO!BB80=0,"",TABLERO!K80)</f>
        <v/>
      </c>
      <c r="I80" s="756" t="str">
        <f>'CUADRO (1)'!$AV80</f>
        <v/>
      </c>
      <c r="J80" s="756" t="str">
        <f>'CUADRO (1)'!$BA80</f>
        <v/>
      </c>
      <c r="K80" s="756" t="str">
        <f>'CUADRO (1)'!$BB80</f>
        <v/>
      </c>
      <c r="L80" s="758" t="str">
        <f>'CUADRO (1)'!$BC80</f>
        <v/>
      </c>
    </row>
    <row r="81" spans="1:12">
      <c r="A81" s="753" t="str">
        <f>TABLERO!B81&amp;IF(TABLERO!C81="","",","&amp;TABLERO!C81)&amp;IF(TABLERO!D81="","",","&amp;TABLERO!D81)</f>
        <v>51</v>
      </c>
      <c r="B81" s="754" t="str">
        <f>IF(TABLERO!E81=0,"",TABLERO!E81)</f>
        <v/>
      </c>
      <c r="C81" s="755" t="str">
        <f>IF(TABLERO!BB81=0,"",IF(TABLERO!$F$17&lt;&gt;"KVA",TABLERO!BT81*1000,TABLERO!BT81*1000/TABLERO!DA81))</f>
        <v/>
      </c>
      <c r="D81" s="756" t="str">
        <f>IF(OR(TABLERO!BU81="",TABLERO!BU81=0),"",TABLERO!BU81)</f>
        <v/>
      </c>
      <c r="E81" s="754" t="str">
        <f>IF(OR(TABLERO!BB81=0,TABLERO!H81="RE"),"",TABLERO!F81&amp;"P-"&amp;TABLERO!BW81&amp;"A")</f>
        <v/>
      </c>
      <c r="F81" s="754" t="str">
        <f>IF(OR(TABLERO!BB81=0,TABLERO!BB81=""),"",IF(TABLERO!$H81="RE","",IF(ISNA(TABLERO!ED81),"*** REVISA TU ALIMENTADOR ***",IF(OR(TABLERO!BB81=0,TABLERO!H81="RE"),"",TABLERO!G81*TABLERO!N81&amp;"-"&amp;TABLERO!BX81&amp;""&amp;TABLERO!ED81&amp;","&amp;TABLERO!I81&amp;",("&amp;TABLERO!N81&amp;"xF"&amp;IF(TABLERO!F81=TABLERO!G81,")","-"&amp;TABLERO!N81&amp;"N)")))&amp;", "&amp;IF(OR(TABLERO!BB81=0,TABLERO!H81="RE"),"",TABLERO!O81&amp;"-"&amp;TABLERO!CA81&amp;"T AWG")&amp;", "&amp;IF(OR(TABLERO!BB81=0,TABLERO!H81="RE"),"",TABLERO!O81&amp;TABLERO!CB81)))</f>
        <v/>
      </c>
      <c r="G81" s="757" t="str">
        <f>IF(TABLERO!BY81=0,"",TABLERO!BY81)</f>
        <v/>
      </c>
      <c r="H81" s="756" t="str">
        <f>IF(TABLERO!BB81=0,"",TABLERO!K81)</f>
        <v/>
      </c>
      <c r="I81" s="756" t="str">
        <f>'CUADRO (1)'!$AV81</f>
        <v/>
      </c>
      <c r="J81" s="756" t="str">
        <f>'CUADRO (1)'!$BA81</f>
        <v/>
      </c>
      <c r="K81" s="756" t="str">
        <f>'CUADRO (1)'!$BB81</f>
        <v/>
      </c>
      <c r="L81" s="758" t="str">
        <f>'CUADRO (1)'!$BC81</f>
        <v/>
      </c>
    </row>
    <row r="82" spans="1:12">
      <c r="A82" s="753" t="str">
        <f>TABLERO!B82&amp;IF(TABLERO!C82="","",","&amp;TABLERO!C82)&amp;IF(TABLERO!D82="","",","&amp;TABLERO!D82)</f>
        <v>52</v>
      </c>
      <c r="B82" s="754" t="str">
        <f>IF(TABLERO!E82=0,"",TABLERO!E82)</f>
        <v/>
      </c>
      <c r="C82" s="755" t="str">
        <f>IF(TABLERO!BB82=0,"",IF(TABLERO!$F$17&lt;&gt;"KVA",TABLERO!BT82*1000,TABLERO!BT82*1000/TABLERO!DA82))</f>
        <v/>
      </c>
      <c r="D82" s="756" t="str">
        <f>IF(OR(TABLERO!BU82="",TABLERO!BU82=0),"",TABLERO!BU82)</f>
        <v/>
      </c>
      <c r="E82" s="754" t="str">
        <f>IF(OR(TABLERO!BB82=0,TABLERO!H82="RE"),"",TABLERO!F82&amp;"P-"&amp;TABLERO!BW82&amp;"A")</f>
        <v/>
      </c>
      <c r="F82" s="754" t="str">
        <f>IF(OR(TABLERO!BB82=0,TABLERO!BB82=""),"",IF(TABLERO!$H82="RE","",IF(ISNA(TABLERO!ED82),"*** REVISA TU ALIMENTADOR ***",IF(OR(TABLERO!BB82=0,TABLERO!H82="RE"),"",TABLERO!G82*TABLERO!N82&amp;"-"&amp;TABLERO!BX82&amp;""&amp;TABLERO!ED82&amp;","&amp;TABLERO!I82&amp;",("&amp;TABLERO!N82&amp;"xF"&amp;IF(TABLERO!F82=TABLERO!G82,")","-"&amp;TABLERO!N82&amp;"N)")))&amp;", "&amp;IF(OR(TABLERO!BB82=0,TABLERO!H82="RE"),"",TABLERO!O82&amp;"-"&amp;TABLERO!CA82&amp;"T AWG")&amp;", "&amp;IF(OR(TABLERO!BB82=0,TABLERO!H82="RE"),"",TABLERO!O82&amp;TABLERO!CB82)))</f>
        <v/>
      </c>
      <c r="G82" s="757" t="str">
        <f>IF(TABLERO!BY82=0,"",TABLERO!BY82)</f>
        <v/>
      </c>
      <c r="H82" s="756" t="str">
        <f>IF(TABLERO!BB82=0,"",TABLERO!K82)</f>
        <v/>
      </c>
      <c r="I82" s="756" t="str">
        <f>'CUADRO (1)'!$AV82</f>
        <v/>
      </c>
      <c r="J82" s="756" t="str">
        <f>'CUADRO (1)'!$BA82</f>
        <v/>
      </c>
      <c r="K82" s="756" t="str">
        <f>'CUADRO (1)'!$BB82</f>
        <v/>
      </c>
      <c r="L82" s="758" t="str">
        <f>'CUADRO (1)'!$BC82</f>
        <v/>
      </c>
    </row>
    <row r="83" spans="1:12">
      <c r="A83" s="753" t="str">
        <f>TABLERO!B83&amp;IF(TABLERO!C83="","",","&amp;TABLERO!C83)&amp;IF(TABLERO!D83="","",","&amp;TABLERO!D83)</f>
        <v>53</v>
      </c>
      <c r="B83" s="754" t="str">
        <f>IF(TABLERO!E83=0,"",TABLERO!E83)</f>
        <v/>
      </c>
      <c r="C83" s="755" t="str">
        <f>IF(TABLERO!BB83=0,"",IF(TABLERO!$F$17&lt;&gt;"KVA",TABLERO!BT83*1000,TABLERO!BT83*1000/TABLERO!DA83))</f>
        <v/>
      </c>
      <c r="D83" s="756" t="str">
        <f>IF(OR(TABLERO!BU83="",TABLERO!BU83=0),"",TABLERO!BU83)</f>
        <v/>
      </c>
      <c r="E83" s="754" t="str">
        <f>IF(OR(TABLERO!BB83=0,TABLERO!H83="RE"),"",TABLERO!F83&amp;"P-"&amp;TABLERO!BW83&amp;"A")</f>
        <v/>
      </c>
      <c r="F83" s="754" t="str">
        <f>IF(OR(TABLERO!BB83=0,TABLERO!BB83=""),"",IF(TABLERO!$H83="RE","",IF(ISNA(TABLERO!ED83),"*** REVISA TU ALIMENTADOR ***",IF(OR(TABLERO!BB83=0,TABLERO!H83="RE"),"",TABLERO!G83*TABLERO!N83&amp;"-"&amp;TABLERO!BX83&amp;""&amp;TABLERO!ED83&amp;","&amp;TABLERO!I83&amp;",("&amp;TABLERO!N83&amp;"xF"&amp;IF(TABLERO!F83=TABLERO!G83,")","-"&amp;TABLERO!N83&amp;"N)")))&amp;", "&amp;IF(OR(TABLERO!BB83=0,TABLERO!H83="RE"),"",TABLERO!O83&amp;"-"&amp;TABLERO!CA83&amp;"T AWG")&amp;", "&amp;IF(OR(TABLERO!BB83=0,TABLERO!H83="RE"),"",TABLERO!O83&amp;TABLERO!CB83)))</f>
        <v/>
      </c>
      <c r="G83" s="757" t="str">
        <f>IF(TABLERO!BY83=0,"",TABLERO!BY83)</f>
        <v/>
      </c>
      <c r="H83" s="756" t="str">
        <f>IF(TABLERO!BB83=0,"",TABLERO!K83)</f>
        <v/>
      </c>
      <c r="I83" s="756" t="str">
        <f>'CUADRO (1)'!$AV83</f>
        <v/>
      </c>
      <c r="J83" s="756" t="str">
        <f>'CUADRO (1)'!$BA83</f>
        <v/>
      </c>
      <c r="K83" s="756" t="str">
        <f>'CUADRO (1)'!$BB83</f>
        <v/>
      </c>
      <c r="L83" s="758" t="str">
        <f>'CUADRO (1)'!$BC83</f>
        <v/>
      </c>
    </row>
    <row r="84" spans="1:12">
      <c r="A84" s="753" t="str">
        <f>TABLERO!B84&amp;IF(TABLERO!C84="","",","&amp;TABLERO!C84)&amp;IF(TABLERO!D84="","",","&amp;TABLERO!D84)</f>
        <v>54</v>
      </c>
      <c r="B84" s="754" t="str">
        <f>IF(TABLERO!E84=0,"",TABLERO!E84)</f>
        <v/>
      </c>
      <c r="C84" s="755" t="str">
        <f>IF(TABLERO!BB84=0,"",IF(TABLERO!$F$17&lt;&gt;"KVA",TABLERO!BT84*1000,TABLERO!BT84*1000/TABLERO!DA84))</f>
        <v/>
      </c>
      <c r="D84" s="756" t="str">
        <f>IF(OR(TABLERO!BU84="",TABLERO!BU84=0),"",TABLERO!BU84)</f>
        <v/>
      </c>
      <c r="E84" s="754" t="str">
        <f>IF(OR(TABLERO!BB84=0,TABLERO!H84="RE"),"",TABLERO!F84&amp;"P-"&amp;TABLERO!BW84&amp;"A")</f>
        <v/>
      </c>
      <c r="F84" s="754" t="str">
        <f>IF(OR(TABLERO!BB84=0,TABLERO!BB84=""),"",IF(TABLERO!$H84="RE","",IF(ISNA(TABLERO!ED84),"*** REVISA TU ALIMENTADOR ***",IF(OR(TABLERO!BB84=0,TABLERO!H84="RE"),"",TABLERO!G84*TABLERO!N84&amp;"-"&amp;TABLERO!BX84&amp;""&amp;TABLERO!ED84&amp;","&amp;TABLERO!I84&amp;",("&amp;TABLERO!N84&amp;"xF"&amp;IF(TABLERO!F84=TABLERO!G84,")","-"&amp;TABLERO!N84&amp;"N)")))&amp;", "&amp;IF(OR(TABLERO!BB84=0,TABLERO!H84="RE"),"",TABLERO!O84&amp;"-"&amp;TABLERO!CA84&amp;"T AWG")&amp;", "&amp;IF(OR(TABLERO!BB84=0,TABLERO!H84="RE"),"",TABLERO!O84&amp;TABLERO!CB84)))</f>
        <v/>
      </c>
      <c r="G84" s="757" t="str">
        <f>IF(TABLERO!BY84=0,"",TABLERO!BY84)</f>
        <v/>
      </c>
      <c r="H84" s="756" t="str">
        <f>IF(TABLERO!BB84=0,"",TABLERO!K84)</f>
        <v/>
      </c>
      <c r="I84" s="756" t="str">
        <f>'CUADRO (1)'!$AV84</f>
        <v/>
      </c>
      <c r="J84" s="756" t="str">
        <f>'CUADRO (1)'!$BA84</f>
        <v/>
      </c>
      <c r="K84" s="756" t="str">
        <f>'CUADRO (1)'!$BB84</f>
        <v/>
      </c>
      <c r="L84" s="758" t="str">
        <f>'CUADRO (1)'!$BC84</f>
        <v/>
      </c>
    </row>
    <row r="85" spans="1:12">
      <c r="A85" s="753" t="str">
        <f>TABLERO!B85&amp;IF(TABLERO!C85="","",","&amp;TABLERO!C85)&amp;IF(TABLERO!D85="","",","&amp;TABLERO!D85)</f>
        <v>55</v>
      </c>
      <c r="B85" s="754" t="str">
        <f>IF(TABLERO!E85=0,"",TABLERO!E85)</f>
        <v/>
      </c>
      <c r="C85" s="755" t="str">
        <f>IF(TABLERO!BB85=0,"",IF(TABLERO!$F$17&lt;&gt;"KVA",TABLERO!BT85*1000,TABLERO!BT85*1000/TABLERO!DA85))</f>
        <v/>
      </c>
      <c r="D85" s="756" t="str">
        <f>IF(OR(TABLERO!BU85="",TABLERO!BU85=0),"",TABLERO!BU85)</f>
        <v/>
      </c>
      <c r="E85" s="754" t="str">
        <f>IF(OR(TABLERO!BB85=0,TABLERO!H85="RE"),"",TABLERO!F85&amp;"P-"&amp;TABLERO!BW85&amp;"A")</f>
        <v/>
      </c>
      <c r="F85" s="754" t="str">
        <f>IF(OR(TABLERO!BB85=0,TABLERO!BB85=""),"",IF(TABLERO!$H85="RE","",IF(ISNA(TABLERO!ED85),"*** REVISA TU ALIMENTADOR ***",IF(OR(TABLERO!BB85=0,TABLERO!H85="RE"),"",TABLERO!G85*TABLERO!N85&amp;"-"&amp;TABLERO!BX85&amp;""&amp;TABLERO!ED85&amp;","&amp;TABLERO!I85&amp;",("&amp;TABLERO!N85&amp;"xF"&amp;IF(TABLERO!F85=TABLERO!G85,")","-"&amp;TABLERO!N85&amp;"N)")))&amp;", "&amp;IF(OR(TABLERO!BB85=0,TABLERO!H85="RE"),"",TABLERO!O85&amp;"-"&amp;TABLERO!CA85&amp;"T AWG")&amp;", "&amp;IF(OR(TABLERO!BB85=0,TABLERO!H85="RE"),"",TABLERO!O85&amp;TABLERO!CB85)))</f>
        <v/>
      </c>
      <c r="G85" s="757" t="str">
        <f>IF(TABLERO!BY85=0,"",TABLERO!BY85)</f>
        <v/>
      </c>
      <c r="H85" s="756" t="str">
        <f>IF(TABLERO!BB85=0,"",TABLERO!K85)</f>
        <v/>
      </c>
      <c r="I85" s="756" t="str">
        <f>'CUADRO (1)'!$AV85</f>
        <v/>
      </c>
      <c r="J85" s="756" t="str">
        <f>'CUADRO (1)'!$BA85</f>
        <v/>
      </c>
      <c r="K85" s="756" t="str">
        <f>'CUADRO (1)'!$BB85</f>
        <v/>
      </c>
      <c r="L85" s="758" t="str">
        <f>'CUADRO (1)'!$BC85</f>
        <v/>
      </c>
    </row>
    <row r="86" spans="1:12">
      <c r="A86" s="753" t="str">
        <f>TABLERO!B86&amp;IF(TABLERO!C86="","",","&amp;TABLERO!C86)&amp;IF(TABLERO!D86="","",","&amp;TABLERO!D86)</f>
        <v>56</v>
      </c>
      <c r="B86" s="754" t="str">
        <f>IF(TABLERO!E86=0,"",TABLERO!E86)</f>
        <v/>
      </c>
      <c r="C86" s="755" t="str">
        <f>IF(TABLERO!BB86=0,"",IF(TABLERO!$F$17&lt;&gt;"KVA",TABLERO!BT86*1000,TABLERO!BT86*1000/TABLERO!DA86))</f>
        <v/>
      </c>
      <c r="D86" s="756" t="str">
        <f>IF(OR(TABLERO!BU86="",TABLERO!BU86=0),"",TABLERO!BU86)</f>
        <v/>
      </c>
      <c r="E86" s="754" t="str">
        <f>IF(OR(TABLERO!BB86=0,TABLERO!H86="RE"),"",TABLERO!F86&amp;"P-"&amp;TABLERO!BW86&amp;"A")</f>
        <v/>
      </c>
      <c r="F86" s="754" t="str">
        <f>IF(OR(TABLERO!BB86=0,TABLERO!BB86=""),"",IF(TABLERO!$H86="RE","",IF(ISNA(TABLERO!ED86),"*** REVISA TU ALIMENTADOR ***",IF(OR(TABLERO!BB86=0,TABLERO!H86="RE"),"",TABLERO!G86*TABLERO!N86&amp;"-"&amp;TABLERO!BX86&amp;""&amp;TABLERO!ED86&amp;","&amp;TABLERO!I86&amp;",("&amp;TABLERO!N86&amp;"xF"&amp;IF(TABLERO!F86=TABLERO!G86,")","-"&amp;TABLERO!N86&amp;"N)")))&amp;", "&amp;IF(OR(TABLERO!BB86=0,TABLERO!H86="RE"),"",TABLERO!O86&amp;"-"&amp;TABLERO!CA86&amp;"T AWG")&amp;", "&amp;IF(OR(TABLERO!BB86=0,TABLERO!H86="RE"),"",TABLERO!O86&amp;TABLERO!CB86)))</f>
        <v/>
      </c>
      <c r="G86" s="757" t="str">
        <f>IF(TABLERO!BY86=0,"",TABLERO!BY86)</f>
        <v/>
      </c>
      <c r="H86" s="756" t="str">
        <f>IF(TABLERO!BB86=0,"",TABLERO!K86)</f>
        <v/>
      </c>
      <c r="I86" s="756" t="str">
        <f>'CUADRO (1)'!$AV86</f>
        <v/>
      </c>
      <c r="J86" s="756" t="str">
        <f>'CUADRO (1)'!$BA86</f>
        <v/>
      </c>
      <c r="K86" s="756" t="str">
        <f>'CUADRO (1)'!$BB86</f>
        <v/>
      </c>
      <c r="L86" s="758" t="str">
        <f>'CUADRO (1)'!$BC86</f>
        <v/>
      </c>
    </row>
    <row r="87" spans="1:12">
      <c r="A87" s="753" t="str">
        <f>TABLERO!B87&amp;IF(TABLERO!C87="","",","&amp;TABLERO!C87)&amp;IF(TABLERO!D87="","",","&amp;TABLERO!D87)</f>
        <v>57</v>
      </c>
      <c r="B87" s="754" t="str">
        <f>IF(TABLERO!E87=0,"",TABLERO!E87)</f>
        <v/>
      </c>
      <c r="C87" s="755" t="str">
        <f>IF(TABLERO!BB87=0,"",IF(TABLERO!$F$17&lt;&gt;"KVA",TABLERO!BT87*1000,TABLERO!BT87*1000/TABLERO!DA87))</f>
        <v/>
      </c>
      <c r="D87" s="756" t="str">
        <f>IF(OR(TABLERO!BU87="",TABLERO!BU87=0),"",TABLERO!BU87)</f>
        <v/>
      </c>
      <c r="E87" s="754" t="str">
        <f>IF(OR(TABLERO!BB87=0,TABLERO!H87="RE"),"",TABLERO!F87&amp;"P-"&amp;TABLERO!BW87&amp;"A")</f>
        <v/>
      </c>
      <c r="F87" s="754" t="str">
        <f>IF(OR(TABLERO!BB87=0,TABLERO!BB87=""),"",IF(TABLERO!$H87="RE","",IF(ISNA(TABLERO!ED87),"*** REVISA TU ALIMENTADOR ***",IF(OR(TABLERO!BB87=0,TABLERO!H87="RE"),"",TABLERO!G87*TABLERO!N87&amp;"-"&amp;TABLERO!BX87&amp;""&amp;TABLERO!ED87&amp;","&amp;TABLERO!I87&amp;",("&amp;TABLERO!N87&amp;"xF"&amp;IF(TABLERO!F87=TABLERO!G87,")","-"&amp;TABLERO!N87&amp;"N)")))&amp;", "&amp;IF(OR(TABLERO!BB87=0,TABLERO!H87="RE"),"",TABLERO!O87&amp;"-"&amp;TABLERO!CA87&amp;"T AWG")&amp;", "&amp;IF(OR(TABLERO!BB87=0,TABLERO!H87="RE"),"",TABLERO!O87&amp;TABLERO!CB87)))</f>
        <v/>
      </c>
      <c r="G87" s="757" t="str">
        <f>IF(TABLERO!BY87=0,"",TABLERO!BY87)</f>
        <v/>
      </c>
      <c r="H87" s="756" t="str">
        <f>IF(TABLERO!BB87=0,"",TABLERO!K87)</f>
        <v/>
      </c>
      <c r="I87" s="756" t="str">
        <f>'CUADRO (1)'!$AV87</f>
        <v/>
      </c>
      <c r="J87" s="756" t="str">
        <f>'CUADRO (1)'!$BA87</f>
        <v/>
      </c>
      <c r="K87" s="756" t="str">
        <f>'CUADRO (1)'!$BB87</f>
        <v/>
      </c>
      <c r="L87" s="758" t="str">
        <f>'CUADRO (1)'!$BC87</f>
        <v/>
      </c>
    </row>
    <row r="88" spans="1:12">
      <c r="A88" s="753" t="str">
        <f>TABLERO!B88&amp;IF(TABLERO!C88="","",","&amp;TABLERO!C88)&amp;IF(TABLERO!D88="","",","&amp;TABLERO!D88)</f>
        <v>58</v>
      </c>
      <c r="B88" s="754" t="str">
        <f>IF(TABLERO!E88=0,"",TABLERO!E88)</f>
        <v/>
      </c>
      <c r="C88" s="755" t="str">
        <f>IF(TABLERO!BB88=0,"",IF(TABLERO!$F$17&lt;&gt;"KVA",TABLERO!BT88*1000,TABLERO!BT88*1000/TABLERO!DA88))</f>
        <v/>
      </c>
      <c r="D88" s="756" t="str">
        <f>IF(OR(TABLERO!BU88="",TABLERO!BU88=0),"",TABLERO!BU88)</f>
        <v/>
      </c>
      <c r="E88" s="754" t="str">
        <f>IF(OR(TABLERO!BB88=0,TABLERO!H88="RE"),"",TABLERO!F88&amp;"P-"&amp;TABLERO!BW88&amp;"A")</f>
        <v/>
      </c>
      <c r="F88" s="754" t="str">
        <f>IF(OR(TABLERO!BB88=0,TABLERO!BB88=""),"",IF(TABLERO!$H88="RE","",IF(ISNA(TABLERO!ED88),"*** REVISA TU ALIMENTADOR ***",IF(OR(TABLERO!BB88=0,TABLERO!H88="RE"),"",TABLERO!G88*TABLERO!N88&amp;"-"&amp;TABLERO!BX88&amp;""&amp;TABLERO!ED88&amp;","&amp;TABLERO!I88&amp;",("&amp;TABLERO!N88&amp;"xF"&amp;IF(TABLERO!F88=TABLERO!G88,")","-"&amp;TABLERO!N88&amp;"N)")))&amp;", "&amp;IF(OR(TABLERO!BB88=0,TABLERO!H88="RE"),"",TABLERO!O88&amp;"-"&amp;TABLERO!CA88&amp;"T AWG")&amp;", "&amp;IF(OR(TABLERO!BB88=0,TABLERO!H88="RE"),"",TABLERO!O88&amp;TABLERO!CB88)))</f>
        <v/>
      </c>
      <c r="G88" s="757" t="str">
        <f>IF(TABLERO!BY88=0,"",TABLERO!BY88)</f>
        <v/>
      </c>
      <c r="H88" s="756" t="str">
        <f>IF(TABLERO!BB88=0,"",TABLERO!K88)</f>
        <v/>
      </c>
      <c r="I88" s="756" t="str">
        <f>'CUADRO (1)'!$AV88</f>
        <v/>
      </c>
      <c r="J88" s="756" t="str">
        <f>'CUADRO (1)'!$BA88</f>
        <v/>
      </c>
      <c r="K88" s="756" t="str">
        <f>'CUADRO (1)'!$BB88</f>
        <v/>
      </c>
      <c r="L88" s="758" t="str">
        <f>'CUADRO (1)'!$BC88</f>
        <v/>
      </c>
    </row>
    <row r="89" spans="1:12">
      <c r="A89" s="753" t="str">
        <f>TABLERO!B89&amp;IF(TABLERO!C89="","",","&amp;TABLERO!C89)&amp;IF(TABLERO!D89="","",","&amp;TABLERO!D89)</f>
        <v>59</v>
      </c>
      <c r="B89" s="754" t="str">
        <f>IF(TABLERO!E89=0,"",TABLERO!E89)</f>
        <v/>
      </c>
      <c r="C89" s="755" t="str">
        <f>IF(TABLERO!BB89=0,"",IF(TABLERO!$F$17&lt;&gt;"KVA",TABLERO!BT89*1000,TABLERO!BT89*1000/TABLERO!DA89))</f>
        <v/>
      </c>
      <c r="D89" s="756" t="str">
        <f>IF(OR(TABLERO!BU89="",TABLERO!BU89=0),"",TABLERO!BU89)</f>
        <v/>
      </c>
      <c r="E89" s="754" t="str">
        <f>IF(OR(TABLERO!BB89=0,TABLERO!H89="RE"),"",TABLERO!F89&amp;"P-"&amp;TABLERO!BW89&amp;"A")</f>
        <v/>
      </c>
      <c r="F89" s="754" t="str">
        <f>IF(OR(TABLERO!BB89=0,TABLERO!BB89=""),"",IF(TABLERO!$H89="RE","",IF(ISNA(TABLERO!ED89),"*** REVISA TU ALIMENTADOR ***",IF(OR(TABLERO!BB89=0,TABLERO!H89="RE"),"",TABLERO!G89*TABLERO!N89&amp;"-"&amp;TABLERO!BX89&amp;""&amp;TABLERO!ED89&amp;","&amp;TABLERO!I89&amp;",("&amp;TABLERO!N89&amp;"xF"&amp;IF(TABLERO!F89=TABLERO!G89,")","-"&amp;TABLERO!N89&amp;"N)")))&amp;", "&amp;IF(OR(TABLERO!BB89=0,TABLERO!H89="RE"),"",TABLERO!O89&amp;"-"&amp;TABLERO!CA89&amp;"T AWG")&amp;", "&amp;IF(OR(TABLERO!BB89=0,TABLERO!H89="RE"),"",TABLERO!O89&amp;TABLERO!CB89)))</f>
        <v/>
      </c>
      <c r="G89" s="757" t="str">
        <f>IF(TABLERO!BY89=0,"",TABLERO!BY89)</f>
        <v/>
      </c>
      <c r="H89" s="756" t="str">
        <f>IF(TABLERO!BB89=0,"",TABLERO!K89)</f>
        <v/>
      </c>
      <c r="I89" s="756" t="str">
        <f>'CUADRO (1)'!$AV89</f>
        <v/>
      </c>
      <c r="J89" s="756" t="str">
        <f>'CUADRO (1)'!$BA89</f>
        <v/>
      </c>
      <c r="K89" s="756" t="str">
        <f>'CUADRO (1)'!$BB89</f>
        <v/>
      </c>
      <c r="L89" s="758" t="str">
        <f>'CUADRO (1)'!$BC89</f>
        <v/>
      </c>
    </row>
    <row r="90" spans="1:12">
      <c r="A90" s="753" t="str">
        <f>TABLERO!B90&amp;IF(TABLERO!C90="","",","&amp;TABLERO!C90)&amp;IF(TABLERO!D90="","",","&amp;TABLERO!D90)</f>
        <v>60</v>
      </c>
      <c r="B90" s="754" t="str">
        <f>IF(TABLERO!E90=0,"",TABLERO!E90)</f>
        <v/>
      </c>
      <c r="C90" s="755" t="str">
        <f>IF(TABLERO!BB90=0,"",IF(TABLERO!$F$17&lt;&gt;"KVA",TABLERO!BT90*1000,TABLERO!BT90*1000/TABLERO!DA90))</f>
        <v/>
      </c>
      <c r="D90" s="756" t="str">
        <f>IF(OR(TABLERO!BU90="",TABLERO!BU90=0),"",TABLERO!BU90)</f>
        <v/>
      </c>
      <c r="E90" s="754" t="str">
        <f>IF(OR(TABLERO!BB90=0,TABLERO!H90="RE"),"",TABLERO!F90&amp;"P-"&amp;TABLERO!BW90&amp;"A")</f>
        <v/>
      </c>
      <c r="F90" s="754" t="str">
        <f>IF(OR(TABLERO!BB90=0,TABLERO!BB90=""),"",IF(TABLERO!$H90="RE","",IF(ISNA(TABLERO!ED90),"*** REVISA TU ALIMENTADOR ***",IF(OR(TABLERO!BB90=0,TABLERO!H90="RE"),"",TABLERO!G90*TABLERO!N90&amp;"-"&amp;TABLERO!BX90&amp;""&amp;TABLERO!ED90&amp;","&amp;TABLERO!I90&amp;",("&amp;TABLERO!N90&amp;"xF"&amp;IF(TABLERO!F90=TABLERO!G90,")","-"&amp;TABLERO!N90&amp;"N)")))&amp;", "&amp;IF(OR(TABLERO!BB90=0,TABLERO!H90="RE"),"",TABLERO!O90&amp;"-"&amp;TABLERO!CA90&amp;"T AWG")&amp;", "&amp;IF(OR(TABLERO!BB90=0,TABLERO!H90="RE"),"",TABLERO!O90&amp;TABLERO!CB90)))</f>
        <v/>
      </c>
      <c r="G90" s="757" t="str">
        <f>IF(TABLERO!BY90=0,"",TABLERO!BY90)</f>
        <v/>
      </c>
      <c r="H90" s="756" t="str">
        <f>IF(TABLERO!BB90=0,"",TABLERO!K90)</f>
        <v/>
      </c>
      <c r="I90" s="756" t="str">
        <f>'CUADRO (1)'!$AV90</f>
        <v/>
      </c>
      <c r="J90" s="756" t="str">
        <f>'CUADRO (1)'!$BA90</f>
        <v/>
      </c>
      <c r="K90" s="756" t="str">
        <f>'CUADRO (1)'!$BB90</f>
        <v/>
      </c>
      <c r="L90" s="758" t="str">
        <f>'CUADRO (1)'!$BC90</f>
        <v/>
      </c>
    </row>
    <row r="91" spans="1:12">
      <c r="A91" s="753" t="str">
        <f>TABLERO!B91&amp;IF(TABLERO!C91="","",","&amp;TABLERO!C91)&amp;IF(TABLERO!D91="","",","&amp;TABLERO!D91)</f>
        <v>61</v>
      </c>
      <c r="B91" s="754" t="str">
        <f>IF(TABLERO!E91=0,"",TABLERO!E91)</f>
        <v/>
      </c>
      <c r="C91" s="755" t="str">
        <f>IF(TABLERO!BB91=0,"",IF(TABLERO!$F$17&lt;&gt;"KVA",TABLERO!BT91*1000,TABLERO!BT91*1000/TABLERO!DA91))</f>
        <v/>
      </c>
      <c r="D91" s="756" t="str">
        <f>IF(OR(TABLERO!BU91="",TABLERO!BU91=0),"",TABLERO!BU91)</f>
        <v/>
      </c>
      <c r="E91" s="754" t="str">
        <f>IF(OR(TABLERO!BB91=0,TABLERO!H91="RE"),"",TABLERO!F91&amp;"P-"&amp;TABLERO!BW91&amp;"A")</f>
        <v/>
      </c>
      <c r="F91" s="754" t="str">
        <f>IF(OR(TABLERO!BB91=0,TABLERO!BB91=""),"",IF(TABLERO!$H91="RE","",IF(ISNA(TABLERO!ED91),"*** REVISA TU ALIMENTADOR ***",IF(OR(TABLERO!BB91=0,TABLERO!H91="RE"),"",TABLERO!G91*TABLERO!N91&amp;"-"&amp;TABLERO!BX91&amp;""&amp;TABLERO!ED91&amp;","&amp;TABLERO!I91&amp;",("&amp;TABLERO!N91&amp;"xF"&amp;IF(TABLERO!F91=TABLERO!G91,")","-"&amp;TABLERO!N91&amp;"N)")))&amp;", "&amp;IF(OR(TABLERO!BB91=0,TABLERO!H91="RE"),"",TABLERO!O91&amp;"-"&amp;TABLERO!CA91&amp;"T AWG")&amp;", "&amp;IF(OR(TABLERO!BB91=0,TABLERO!H91="RE"),"",TABLERO!O91&amp;TABLERO!CB91)))</f>
        <v/>
      </c>
      <c r="G91" s="757" t="str">
        <f>IF(TABLERO!BY91=0,"",TABLERO!BY91)</f>
        <v/>
      </c>
      <c r="H91" s="756" t="str">
        <f>IF(TABLERO!BB91=0,"",TABLERO!K91)</f>
        <v/>
      </c>
      <c r="I91" s="756" t="str">
        <f>'CUADRO (1)'!$AV91</f>
        <v/>
      </c>
      <c r="J91" s="756" t="str">
        <f>'CUADRO (1)'!$BA91</f>
        <v/>
      </c>
      <c r="K91" s="756" t="str">
        <f>'CUADRO (1)'!$BB91</f>
        <v/>
      </c>
      <c r="L91" s="758" t="str">
        <f>'CUADRO (1)'!$BC91</f>
        <v/>
      </c>
    </row>
    <row r="92" spans="1:12">
      <c r="A92" s="753" t="str">
        <f>TABLERO!B92&amp;IF(TABLERO!C92="","",","&amp;TABLERO!C92)&amp;IF(TABLERO!D92="","",","&amp;TABLERO!D92)</f>
        <v>62</v>
      </c>
      <c r="B92" s="754" t="str">
        <f>IF(TABLERO!E92=0,"",TABLERO!E92)</f>
        <v/>
      </c>
      <c r="C92" s="755" t="str">
        <f>IF(TABLERO!BB92=0,"",IF(TABLERO!$F$17&lt;&gt;"KVA",TABLERO!BT92*1000,TABLERO!BT92*1000/TABLERO!DA92))</f>
        <v/>
      </c>
      <c r="D92" s="756" t="str">
        <f>IF(OR(TABLERO!BU92="",TABLERO!BU92=0),"",TABLERO!BU92)</f>
        <v/>
      </c>
      <c r="E92" s="754" t="str">
        <f>IF(OR(TABLERO!BB92=0,TABLERO!H92="RE"),"",TABLERO!F92&amp;"P-"&amp;TABLERO!BW92&amp;"A")</f>
        <v/>
      </c>
      <c r="F92" s="754" t="str">
        <f>IF(OR(TABLERO!BB92=0,TABLERO!BB92=""),"",IF(TABLERO!$H92="RE","",IF(ISNA(TABLERO!ED92),"*** REVISA TU ALIMENTADOR ***",IF(OR(TABLERO!BB92=0,TABLERO!H92="RE"),"",TABLERO!G92*TABLERO!N92&amp;"-"&amp;TABLERO!BX92&amp;""&amp;TABLERO!ED92&amp;","&amp;TABLERO!I92&amp;",("&amp;TABLERO!N92&amp;"xF"&amp;IF(TABLERO!F92=TABLERO!G92,")","-"&amp;TABLERO!N92&amp;"N)")))&amp;", "&amp;IF(OR(TABLERO!BB92=0,TABLERO!H92="RE"),"",TABLERO!O92&amp;"-"&amp;TABLERO!CA92&amp;"T AWG")&amp;", "&amp;IF(OR(TABLERO!BB92=0,TABLERO!H92="RE"),"",TABLERO!O92&amp;TABLERO!CB92)))</f>
        <v/>
      </c>
      <c r="G92" s="757" t="str">
        <f>IF(TABLERO!BY92=0,"",TABLERO!BY92)</f>
        <v/>
      </c>
      <c r="H92" s="756" t="str">
        <f>IF(TABLERO!BB92=0,"",TABLERO!K92)</f>
        <v/>
      </c>
      <c r="I92" s="756" t="str">
        <f>'CUADRO (1)'!$AV92</f>
        <v/>
      </c>
      <c r="J92" s="756" t="str">
        <f>'CUADRO (1)'!$BA92</f>
        <v/>
      </c>
      <c r="K92" s="756" t="str">
        <f>'CUADRO (1)'!$BB92</f>
        <v/>
      </c>
      <c r="L92" s="758" t="str">
        <f>'CUADRO (1)'!$BC92</f>
        <v/>
      </c>
    </row>
    <row r="93" spans="1:12">
      <c r="A93" s="753" t="str">
        <f>TABLERO!B93&amp;IF(TABLERO!C93="","",","&amp;TABLERO!C93)&amp;IF(TABLERO!D93="","",","&amp;TABLERO!D93)</f>
        <v>63</v>
      </c>
      <c r="B93" s="754" t="str">
        <f>IF(TABLERO!E93=0,"",TABLERO!E93)</f>
        <v/>
      </c>
      <c r="C93" s="755" t="str">
        <f>IF(TABLERO!BB93=0,"",IF(TABLERO!$F$17&lt;&gt;"KVA",TABLERO!BT93*1000,TABLERO!BT93*1000/TABLERO!DA93))</f>
        <v/>
      </c>
      <c r="D93" s="756" t="str">
        <f>IF(OR(TABLERO!BU93="",TABLERO!BU93=0),"",TABLERO!BU93)</f>
        <v/>
      </c>
      <c r="E93" s="754" t="str">
        <f>IF(OR(TABLERO!BB93=0,TABLERO!H93="RE"),"",TABLERO!F93&amp;"P-"&amp;TABLERO!BW93&amp;"A")</f>
        <v/>
      </c>
      <c r="F93" s="754" t="str">
        <f>IF(OR(TABLERO!BB93=0,TABLERO!BB93=""),"",IF(TABLERO!$H93="RE","",IF(ISNA(TABLERO!ED93),"*** REVISA TU ALIMENTADOR ***",IF(OR(TABLERO!BB93=0,TABLERO!H93="RE"),"",TABLERO!G93*TABLERO!N93&amp;"-"&amp;TABLERO!BX93&amp;""&amp;TABLERO!ED93&amp;","&amp;TABLERO!I93&amp;",("&amp;TABLERO!N93&amp;"xF"&amp;IF(TABLERO!F93=TABLERO!G93,")","-"&amp;TABLERO!N93&amp;"N)")))&amp;", "&amp;IF(OR(TABLERO!BB93=0,TABLERO!H93="RE"),"",TABLERO!O93&amp;"-"&amp;TABLERO!CA93&amp;"T AWG")&amp;", "&amp;IF(OR(TABLERO!BB93=0,TABLERO!H93="RE"),"",TABLERO!O93&amp;TABLERO!CB93)))</f>
        <v/>
      </c>
      <c r="G93" s="757" t="str">
        <f>IF(TABLERO!BY93=0,"",TABLERO!BY93)</f>
        <v/>
      </c>
      <c r="H93" s="756" t="str">
        <f>IF(TABLERO!BB93=0,"",TABLERO!K93)</f>
        <v/>
      </c>
      <c r="I93" s="756" t="str">
        <f>'CUADRO (1)'!$AV93</f>
        <v/>
      </c>
      <c r="J93" s="756" t="str">
        <f>'CUADRO (1)'!$BA93</f>
        <v/>
      </c>
      <c r="K93" s="756" t="str">
        <f>'CUADRO (1)'!$BB93</f>
        <v/>
      </c>
      <c r="L93" s="758" t="str">
        <f>'CUADRO (1)'!$BC93</f>
        <v/>
      </c>
    </row>
    <row r="94" spans="1:12">
      <c r="A94" s="753" t="str">
        <f>TABLERO!B94&amp;IF(TABLERO!C94="","",","&amp;TABLERO!C94)&amp;IF(TABLERO!D94="","",","&amp;TABLERO!D94)</f>
        <v>64</v>
      </c>
      <c r="B94" s="754" t="str">
        <f>IF(TABLERO!E94=0,"",TABLERO!E94)</f>
        <v/>
      </c>
      <c r="C94" s="755" t="str">
        <f>IF(TABLERO!BB94=0,"",IF(TABLERO!$F$17&lt;&gt;"KVA",TABLERO!BT94*1000,TABLERO!BT94*1000/TABLERO!DA94))</f>
        <v/>
      </c>
      <c r="D94" s="756" t="str">
        <f>IF(OR(TABLERO!BU94="",TABLERO!BU94=0),"",TABLERO!BU94)</f>
        <v/>
      </c>
      <c r="E94" s="754" t="str">
        <f>IF(OR(TABLERO!BB94=0,TABLERO!H94="RE"),"",TABLERO!F94&amp;"P-"&amp;TABLERO!BW94&amp;"A")</f>
        <v/>
      </c>
      <c r="F94" s="754" t="str">
        <f>IF(OR(TABLERO!BB94=0,TABLERO!BB94=""),"",IF(TABLERO!$H94="RE","",IF(ISNA(TABLERO!ED94),"*** REVISA TU ALIMENTADOR ***",IF(OR(TABLERO!BB94=0,TABLERO!H94="RE"),"",TABLERO!G94*TABLERO!N94&amp;"-"&amp;TABLERO!BX94&amp;""&amp;TABLERO!ED94&amp;","&amp;TABLERO!I94&amp;",("&amp;TABLERO!N94&amp;"xF"&amp;IF(TABLERO!F94=TABLERO!G94,")","-"&amp;TABLERO!N94&amp;"N)")))&amp;", "&amp;IF(OR(TABLERO!BB94=0,TABLERO!H94="RE"),"",TABLERO!O94&amp;"-"&amp;TABLERO!CA94&amp;"T AWG")&amp;", "&amp;IF(OR(TABLERO!BB94=0,TABLERO!H94="RE"),"",TABLERO!O94&amp;TABLERO!CB94)))</f>
        <v/>
      </c>
      <c r="G94" s="757" t="str">
        <f>IF(TABLERO!BY94=0,"",TABLERO!BY94)</f>
        <v/>
      </c>
      <c r="H94" s="756" t="str">
        <f>IF(TABLERO!BB94=0,"",TABLERO!K94)</f>
        <v/>
      </c>
      <c r="I94" s="756" t="str">
        <f>'CUADRO (1)'!$AV94</f>
        <v/>
      </c>
      <c r="J94" s="756" t="str">
        <f>'CUADRO (1)'!$BA94</f>
        <v/>
      </c>
      <c r="K94" s="756" t="str">
        <f>'CUADRO (1)'!$BB94</f>
        <v/>
      </c>
      <c r="L94" s="758" t="str">
        <f>'CUADRO (1)'!$BC94</f>
        <v/>
      </c>
    </row>
    <row r="95" spans="1:12">
      <c r="A95" s="753" t="str">
        <f>TABLERO!B95&amp;IF(TABLERO!C95="","",","&amp;TABLERO!C95)&amp;IF(TABLERO!D95="","",","&amp;TABLERO!D95)</f>
        <v>65</v>
      </c>
      <c r="B95" s="754" t="str">
        <f>IF(TABLERO!E95=0,"",TABLERO!E95)</f>
        <v/>
      </c>
      <c r="C95" s="755" t="str">
        <f>IF(TABLERO!BB95=0,"",IF(TABLERO!$F$17&lt;&gt;"KVA",TABLERO!BT95*1000,TABLERO!BT95*1000/TABLERO!DA95))</f>
        <v/>
      </c>
      <c r="D95" s="756" t="str">
        <f>IF(OR(TABLERO!BU95="",TABLERO!BU95=0),"",TABLERO!BU95)</f>
        <v/>
      </c>
      <c r="E95" s="754" t="str">
        <f>IF(OR(TABLERO!BB95=0,TABLERO!H95="RE"),"",TABLERO!F95&amp;"P-"&amp;TABLERO!BW95&amp;"A")</f>
        <v/>
      </c>
      <c r="F95" s="754" t="str">
        <f>IF(OR(TABLERO!BB95=0,TABLERO!BB95=""),"",IF(TABLERO!$H95="RE","",IF(ISNA(TABLERO!ED95),"*** REVISA TU ALIMENTADOR ***",IF(OR(TABLERO!BB95=0,TABLERO!H95="RE"),"",TABLERO!G95*TABLERO!N95&amp;"-"&amp;TABLERO!BX95&amp;""&amp;TABLERO!ED95&amp;","&amp;TABLERO!I95&amp;",("&amp;TABLERO!N95&amp;"xF"&amp;IF(TABLERO!F95=TABLERO!G95,")","-"&amp;TABLERO!N95&amp;"N)")))&amp;", "&amp;IF(OR(TABLERO!BB95=0,TABLERO!H95="RE"),"",TABLERO!O95&amp;"-"&amp;TABLERO!CA95&amp;"T AWG")&amp;", "&amp;IF(OR(TABLERO!BB95=0,TABLERO!H95="RE"),"",TABLERO!O95&amp;TABLERO!CB95)))</f>
        <v/>
      </c>
      <c r="G95" s="757" t="str">
        <f>IF(TABLERO!BY95=0,"",TABLERO!BY95)</f>
        <v/>
      </c>
      <c r="H95" s="756" t="str">
        <f>IF(TABLERO!BB95=0,"",TABLERO!K95)</f>
        <v/>
      </c>
      <c r="I95" s="756" t="str">
        <f>'CUADRO (1)'!$AV95</f>
        <v/>
      </c>
      <c r="J95" s="756" t="str">
        <f>'CUADRO (1)'!$BA95</f>
        <v/>
      </c>
      <c r="K95" s="756" t="str">
        <f>'CUADRO (1)'!$BB95</f>
        <v/>
      </c>
      <c r="L95" s="758" t="str">
        <f>'CUADRO (1)'!$BC95</f>
        <v/>
      </c>
    </row>
    <row r="96" spans="1:12">
      <c r="A96" s="753" t="str">
        <f>TABLERO!B96&amp;IF(TABLERO!C96="","",","&amp;TABLERO!C96)&amp;IF(TABLERO!D96="","",","&amp;TABLERO!D96)</f>
        <v>66</v>
      </c>
      <c r="B96" s="754" t="str">
        <f>IF(TABLERO!E96=0,"",TABLERO!E96)</f>
        <v/>
      </c>
      <c r="C96" s="755" t="str">
        <f>IF(TABLERO!BB96=0,"",IF(TABLERO!$F$17&lt;&gt;"KVA",TABLERO!BT96*1000,TABLERO!BT96*1000/TABLERO!DA96))</f>
        <v/>
      </c>
      <c r="D96" s="756" t="str">
        <f>IF(OR(TABLERO!BU96="",TABLERO!BU96=0),"",TABLERO!BU96)</f>
        <v/>
      </c>
      <c r="E96" s="754" t="str">
        <f>IF(OR(TABLERO!BB96=0,TABLERO!H96="RE"),"",TABLERO!F96&amp;"P-"&amp;TABLERO!BW96&amp;"A")</f>
        <v/>
      </c>
      <c r="F96" s="754" t="str">
        <f>IF(OR(TABLERO!BB96=0,TABLERO!BB96=""),"",IF(TABLERO!$H96="RE","",IF(ISNA(TABLERO!ED96),"*** REVISA TU ALIMENTADOR ***",IF(OR(TABLERO!BB96=0,TABLERO!H96="RE"),"",TABLERO!G96*TABLERO!N96&amp;"-"&amp;TABLERO!BX96&amp;""&amp;TABLERO!ED96&amp;","&amp;TABLERO!I96&amp;",("&amp;TABLERO!N96&amp;"xF"&amp;IF(TABLERO!F96=TABLERO!G96,")","-"&amp;TABLERO!N96&amp;"N)")))&amp;", "&amp;IF(OR(TABLERO!BB96=0,TABLERO!H96="RE"),"",TABLERO!O96&amp;"-"&amp;TABLERO!CA96&amp;"T AWG")&amp;", "&amp;IF(OR(TABLERO!BB96=0,TABLERO!H96="RE"),"",TABLERO!O96&amp;TABLERO!CB96)))</f>
        <v/>
      </c>
      <c r="G96" s="757" t="str">
        <f>IF(TABLERO!BY96=0,"",TABLERO!BY96)</f>
        <v/>
      </c>
      <c r="H96" s="756" t="str">
        <f>IF(TABLERO!BB96=0,"",TABLERO!K96)</f>
        <v/>
      </c>
      <c r="I96" s="756" t="str">
        <f>'CUADRO (1)'!$AV96</f>
        <v/>
      </c>
      <c r="J96" s="756" t="str">
        <f>'CUADRO (1)'!$BA96</f>
        <v/>
      </c>
      <c r="K96" s="756" t="str">
        <f>'CUADRO (1)'!$BB96</f>
        <v/>
      </c>
      <c r="L96" s="758" t="str">
        <f>'CUADRO (1)'!$BC96</f>
        <v/>
      </c>
    </row>
    <row r="97" spans="1:12">
      <c r="A97" s="753" t="str">
        <f>TABLERO!B97&amp;IF(TABLERO!C97="","",","&amp;TABLERO!C97)&amp;IF(TABLERO!D97="","",","&amp;TABLERO!D97)</f>
        <v>67</v>
      </c>
      <c r="B97" s="754" t="str">
        <f>IF(TABLERO!E97=0,"",TABLERO!E97)</f>
        <v/>
      </c>
      <c r="C97" s="755" t="str">
        <f>IF(TABLERO!BB97=0,"",IF(TABLERO!$F$17&lt;&gt;"KVA",TABLERO!BT97*1000,TABLERO!BT97*1000/TABLERO!DA97))</f>
        <v/>
      </c>
      <c r="D97" s="756" t="str">
        <f>IF(OR(TABLERO!BU97="",TABLERO!BU97=0),"",TABLERO!BU97)</f>
        <v/>
      </c>
      <c r="E97" s="754" t="str">
        <f>IF(OR(TABLERO!BB97=0,TABLERO!H97="RE"),"",TABLERO!F97&amp;"P-"&amp;TABLERO!BW97&amp;"A")</f>
        <v/>
      </c>
      <c r="F97" s="754" t="str">
        <f>IF(OR(TABLERO!BB97=0,TABLERO!BB97=""),"",IF(TABLERO!$H97="RE","",IF(ISNA(TABLERO!ED97),"*** REVISA TU ALIMENTADOR ***",IF(OR(TABLERO!BB97=0,TABLERO!H97="RE"),"",TABLERO!G97*TABLERO!N97&amp;"-"&amp;TABLERO!BX97&amp;""&amp;TABLERO!ED97&amp;","&amp;TABLERO!I97&amp;",("&amp;TABLERO!N97&amp;"xF"&amp;IF(TABLERO!F97=TABLERO!G97,")","-"&amp;TABLERO!N97&amp;"N)")))&amp;", "&amp;IF(OR(TABLERO!BB97=0,TABLERO!H97="RE"),"",TABLERO!O97&amp;"-"&amp;TABLERO!CA97&amp;"T AWG")&amp;", "&amp;IF(OR(TABLERO!BB97=0,TABLERO!H97="RE"),"",TABLERO!O97&amp;TABLERO!CB97)))</f>
        <v/>
      </c>
      <c r="G97" s="757" t="str">
        <f>IF(TABLERO!BY97=0,"",TABLERO!BY97)</f>
        <v/>
      </c>
      <c r="H97" s="756" t="str">
        <f>IF(TABLERO!BB97=0,"",TABLERO!K97)</f>
        <v/>
      </c>
      <c r="I97" s="756" t="str">
        <f>'CUADRO (1)'!$AV97</f>
        <v/>
      </c>
      <c r="J97" s="756" t="str">
        <f>'CUADRO (1)'!$BA97</f>
        <v/>
      </c>
      <c r="K97" s="756" t="str">
        <f>'CUADRO (1)'!$BB97</f>
        <v/>
      </c>
      <c r="L97" s="758" t="str">
        <f>'CUADRO (1)'!$BC97</f>
        <v/>
      </c>
    </row>
    <row r="98" spans="1:12">
      <c r="A98" s="753" t="str">
        <f>TABLERO!B98&amp;IF(TABLERO!C98="","",","&amp;TABLERO!C98)&amp;IF(TABLERO!D98="","",","&amp;TABLERO!D98)</f>
        <v>68</v>
      </c>
      <c r="B98" s="754" t="str">
        <f>IF(TABLERO!E98=0,"",TABLERO!E98)</f>
        <v/>
      </c>
      <c r="C98" s="755" t="str">
        <f>IF(TABLERO!BB98=0,"",IF(TABLERO!$F$17&lt;&gt;"KVA",TABLERO!BT98*1000,TABLERO!BT98*1000/TABLERO!DA98))</f>
        <v/>
      </c>
      <c r="D98" s="756" t="str">
        <f>IF(OR(TABLERO!BU98="",TABLERO!BU98=0),"",TABLERO!BU98)</f>
        <v/>
      </c>
      <c r="E98" s="754" t="str">
        <f>IF(OR(TABLERO!BB98=0,TABLERO!H98="RE"),"",TABLERO!F98&amp;"P-"&amp;TABLERO!BW98&amp;"A")</f>
        <v/>
      </c>
      <c r="F98" s="754" t="str">
        <f>IF(OR(TABLERO!BB98=0,TABLERO!BB98=""),"",IF(TABLERO!$H98="RE","",IF(ISNA(TABLERO!ED98),"*** REVISA TU ALIMENTADOR ***",IF(OR(TABLERO!BB98=0,TABLERO!H98="RE"),"",TABLERO!G98*TABLERO!N98&amp;"-"&amp;TABLERO!BX98&amp;""&amp;TABLERO!ED98&amp;","&amp;TABLERO!I98&amp;",("&amp;TABLERO!N98&amp;"xF"&amp;IF(TABLERO!F98=TABLERO!G98,")","-"&amp;TABLERO!N98&amp;"N)")))&amp;", "&amp;IF(OR(TABLERO!BB98=0,TABLERO!H98="RE"),"",TABLERO!O98&amp;"-"&amp;TABLERO!CA98&amp;"T AWG")&amp;", "&amp;IF(OR(TABLERO!BB98=0,TABLERO!H98="RE"),"",TABLERO!O98&amp;TABLERO!CB98)))</f>
        <v/>
      </c>
      <c r="G98" s="757" t="str">
        <f>IF(TABLERO!BY98=0,"",TABLERO!BY98)</f>
        <v/>
      </c>
      <c r="H98" s="756" t="str">
        <f>IF(TABLERO!BB98=0,"",TABLERO!K98)</f>
        <v/>
      </c>
      <c r="I98" s="756" t="str">
        <f>'CUADRO (1)'!$AV98</f>
        <v/>
      </c>
      <c r="J98" s="756" t="str">
        <f>'CUADRO (1)'!$BA98</f>
        <v/>
      </c>
      <c r="K98" s="756" t="str">
        <f>'CUADRO (1)'!$BB98</f>
        <v/>
      </c>
      <c r="L98" s="758" t="str">
        <f>'CUADRO (1)'!$BC98</f>
        <v/>
      </c>
    </row>
    <row r="99" spans="1:12">
      <c r="A99" s="753" t="str">
        <f>TABLERO!B99&amp;IF(TABLERO!C99="","",","&amp;TABLERO!C99)&amp;IF(TABLERO!D99="","",","&amp;TABLERO!D99)</f>
        <v>69</v>
      </c>
      <c r="B99" s="754" t="str">
        <f>IF(TABLERO!E99=0,"",TABLERO!E99)</f>
        <v/>
      </c>
      <c r="C99" s="755" t="str">
        <f>IF(TABLERO!BB99=0,"",IF(TABLERO!$F$17&lt;&gt;"KVA",TABLERO!BT99*1000,TABLERO!BT99*1000/TABLERO!DA99))</f>
        <v/>
      </c>
      <c r="D99" s="756" t="str">
        <f>IF(OR(TABLERO!BU99="",TABLERO!BU99=0),"",TABLERO!BU99)</f>
        <v/>
      </c>
      <c r="E99" s="754" t="str">
        <f>IF(OR(TABLERO!BB99=0,TABLERO!H99="RE"),"",TABLERO!F99&amp;"P-"&amp;TABLERO!BW99&amp;"A")</f>
        <v/>
      </c>
      <c r="F99" s="754" t="str">
        <f>IF(OR(TABLERO!BB99=0,TABLERO!BB99=""),"",IF(TABLERO!$H99="RE","",IF(ISNA(TABLERO!ED99),"*** REVISA TU ALIMENTADOR ***",IF(OR(TABLERO!BB99=0,TABLERO!H99="RE"),"",TABLERO!G99*TABLERO!N99&amp;"-"&amp;TABLERO!BX99&amp;""&amp;TABLERO!ED99&amp;","&amp;TABLERO!I99&amp;",("&amp;TABLERO!N99&amp;"xF"&amp;IF(TABLERO!F99=TABLERO!G99,")","-"&amp;TABLERO!N99&amp;"N)")))&amp;", "&amp;IF(OR(TABLERO!BB99=0,TABLERO!H99="RE"),"",TABLERO!O99&amp;"-"&amp;TABLERO!CA99&amp;"T AWG")&amp;", "&amp;IF(OR(TABLERO!BB99=0,TABLERO!H99="RE"),"",TABLERO!O99&amp;TABLERO!CB99)))</f>
        <v/>
      </c>
      <c r="G99" s="757" t="str">
        <f>IF(TABLERO!BY99=0,"",TABLERO!BY99)</f>
        <v/>
      </c>
      <c r="H99" s="756" t="str">
        <f>IF(TABLERO!BB99=0,"",TABLERO!K99)</f>
        <v/>
      </c>
      <c r="I99" s="756" t="str">
        <f>'CUADRO (1)'!$AV99</f>
        <v/>
      </c>
      <c r="J99" s="756" t="str">
        <f>'CUADRO (1)'!$BA99</f>
        <v/>
      </c>
      <c r="K99" s="756" t="str">
        <f>'CUADRO (1)'!$BB99</f>
        <v/>
      </c>
      <c r="L99" s="758" t="str">
        <f>'CUADRO (1)'!$BC99</f>
        <v/>
      </c>
    </row>
    <row r="100" spans="1:12">
      <c r="A100" s="753" t="str">
        <f>TABLERO!B100&amp;IF(TABLERO!C100="","",","&amp;TABLERO!C100)&amp;IF(TABLERO!D100="","",","&amp;TABLERO!D100)</f>
        <v>70</v>
      </c>
      <c r="B100" s="754" t="str">
        <f>IF(TABLERO!E100=0,"",TABLERO!E100)</f>
        <v/>
      </c>
      <c r="C100" s="755" t="str">
        <f>IF(TABLERO!BB100=0,"",IF(TABLERO!$F$17&lt;&gt;"KVA",TABLERO!BT100*1000,TABLERO!BT100*1000/TABLERO!DA100))</f>
        <v/>
      </c>
      <c r="D100" s="756" t="str">
        <f>IF(OR(TABLERO!BU100="",TABLERO!BU100=0),"",TABLERO!BU100)</f>
        <v/>
      </c>
      <c r="E100" s="754" t="str">
        <f>IF(OR(TABLERO!BB100=0,TABLERO!H100="RE"),"",TABLERO!F100&amp;"P-"&amp;TABLERO!BW100&amp;"A")</f>
        <v/>
      </c>
      <c r="F100" s="754" t="str">
        <f>IF(OR(TABLERO!BB100=0,TABLERO!BB100=""),"",IF(TABLERO!$H100="RE","",IF(ISNA(TABLERO!ED100),"*** REVISA TU ALIMENTADOR ***",IF(OR(TABLERO!BB100=0,TABLERO!H100="RE"),"",TABLERO!G100*TABLERO!N100&amp;"-"&amp;TABLERO!BX100&amp;""&amp;TABLERO!ED100&amp;","&amp;TABLERO!I100&amp;",("&amp;TABLERO!N100&amp;"xF"&amp;IF(TABLERO!F100=TABLERO!G100,")","-"&amp;TABLERO!N100&amp;"N)")))&amp;", "&amp;IF(OR(TABLERO!BB100=0,TABLERO!H100="RE"),"",TABLERO!O100&amp;"-"&amp;TABLERO!CA100&amp;"T AWG")&amp;", "&amp;IF(OR(TABLERO!BB100=0,TABLERO!H100="RE"),"",TABLERO!O100&amp;TABLERO!CB100)))</f>
        <v/>
      </c>
      <c r="G100" s="757" t="str">
        <f>IF(TABLERO!BY100=0,"",TABLERO!BY100)</f>
        <v/>
      </c>
      <c r="H100" s="756" t="str">
        <f>IF(TABLERO!BB100=0,"",TABLERO!K100)</f>
        <v/>
      </c>
      <c r="I100" s="756" t="str">
        <f>'CUADRO (1)'!$AV100</f>
        <v/>
      </c>
      <c r="J100" s="756" t="str">
        <f>'CUADRO (1)'!$BA100</f>
        <v/>
      </c>
      <c r="K100" s="756" t="str">
        <f>'CUADRO (1)'!$BB100</f>
        <v/>
      </c>
      <c r="L100" s="758" t="str">
        <f>'CUADRO (1)'!$BC100</f>
        <v/>
      </c>
    </row>
    <row r="101" spans="1:12">
      <c r="A101" s="753" t="str">
        <f>TABLERO!B101&amp;IF(TABLERO!C101="","",","&amp;TABLERO!C101)&amp;IF(TABLERO!D101="","",","&amp;TABLERO!D101)</f>
        <v>71</v>
      </c>
      <c r="B101" s="754" t="str">
        <f>IF(TABLERO!E101=0,"",TABLERO!E101)</f>
        <v/>
      </c>
      <c r="C101" s="755" t="str">
        <f>IF(TABLERO!BB101=0,"",IF(TABLERO!$F$17&lt;&gt;"KVA",TABLERO!BT101*1000,TABLERO!BT101*1000/TABLERO!DA101))</f>
        <v/>
      </c>
      <c r="D101" s="756" t="str">
        <f>IF(OR(TABLERO!BU101="",TABLERO!BU101=0),"",TABLERO!BU101)</f>
        <v/>
      </c>
      <c r="E101" s="754" t="str">
        <f>IF(OR(TABLERO!BB101=0,TABLERO!H101="RE"),"",TABLERO!F101&amp;"P-"&amp;TABLERO!BW101&amp;"A")</f>
        <v/>
      </c>
      <c r="F101" s="754" t="str">
        <f>IF(OR(TABLERO!BB101=0,TABLERO!BB101=""),"",IF(TABLERO!$H101="RE","",IF(ISNA(TABLERO!ED101),"*** REVISA TU ALIMENTADOR ***",IF(OR(TABLERO!BB101=0,TABLERO!H101="RE"),"",TABLERO!G101*TABLERO!N101&amp;"-"&amp;TABLERO!BX101&amp;""&amp;TABLERO!ED101&amp;","&amp;TABLERO!I101&amp;",("&amp;TABLERO!N101&amp;"xF"&amp;IF(TABLERO!F101=TABLERO!G101,")","-"&amp;TABLERO!N101&amp;"N)")))&amp;", "&amp;IF(OR(TABLERO!BB101=0,TABLERO!H101="RE"),"",TABLERO!O101&amp;"-"&amp;TABLERO!CA101&amp;"T AWG")&amp;", "&amp;IF(OR(TABLERO!BB101=0,TABLERO!H101="RE"),"",TABLERO!O101&amp;TABLERO!CB101)))</f>
        <v/>
      </c>
      <c r="G101" s="757" t="str">
        <f>IF(TABLERO!BY101=0,"",TABLERO!BY101)</f>
        <v/>
      </c>
      <c r="H101" s="756" t="str">
        <f>IF(TABLERO!BB101=0,"",TABLERO!K101)</f>
        <v/>
      </c>
      <c r="I101" s="756" t="str">
        <f>'CUADRO (1)'!$AV101</f>
        <v/>
      </c>
      <c r="J101" s="756" t="str">
        <f>'CUADRO (1)'!$BA101</f>
        <v/>
      </c>
      <c r="K101" s="756" t="str">
        <f>'CUADRO (1)'!$BB101</f>
        <v/>
      </c>
      <c r="L101" s="758" t="str">
        <f>'CUADRO (1)'!$BC101</f>
        <v/>
      </c>
    </row>
    <row r="102" spans="1:12">
      <c r="A102" s="753" t="str">
        <f>TABLERO!B102&amp;IF(TABLERO!C102="","",","&amp;TABLERO!C102)&amp;IF(TABLERO!D102="","",","&amp;TABLERO!D102)</f>
        <v>72</v>
      </c>
      <c r="B102" s="754" t="str">
        <f>IF(TABLERO!E102=0,"",TABLERO!E102)</f>
        <v/>
      </c>
      <c r="C102" s="755" t="str">
        <f>IF(TABLERO!BB102=0,"",IF(TABLERO!$F$17&lt;&gt;"KVA",TABLERO!BT102*1000,TABLERO!BT102*1000/TABLERO!DA102))</f>
        <v/>
      </c>
      <c r="D102" s="756" t="str">
        <f>IF(OR(TABLERO!BU102="",TABLERO!BU102=0),"",TABLERO!BU102)</f>
        <v/>
      </c>
      <c r="E102" s="754" t="str">
        <f>IF(OR(TABLERO!BB102=0,TABLERO!H102="RE"),"",TABLERO!F102&amp;"P-"&amp;TABLERO!BW102&amp;"A")</f>
        <v/>
      </c>
      <c r="F102" s="754" t="str">
        <f>IF(OR(TABLERO!BB102=0,TABLERO!BB102=""),"",IF(TABLERO!$H102="RE","",IF(ISNA(TABLERO!ED102),"*** REVISA TU ALIMENTADOR ***",IF(OR(TABLERO!BB102=0,TABLERO!H102="RE"),"",TABLERO!G102*TABLERO!N102&amp;"-"&amp;TABLERO!BX102&amp;""&amp;TABLERO!ED102&amp;","&amp;TABLERO!I102&amp;",("&amp;TABLERO!N102&amp;"xF"&amp;IF(TABLERO!F102=TABLERO!G102,")","-"&amp;TABLERO!N102&amp;"N)")))&amp;", "&amp;IF(OR(TABLERO!BB102=0,TABLERO!H102="RE"),"",TABLERO!O102&amp;"-"&amp;TABLERO!CA102&amp;"T AWG")&amp;", "&amp;IF(OR(TABLERO!BB102=0,TABLERO!H102="RE"),"",TABLERO!O102&amp;TABLERO!CB102)))</f>
        <v/>
      </c>
      <c r="G102" s="757" t="str">
        <f>IF(TABLERO!BY102=0,"",TABLERO!BY102)</f>
        <v/>
      </c>
      <c r="H102" s="756" t="str">
        <f>IF(TABLERO!BB102=0,"",TABLERO!K102)</f>
        <v/>
      </c>
      <c r="I102" s="756" t="str">
        <f>'CUADRO (1)'!$AV102</f>
        <v/>
      </c>
      <c r="J102" s="756" t="str">
        <f>'CUADRO (1)'!$BA102</f>
        <v/>
      </c>
      <c r="K102" s="756" t="str">
        <f>'CUADRO (1)'!$BB102</f>
        <v/>
      </c>
      <c r="L102" s="758" t="str">
        <f>'CUADRO (1)'!$BC102</f>
        <v/>
      </c>
    </row>
    <row r="103" spans="1:12">
      <c r="A103" s="753" t="str">
        <f>TABLERO!B103&amp;IF(TABLERO!C103="","",","&amp;TABLERO!C103)&amp;IF(TABLERO!D103="","",","&amp;TABLERO!D103)</f>
        <v>73</v>
      </c>
      <c r="B103" s="754" t="str">
        <f>IF(TABLERO!E103=0,"",TABLERO!E103)</f>
        <v/>
      </c>
      <c r="C103" s="755" t="str">
        <f>IF(TABLERO!BB103=0,"",IF(TABLERO!$F$17&lt;&gt;"KVA",TABLERO!BT103*1000,TABLERO!BT103*1000/TABLERO!DA103))</f>
        <v/>
      </c>
      <c r="D103" s="756" t="str">
        <f>IF(OR(TABLERO!BU103="",TABLERO!BU103=0),"",TABLERO!BU103)</f>
        <v/>
      </c>
      <c r="E103" s="754" t="str">
        <f>IF(OR(TABLERO!BB103=0,TABLERO!H103="RE"),"",TABLERO!F103&amp;"P-"&amp;TABLERO!BW103&amp;"A")</f>
        <v/>
      </c>
      <c r="F103" s="754" t="str">
        <f>IF(OR(TABLERO!BB103=0,TABLERO!BB103=""),"",IF(TABLERO!$H103="RE","",IF(ISNA(TABLERO!ED103),"*** REVISA TU ALIMENTADOR ***",IF(OR(TABLERO!BB103=0,TABLERO!H103="RE"),"",TABLERO!G103*TABLERO!N103&amp;"-"&amp;TABLERO!BX103&amp;""&amp;TABLERO!ED103&amp;","&amp;TABLERO!I103&amp;",("&amp;TABLERO!N103&amp;"xF"&amp;IF(TABLERO!F103=TABLERO!G103,")","-"&amp;TABLERO!N103&amp;"N)")))&amp;", "&amp;IF(OR(TABLERO!BB103=0,TABLERO!H103="RE"),"",TABLERO!O103&amp;"-"&amp;TABLERO!CA103&amp;"T AWG")&amp;", "&amp;IF(OR(TABLERO!BB103=0,TABLERO!H103="RE"),"",TABLERO!O103&amp;TABLERO!CB103)))</f>
        <v/>
      </c>
      <c r="G103" s="757" t="str">
        <f>IF(TABLERO!BY103=0,"",TABLERO!BY103)</f>
        <v/>
      </c>
      <c r="H103" s="756" t="str">
        <f>IF(TABLERO!BB103=0,"",TABLERO!K103)</f>
        <v/>
      </c>
      <c r="I103" s="756" t="str">
        <f>'CUADRO (1)'!$AV103</f>
        <v/>
      </c>
      <c r="J103" s="756" t="str">
        <f>'CUADRO (1)'!$BA103</f>
        <v/>
      </c>
      <c r="K103" s="756" t="str">
        <f>'CUADRO (1)'!$BB103</f>
        <v/>
      </c>
      <c r="L103" s="758" t="str">
        <f>'CUADRO (1)'!$BC103</f>
        <v/>
      </c>
    </row>
    <row r="104" spans="1:12">
      <c r="A104" s="753" t="str">
        <f>TABLERO!B104&amp;IF(TABLERO!C104="","",","&amp;TABLERO!C104)&amp;IF(TABLERO!D104="","",","&amp;TABLERO!D104)</f>
        <v>74</v>
      </c>
      <c r="B104" s="754" t="str">
        <f>IF(TABLERO!E104=0,"",TABLERO!E104)</f>
        <v/>
      </c>
      <c r="C104" s="755" t="str">
        <f>IF(TABLERO!BB104=0,"",IF(TABLERO!$F$17&lt;&gt;"KVA",TABLERO!BT104*1000,TABLERO!BT104*1000/TABLERO!DA104))</f>
        <v/>
      </c>
      <c r="D104" s="756" t="str">
        <f>IF(OR(TABLERO!BU104="",TABLERO!BU104=0),"",TABLERO!BU104)</f>
        <v/>
      </c>
      <c r="E104" s="754" t="str">
        <f>IF(OR(TABLERO!BB104=0,TABLERO!H104="RE"),"",TABLERO!F104&amp;"P-"&amp;TABLERO!BW104&amp;"A")</f>
        <v/>
      </c>
      <c r="F104" s="754" t="str">
        <f>IF(OR(TABLERO!BB104=0,TABLERO!BB104=""),"",IF(TABLERO!$H104="RE","",IF(ISNA(TABLERO!ED104),"*** REVISA TU ALIMENTADOR ***",IF(OR(TABLERO!BB104=0,TABLERO!H104="RE"),"",TABLERO!G104*TABLERO!N104&amp;"-"&amp;TABLERO!BX104&amp;""&amp;TABLERO!ED104&amp;","&amp;TABLERO!I104&amp;",("&amp;TABLERO!N104&amp;"xF"&amp;IF(TABLERO!F104=TABLERO!G104,")","-"&amp;TABLERO!N104&amp;"N)")))&amp;", "&amp;IF(OR(TABLERO!BB104=0,TABLERO!H104="RE"),"",TABLERO!O104&amp;"-"&amp;TABLERO!CA104&amp;"T AWG")&amp;", "&amp;IF(OR(TABLERO!BB104=0,TABLERO!H104="RE"),"",TABLERO!O104&amp;TABLERO!CB104)))</f>
        <v/>
      </c>
      <c r="G104" s="757" t="str">
        <f>IF(TABLERO!BY104=0,"",TABLERO!BY104)</f>
        <v/>
      </c>
      <c r="H104" s="756" t="str">
        <f>IF(TABLERO!BB104=0,"",TABLERO!K104)</f>
        <v/>
      </c>
      <c r="I104" s="756" t="str">
        <f>'CUADRO (1)'!$AV104</f>
        <v/>
      </c>
      <c r="J104" s="756" t="str">
        <f>'CUADRO (1)'!$BA104</f>
        <v/>
      </c>
      <c r="K104" s="756" t="str">
        <f>'CUADRO (1)'!$BB104</f>
        <v/>
      </c>
      <c r="L104" s="758" t="str">
        <f>'CUADRO (1)'!$BC104</f>
        <v/>
      </c>
    </row>
    <row r="105" spans="1:12">
      <c r="A105" s="753" t="str">
        <f>TABLERO!B105&amp;IF(TABLERO!C105="","",","&amp;TABLERO!C105)&amp;IF(TABLERO!D105="","",","&amp;TABLERO!D105)</f>
        <v>75</v>
      </c>
      <c r="B105" s="754" t="str">
        <f>IF(TABLERO!E105=0,"",TABLERO!E105)</f>
        <v/>
      </c>
      <c r="C105" s="755" t="str">
        <f>IF(TABLERO!BB105=0,"",IF(TABLERO!$F$17&lt;&gt;"KVA",TABLERO!BT105*1000,TABLERO!BT105*1000/TABLERO!DA105))</f>
        <v/>
      </c>
      <c r="D105" s="756" t="str">
        <f>IF(OR(TABLERO!BU105="",TABLERO!BU105=0),"",TABLERO!BU105)</f>
        <v/>
      </c>
      <c r="E105" s="754" t="str">
        <f>IF(OR(TABLERO!BB105=0,TABLERO!H105="RE"),"",TABLERO!F105&amp;"P-"&amp;TABLERO!BW105&amp;"A")</f>
        <v/>
      </c>
      <c r="F105" s="754" t="str">
        <f>IF(OR(TABLERO!BB105=0,TABLERO!BB105=""),"",IF(TABLERO!$H105="RE","",IF(ISNA(TABLERO!ED105),"*** REVISA TU ALIMENTADOR ***",IF(OR(TABLERO!BB105=0,TABLERO!H105="RE"),"",TABLERO!G105*TABLERO!N105&amp;"-"&amp;TABLERO!BX105&amp;""&amp;TABLERO!ED105&amp;","&amp;TABLERO!I105&amp;",("&amp;TABLERO!N105&amp;"xF"&amp;IF(TABLERO!F105=TABLERO!G105,")","-"&amp;TABLERO!N105&amp;"N)")))&amp;", "&amp;IF(OR(TABLERO!BB105=0,TABLERO!H105="RE"),"",TABLERO!O105&amp;"-"&amp;TABLERO!CA105&amp;"T AWG")&amp;", "&amp;IF(OR(TABLERO!BB105=0,TABLERO!H105="RE"),"",TABLERO!O105&amp;TABLERO!CB105)))</f>
        <v/>
      </c>
      <c r="G105" s="757" t="str">
        <f>IF(TABLERO!BY105=0,"",TABLERO!BY105)</f>
        <v/>
      </c>
      <c r="H105" s="756" t="str">
        <f>IF(TABLERO!BB105=0,"",TABLERO!K105)</f>
        <v/>
      </c>
      <c r="I105" s="756" t="str">
        <f>'CUADRO (1)'!$AV105</f>
        <v/>
      </c>
      <c r="J105" s="756" t="str">
        <f>'CUADRO (1)'!$BA105</f>
        <v/>
      </c>
      <c r="K105" s="756" t="str">
        <f>'CUADRO (1)'!$BB105</f>
        <v/>
      </c>
      <c r="L105" s="758" t="str">
        <f>'CUADRO (1)'!$BC105</f>
        <v/>
      </c>
    </row>
    <row r="106" spans="1:12">
      <c r="A106" s="753" t="str">
        <f>TABLERO!B106&amp;IF(TABLERO!C106="","",","&amp;TABLERO!C106)&amp;IF(TABLERO!D106="","",","&amp;TABLERO!D106)</f>
        <v>76</v>
      </c>
      <c r="B106" s="754" t="str">
        <f>IF(TABLERO!E106=0,"",TABLERO!E106)</f>
        <v/>
      </c>
      <c r="C106" s="755" t="str">
        <f>IF(TABLERO!BB106=0,"",IF(TABLERO!$F$17&lt;&gt;"KVA",TABLERO!BT106*1000,TABLERO!BT106*1000/TABLERO!DA106))</f>
        <v/>
      </c>
      <c r="D106" s="756" t="str">
        <f>IF(OR(TABLERO!BU106="",TABLERO!BU106=0),"",TABLERO!BU106)</f>
        <v/>
      </c>
      <c r="E106" s="754" t="str">
        <f>IF(OR(TABLERO!BB106=0,TABLERO!H106="RE"),"",TABLERO!F106&amp;"P-"&amp;TABLERO!BW106&amp;"A")</f>
        <v/>
      </c>
      <c r="F106" s="754" t="str">
        <f>IF(OR(TABLERO!BB106=0,TABLERO!BB106=""),"",IF(TABLERO!$H106="RE","",IF(ISNA(TABLERO!ED106),"*** REVISA TU ALIMENTADOR ***",IF(OR(TABLERO!BB106=0,TABLERO!H106="RE"),"",TABLERO!G106*TABLERO!N106&amp;"-"&amp;TABLERO!BX106&amp;""&amp;TABLERO!ED106&amp;","&amp;TABLERO!I106&amp;",("&amp;TABLERO!N106&amp;"xF"&amp;IF(TABLERO!F106=TABLERO!G106,")","-"&amp;TABLERO!N106&amp;"N)")))&amp;", "&amp;IF(OR(TABLERO!BB106=0,TABLERO!H106="RE"),"",TABLERO!O106&amp;"-"&amp;TABLERO!CA106&amp;"T AWG")&amp;", "&amp;IF(OR(TABLERO!BB106=0,TABLERO!H106="RE"),"",TABLERO!O106&amp;TABLERO!CB106)))</f>
        <v/>
      </c>
      <c r="G106" s="757" t="str">
        <f>IF(TABLERO!BY106=0,"",TABLERO!BY106)</f>
        <v/>
      </c>
      <c r="H106" s="756" t="str">
        <f>IF(TABLERO!BB106=0,"",TABLERO!K106)</f>
        <v/>
      </c>
      <c r="I106" s="756" t="str">
        <f>'CUADRO (1)'!$AV106</f>
        <v/>
      </c>
      <c r="J106" s="756" t="str">
        <f>'CUADRO (1)'!$BA106</f>
        <v/>
      </c>
      <c r="K106" s="756" t="str">
        <f>'CUADRO (1)'!$BB106</f>
        <v/>
      </c>
      <c r="L106" s="758" t="str">
        <f>'CUADRO (1)'!$BC106</f>
        <v/>
      </c>
    </row>
    <row r="107" spans="1:12">
      <c r="A107" s="753" t="str">
        <f>TABLERO!B107&amp;IF(TABLERO!C107="","",","&amp;TABLERO!C107)&amp;IF(TABLERO!D107="","",","&amp;TABLERO!D107)</f>
        <v>77</v>
      </c>
      <c r="B107" s="754" t="str">
        <f>IF(TABLERO!E107=0,"",TABLERO!E107)</f>
        <v/>
      </c>
      <c r="C107" s="755" t="str">
        <f>IF(TABLERO!BB107=0,"",IF(TABLERO!$F$17&lt;&gt;"KVA",TABLERO!BT107*1000,TABLERO!BT107*1000/TABLERO!DA107))</f>
        <v/>
      </c>
      <c r="D107" s="756" t="str">
        <f>IF(OR(TABLERO!BU107="",TABLERO!BU107=0),"",TABLERO!BU107)</f>
        <v/>
      </c>
      <c r="E107" s="754" t="str">
        <f>IF(OR(TABLERO!BB107=0,TABLERO!H107="RE"),"",TABLERO!F107&amp;"P-"&amp;TABLERO!BW107&amp;"A")</f>
        <v/>
      </c>
      <c r="F107" s="754" t="str">
        <f>IF(OR(TABLERO!BB107=0,TABLERO!BB107=""),"",IF(TABLERO!$H107="RE","",IF(ISNA(TABLERO!ED107),"*** REVISA TU ALIMENTADOR ***",IF(OR(TABLERO!BB107=0,TABLERO!H107="RE"),"",TABLERO!G107*TABLERO!N107&amp;"-"&amp;TABLERO!BX107&amp;""&amp;TABLERO!ED107&amp;","&amp;TABLERO!I107&amp;",("&amp;TABLERO!N107&amp;"xF"&amp;IF(TABLERO!F107=TABLERO!G107,")","-"&amp;TABLERO!N107&amp;"N)")))&amp;", "&amp;IF(OR(TABLERO!BB107=0,TABLERO!H107="RE"),"",TABLERO!O107&amp;"-"&amp;TABLERO!CA107&amp;"T AWG")&amp;", "&amp;IF(OR(TABLERO!BB107=0,TABLERO!H107="RE"),"",TABLERO!O107&amp;TABLERO!CB107)))</f>
        <v/>
      </c>
      <c r="G107" s="757" t="str">
        <f>IF(TABLERO!BY107=0,"",TABLERO!BY107)</f>
        <v/>
      </c>
      <c r="H107" s="756" t="str">
        <f>IF(TABLERO!BB107=0,"",TABLERO!K107)</f>
        <v/>
      </c>
      <c r="I107" s="756" t="str">
        <f>'CUADRO (1)'!$AV107</f>
        <v/>
      </c>
      <c r="J107" s="756" t="str">
        <f>'CUADRO (1)'!$BA107</f>
        <v/>
      </c>
      <c r="K107" s="756" t="str">
        <f>'CUADRO (1)'!$BB107</f>
        <v/>
      </c>
      <c r="L107" s="758" t="str">
        <f>'CUADRO (1)'!$BC107</f>
        <v/>
      </c>
    </row>
    <row r="108" spans="1:12">
      <c r="A108" s="753" t="str">
        <f>TABLERO!B108&amp;IF(TABLERO!C108="","",","&amp;TABLERO!C108)&amp;IF(TABLERO!D108="","",","&amp;TABLERO!D108)</f>
        <v>78</v>
      </c>
      <c r="B108" s="754" t="str">
        <f>IF(TABLERO!E108=0,"",TABLERO!E108)</f>
        <v/>
      </c>
      <c r="C108" s="755" t="str">
        <f>IF(TABLERO!BB108=0,"",IF(TABLERO!$F$17&lt;&gt;"KVA",TABLERO!BT108*1000,TABLERO!BT108*1000/TABLERO!DA108))</f>
        <v/>
      </c>
      <c r="D108" s="756" t="str">
        <f>IF(OR(TABLERO!BU108="",TABLERO!BU108=0),"",TABLERO!BU108)</f>
        <v/>
      </c>
      <c r="E108" s="754" t="str">
        <f>IF(OR(TABLERO!BB108=0,TABLERO!H108="RE"),"",TABLERO!F108&amp;"P-"&amp;TABLERO!BW108&amp;"A")</f>
        <v/>
      </c>
      <c r="F108" s="754" t="str">
        <f>IF(OR(TABLERO!BB108=0,TABLERO!BB108=""),"",IF(TABLERO!$H108="RE","",IF(ISNA(TABLERO!ED108),"*** REVISA TU ALIMENTADOR ***",IF(OR(TABLERO!BB108=0,TABLERO!H108="RE"),"",TABLERO!G108*TABLERO!N108&amp;"-"&amp;TABLERO!BX108&amp;""&amp;TABLERO!ED108&amp;","&amp;TABLERO!I108&amp;",("&amp;TABLERO!N108&amp;"xF"&amp;IF(TABLERO!F108=TABLERO!G108,")","-"&amp;TABLERO!N108&amp;"N)")))&amp;", "&amp;IF(OR(TABLERO!BB108=0,TABLERO!H108="RE"),"",TABLERO!O108&amp;"-"&amp;TABLERO!CA108&amp;"T AWG")&amp;", "&amp;IF(OR(TABLERO!BB108=0,TABLERO!H108="RE"),"",TABLERO!O108&amp;TABLERO!CB108)))</f>
        <v/>
      </c>
      <c r="G108" s="757" t="str">
        <f>IF(TABLERO!BY108=0,"",TABLERO!BY108)</f>
        <v/>
      </c>
      <c r="H108" s="756" t="str">
        <f>IF(TABLERO!BB108=0,"",TABLERO!K108)</f>
        <v/>
      </c>
      <c r="I108" s="756" t="str">
        <f>'CUADRO (1)'!$AV108</f>
        <v/>
      </c>
      <c r="J108" s="756" t="str">
        <f>'CUADRO (1)'!$BA108</f>
        <v/>
      </c>
      <c r="K108" s="756" t="str">
        <f>'CUADRO (1)'!$BB108</f>
        <v/>
      </c>
      <c r="L108" s="758" t="str">
        <f>'CUADRO (1)'!$BC108</f>
        <v/>
      </c>
    </row>
    <row r="109" spans="1:12">
      <c r="A109" s="753" t="str">
        <f>TABLERO!B109&amp;IF(TABLERO!C109="","",","&amp;TABLERO!C109)&amp;IF(TABLERO!D109="","",","&amp;TABLERO!D109)</f>
        <v>79</v>
      </c>
      <c r="B109" s="754" t="str">
        <f>IF(TABLERO!E109=0,"",TABLERO!E109)</f>
        <v/>
      </c>
      <c r="C109" s="755" t="str">
        <f>IF(TABLERO!BB109=0,"",IF(TABLERO!$F$17&lt;&gt;"KVA",TABLERO!BT109*1000,TABLERO!BT109*1000/TABLERO!DA109))</f>
        <v/>
      </c>
      <c r="D109" s="756" t="str">
        <f>IF(OR(TABLERO!BU109="",TABLERO!BU109=0),"",TABLERO!BU109)</f>
        <v/>
      </c>
      <c r="E109" s="754" t="str">
        <f>IF(OR(TABLERO!BB109=0,TABLERO!H109="RE"),"",TABLERO!F109&amp;"P-"&amp;TABLERO!BW109&amp;"A")</f>
        <v/>
      </c>
      <c r="F109" s="754" t="str">
        <f>IF(OR(TABLERO!BB109=0,TABLERO!BB109=""),"",IF(TABLERO!$H109="RE","",IF(ISNA(TABLERO!ED109),"*** REVISA TU ALIMENTADOR ***",IF(OR(TABLERO!BB109=0,TABLERO!H109="RE"),"",TABLERO!G109*TABLERO!N109&amp;"-"&amp;TABLERO!BX109&amp;""&amp;TABLERO!ED109&amp;","&amp;TABLERO!I109&amp;",("&amp;TABLERO!N109&amp;"xF"&amp;IF(TABLERO!F109=TABLERO!G109,")","-"&amp;TABLERO!N109&amp;"N)")))&amp;", "&amp;IF(OR(TABLERO!BB109=0,TABLERO!H109="RE"),"",TABLERO!O109&amp;"-"&amp;TABLERO!CA109&amp;"T AWG")&amp;", "&amp;IF(OR(TABLERO!BB109=0,TABLERO!H109="RE"),"",TABLERO!O109&amp;TABLERO!CB109)))</f>
        <v/>
      </c>
      <c r="G109" s="757" t="str">
        <f>IF(TABLERO!BY109=0,"",TABLERO!BY109)</f>
        <v/>
      </c>
      <c r="H109" s="756" t="str">
        <f>IF(TABLERO!BB109=0,"",TABLERO!K109)</f>
        <v/>
      </c>
      <c r="I109" s="756" t="str">
        <f>'CUADRO (1)'!$AV109</f>
        <v/>
      </c>
      <c r="J109" s="756" t="str">
        <f>'CUADRO (1)'!$BA109</f>
        <v/>
      </c>
      <c r="K109" s="756" t="str">
        <f>'CUADRO (1)'!$BB109</f>
        <v/>
      </c>
      <c r="L109" s="758" t="str">
        <f>'CUADRO (1)'!$BC109</f>
        <v/>
      </c>
    </row>
    <row r="110" spans="1:12">
      <c r="A110" s="753" t="str">
        <f>TABLERO!B110&amp;IF(TABLERO!C110="","",","&amp;TABLERO!C110)&amp;IF(TABLERO!D110="","",","&amp;TABLERO!D110)</f>
        <v>80</v>
      </c>
      <c r="B110" s="754" t="str">
        <f>IF(TABLERO!E110=0,"",TABLERO!E110)</f>
        <v/>
      </c>
      <c r="C110" s="755" t="str">
        <f>IF(TABLERO!BB110=0,"",IF(TABLERO!$F$17&lt;&gt;"KVA",TABLERO!BT110*1000,TABLERO!BT110*1000/TABLERO!DA110))</f>
        <v/>
      </c>
      <c r="D110" s="756" t="str">
        <f>IF(OR(TABLERO!BU110="",TABLERO!BU110=0),"",TABLERO!BU110)</f>
        <v/>
      </c>
      <c r="E110" s="754" t="str">
        <f>IF(OR(TABLERO!BB110=0,TABLERO!H110="RE"),"",TABLERO!F110&amp;"P-"&amp;TABLERO!BW110&amp;"A")</f>
        <v/>
      </c>
      <c r="F110" s="754" t="str">
        <f>IF(OR(TABLERO!BB110=0,TABLERO!BB110=""),"",IF(TABLERO!$H110="RE","",IF(ISNA(TABLERO!ED110),"*** REVISA TU ALIMENTADOR ***",IF(OR(TABLERO!BB110=0,TABLERO!H110="RE"),"",TABLERO!G110*TABLERO!N110&amp;"-"&amp;TABLERO!BX110&amp;""&amp;TABLERO!ED110&amp;","&amp;TABLERO!I110&amp;",("&amp;TABLERO!N110&amp;"xF"&amp;IF(TABLERO!F110=TABLERO!G110,")","-"&amp;TABLERO!N110&amp;"N)")))&amp;", "&amp;IF(OR(TABLERO!BB110=0,TABLERO!H110="RE"),"",TABLERO!O110&amp;"-"&amp;TABLERO!CA110&amp;"T AWG")&amp;", "&amp;IF(OR(TABLERO!BB110=0,TABLERO!H110="RE"),"",TABLERO!O110&amp;TABLERO!CB110)))</f>
        <v/>
      </c>
      <c r="G110" s="757" t="str">
        <f>IF(TABLERO!BY110=0,"",TABLERO!BY110)</f>
        <v/>
      </c>
      <c r="H110" s="756" t="str">
        <f>IF(TABLERO!BB110=0,"",TABLERO!K110)</f>
        <v/>
      </c>
      <c r="I110" s="756" t="str">
        <f>'CUADRO (1)'!$AV110</f>
        <v/>
      </c>
      <c r="J110" s="756" t="str">
        <f>'CUADRO (1)'!$BA110</f>
        <v/>
      </c>
      <c r="K110" s="756" t="str">
        <f>'CUADRO (1)'!$BB110</f>
        <v/>
      </c>
      <c r="L110" s="758" t="str">
        <f>'CUADRO (1)'!$BC110</f>
        <v/>
      </c>
    </row>
    <row r="111" spans="1:12">
      <c r="A111" s="753" t="str">
        <f>TABLERO!B111&amp;IF(TABLERO!C111="","",","&amp;TABLERO!C111)&amp;IF(TABLERO!D111="","",","&amp;TABLERO!D111)</f>
        <v>81</v>
      </c>
      <c r="B111" s="754" t="str">
        <f>IF(TABLERO!E111=0,"",TABLERO!E111)</f>
        <v/>
      </c>
      <c r="C111" s="755" t="str">
        <f>IF(TABLERO!BB111=0,"",IF(TABLERO!$F$17&lt;&gt;"KVA",TABLERO!BT111*1000,TABLERO!BT111*1000/TABLERO!DA111))</f>
        <v/>
      </c>
      <c r="D111" s="756" t="str">
        <f>IF(OR(TABLERO!BU111="",TABLERO!BU111=0),"",TABLERO!BU111)</f>
        <v/>
      </c>
      <c r="E111" s="754" t="str">
        <f>IF(OR(TABLERO!BB111=0,TABLERO!H111="RE"),"",TABLERO!F111&amp;"P-"&amp;TABLERO!BW111&amp;"A")</f>
        <v/>
      </c>
      <c r="F111" s="754" t="str">
        <f>IF(OR(TABLERO!BB111=0,TABLERO!BB111=""),"",IF(TABLERO!$H111="RE","",IF(ISNA(TABLERO!ED111),"*** REVISA TU ALIMENTADOR ***",IF(OR(TABLERO!BB111=0,TABLERO!H111="RE"),"",TABLERO!G111*TABLERO!N111&amp;"-"&amp;TABLERO!BX111&amp;""&amp;TABLERO!ED111&amp;","&amp;TABLERO!I111&amp;",("&amp;TABLERO!N111&amp;"xF"&amp;IF(TABLERO!F111=TABLERO!G111,")","-"&amp;TABLERO!N111&amp;"N)")))&amp;", "&amp;IF(OR(TABLERO!BB111=0,TABLERO!H111="RE"),"",TABLERO!O111&amp;"-"&amp;TABLERO!CA111&amp;"T AWG")&amp;", "&amp;IF(OR(TABLERO!BB111=0,TABLERO!H111="RE"),"",TABLERO!O111&amp;TABLERO!CB111)))</f>
        <v/>
      </c>
      <c r="G111" s="757" t="str">
        <f>IF(TABLERO!BY111=0,"",TABLERO!BY111)</f>
        <v/>
      </c>
      <c r="H111" s="756" t="str">
        <f>IF(TABLERO!BB111=0,"",TABLERO!K111)</f>
        <v/>
      </c>
      <c r="I111" s="756" t="str">
        <f>'CUADRO (1)'!$AV111</f>
        <v/>
      </c>
      <c r="J111" s="756" t="str">
        <f>'CUADRO (1)'!$BA111</f>
        <v/>
      </c>
      <c r="K111" s="756" t="str">
        <f>'CUADRO (1)'!$BB111</f>
        <v/>
      </c>
      <c r="L111" s="758" t="str">
        <f>'CUADRO (1)'!$BC111</f>
        <v/>
      </c>
    </row>
    <row r="112" spans="1:12">
      <c r="A112" s="753" t="str">
        <f>TABLERO!B112&amp;IF(TABLERO!C112="","",","&amp;TABLERO!C112)&amp;IF(TABLERO!D112="","",","&amp;TABLERO!D112)</f>
        <v>82</v>
      </c>
      <c r="B112" s="754" t="str">
        <f>IF(TABLERO!E112=0,"",TABLERO!E112)</f>
        <v/>
      </c>
      <c r="C112" s="755" t="str">
        <f>IF(TABLERO!BB112=0,"",IF(TABLERO!$F$17&lt;&gt;"KVA",TABLERO!BT112*1000,TABLERO!BT112*1000/TABLERO!DA112))</f>
        <v/>
      </c>
      <c r="D112" s="756" t="str">
        <f>IF(OR(TABLERO!BU112="",TABLERO!BU112=0),"",TABLERO!BU112)</f>
        <v/>
      </c>
      <c r="E112" s="754" t="str">
        <f>IF(OR(TABLERO!BB112=0,TABLERO!H112="RE"),"",TABLERO!F112&amp;"P-"&amp;TABLERO!BW112&amp;"A")</f>
        <v/>
      </c>
      <c r="F112" s="754" t="str">
        <f>IF(OR(TABLERO!BB112=0,TABLERO!BB112=""),"",IF(TABLERO!$H112="RE","",IF(ISNA(TABLERO!ED112),"*** REVISA TU ALIMENTADOR ***",IF(OR(TABLERO!BB112=0,TABLERO!H112="RE"),"",TABLERO!G112*TABLERO!N112&amp;"-"&amp;TABLERO!BX112&amp;""&amp;TABLERO!ED112&amp;","&amp;TABLERO!I112&amp;",("&amp;TABLERO!N112&amp;"xF"&amp;IF(TABLERO!F112=TABLERO!G112,")","-"&amp;TABLERO!N112&amp;"N)")))&amp;", "&amp;IF(OR(TABLERO!BB112=0,TABLERO!H112="RE"),"",TABLERO!O112&amp;"-"&amp;TABLERO!CA112&amp;"T AWG")&amp;", "&amp;IF(OR(TABLERO!BB112=0,TABLERO!H112="RE"),"",TABLERO!O112&amp;TABLERO!CB112)))</f>
        <v/>
      </c>
      <c r="G112" s="757" t="str">
        <f>IF(TABLERO!BY112=0,"",TABLERO!BY112)</f>
        <v/>
      </c>
      <c r="H112" s="756" t="str">
        <f>IF(TABLERO!BB112=0,"",TABLERO!K112)</f>
        <v/>
      </c>
      <c r="I112" s="756" t="str">
        <f>'CUADRO (1)'!$AV112</f>
        <v/>
      </c>
      <c r="J112" s="756" t="str">
        <f>'CUADRO (1)'!$BA112</f>
        <v/>
      </c>
      <c r="K112" s="756" t="str">
        <f>'CUADRO (1)'!$BB112</f>
        <v/>
      </c>
      <c r="L112" s="758" t="str">
        <f>'CUADRO (1)'!$BC112</f>
        <v/>
      </c>
    </row>
    <row r="113" spans="1:12">
      <c r="A113" s="753" t="str">
        <f>TABLERO!B113&amp;IF(TABLERO!C113="","",","&amp;TABLERO!C113)&amp;IF(TABLERO!D113="","",","&amp;TABLERO!D113)</f>
        <v>83</v>
      </c>
      <c r="B113" s="754" t="str">
        <f>IF(TABLERO!E113=0,"",TABLERO!E113)</f>
        <v/>
      </c>
      <c r="C113" s="755" t="str">
        <f>IF(TABLERO!BB113=0,"",IF(TABLERO!$F$17&lt;&gt;"KVA",TABLERO!BT113*1000,TABLERO!BT113*1000/TABLERO!DA113))</f>
        <v/>
      </c>
      <c r="D113" s="756" t="str">
        <f>IF(OR(TABLERO!BU113="",TABLERO!BU113=0),"",TABLERO!BU113)</f>
        <v/>
      </c>
      <c r="E113" s="754" t="str">
        <f>IF(OR(TABLERO!BB113=0,TABLERO!H113="RE"),"",TABLERO!F113&amp;"P-"&amp;TABLERO!BW113&amp;"A")</f>
        <v/>
      </c>
      <c r="F113" s="754" t="str">
        <f>IF(OR(TABLERO!BB113=0,TABLERO!BB113=""),"",IF(TABLERO!$H113="RE","",IF(ISNA(TABLERO!ED113),"*** REVISA TU ALIMENTADOR ***",IF(OR(TABLERO!BB113=0,TABLERO!H113="RE"),"",TABLERO!G113*TABLERO!N113&amp;"-"&amp;TABLERO!BX113&amp;""&amp;TABLERO!ED113&amp;","&amp;TABLERO!I113&amp;",("&amp;TABLERO!N113&amp;"xF"&amp;IF(TABLERO!F113=TABLERO!G113,")","-"&amp;TABLERO!N113&amp;"N)")))&amp;", "&amp;IF(OR(TABLERO!BB113=0,TABLERO!H113="RE"),"",TABLERO!O113&amp;"-"&amp;TABLERO!CA113&amp;"T AWG")&amp;", "&amp;IF(OR(TABLERO!BB113=0,TABLERO!H113="RE"),"",TABLERO!O113&amp;TABLERO!CB113)))</f>
        <v/>
      </c>
      <c r="G113" s="757" t="str">
        <f>IF(TABLERO!BY113=0,"",TABLERO!BY113)</f>
        <v/>
      </c>
      <c r="H113" s="756" t="str">
        <f>IF(TABLERO!BB113=0,"",TABLERO!K113)</f>
        <v/>
      </c>
      <c r="I113" s="756" t="str">
        <f>'CUADRO (1)'!$AV113</f>
        <v/>
      </c>
      <c r="J113" s="756" t="str">
        <f>'CUADRO (1)'!$BA113</f>
        <v/>
      </c>
      <c r="K113" s="756" t="str">
        <f>'CUADRO (1)'!$BB113</f>
        <v/>
      </c>
      <c r="L113" s="758" t="str">
        <f>'CUADRO (1)'!$BC113</f>
        <v/>
      </c>
    </row>
    <row r="114" spans="1:12">
      <c r="A114" s="753" t="str">
        <f>IF('CUADRO (1)'!$AZ114="","",'CUADRO (1)'!$B114)</f>
        <v/>
      </c>
      <c r="B114" s="754" t="str">
        <f>IF(C114="","",'CUADRO (1)'!C114)</f>
        <v/>
      </c>
      <c r="C114" s="755" t="str">
        <f>'CUADRO (1)'!$AI114</f>
        <v/>
      </c>
      <c r="D114" s="756" t="str">
        <f>'CUADRO (1)'!$AJ114</f>
        <v/>
      </c>
      <c r="E114" s="754" t="str">
        <f>'CUADRO (1)'!$AZ114</f>
        <v/>
      </c>
      <c r="F114" s="754" t="str">
        <f>IF(OR(TABLERO!BB114=0,TABLERO!BB114=""),"",IF(TABLERO!$H114="RE","",IF(ISNA(TABLERO!ED114),"*** REVISA TU ALIMENTADOR ***",IF(OR(TABLERO!BB114=0,TABLERO!H114="RE"),"",TABLERO!G114*TABLERO!N114&amp;"-"&amp;TABLERO!BX114&amp;""&amp;TABLERO!ED114&amp;","&amp;TABLERO!I114&amp;",("&amp;TABLERO!N114&amp;"xF"&amp;IF(TABLERO!F114=TABLERO!G114,")","-"&amp;TABLERO!N114&amp;"N)")))&amp;", "&amp;IF(OR(TABLERO!BB114=0,TABLERO!H114="RE"),"",TABLERO!O114&amp;"-"&amp;TABLERO!CA114&amp;"T AWG")&amp;", "&amp;IF(OR(TABLERO!BB114=0,TABLERO!H114="RE"),"",TABLERO!O114&amp;TABLERO!CB114)))</f>
        <v/>
      </c>
      <c r="G114" s="757" t="str">
        <f>IF(TABLERO!BY114=0,"",TABLERO!BY114)</f>
        <v/>
      </c>
      <c r="H114" s="756" t="str">
        <f>'CUADRO (1)'!$AN114</f>
        <v/>
      </c>
      <c r="I114" s="756" t="str">
        <f>'CUADRO (1)'!$AV114</f>
        <v/>
      </c>
      <c r="J114" s="756" t="str">
        <f>'CUADRO (1)'!$BA114</f>
        <v/>
      </c>
      <c r="K114" s="756" t="str">
        <f>'CUADRO (1)'!$BB114</f>
        <v/>
      </c>
      <c r="L114" s="758" t="str">
        <f>'CUADRO (1)'!$BC114</f>
        <v/>
      </c>
    </row>
    <row r="115" spans="1:12" ht="13.8" thickBot="1">
      <c r="A115" s="759"/>
      <c r="B115" s="725"/>
      <c r="C115" s="760"/>
      <c r="D115" s="663"/>
      <c r="E115" s="725"/>
      <c r="F115" s="725"/>
      <c r="G115" s="725"/>
      <c r="H115" s="663"/>
      <c r="I115" s="663"/>
      <c r="J115" s="663"/>
      <c r="K115" s="663"/>
      <c r="L115" s="761"/>
    </row>
    <row r="116" spans="1:12" hidden="1">
      <c r="A116" s="759">
        <f>'CUADRO (1)'!$B116</f>
        <v>0</v>
      </c>
      <c r="B116" s="725" t="str">
        <f>'CUADRO (1)'!$W116</f>
        <v/>
      </c>
      <c r="C116" s="755">
        <f>IF(TABLERO!BB116=0,"",IF(TABLERO!$F$17&lt;&gt;"KVA",TABLERO!BT116*1000,TABLERO!BT116*1000/TABLERO!DA116))</f>
        <v>74754.415999999997</v>
      </c>
      <c r="D116" s="756">
        <f>IF(OR(TABLERO!BU116="",TABLERO!BU116=0),"",TABLERO!BU116)</f>
        <v>218.23558124598586</v>
      </c>
      <c r="E116" s="754" t="str">
        <f>IF(OR(TABLERO!BB116=0,TABLERO!H116="RE"),"",TABLERO!F116&amp;"P-"&amp;TABLERO!BW116&amp;"A")</f>
        <v>3P-300A</v>
      </c>
      <c r="F116" s="754" t="str">
        <f>IF(OR(TABLERO!BB116=0,TABLERO!BB116=""),"",IF(TABLERO!$H116="RE","",IF(ISNA(TABLERO!ED116),"*** REVISA TU ALIMENTADOR ***",IF(OR(TABLERO!BB116=0,TABLERO!H116="RE"),"",TABLERO!G116*TABLERO!N116&amp;"-"&amp;TABLERO!BX116&amp;""&amp;TABLERO!ED116&amp;","&amp;TABLERO!I116&amp;",("&amp;TABLERO!N116&amp;"xF"&amp;IF(TABLERO!F116=TABLERO!G116,")","-"&amp;TABLERO!N116&amp;"N)")))&amp;", "&amp;IF(OR(TABLERO!BB116=0,TABLERO!H116="RE"),"",TABLERO!O116&amp;"-"&amp;TABLERO!CA116&amp;"T AWG")&amp;", "&amp;IF(OR(TABLERO!BB116=0,TABLERO!H116="RE"),"",TABLERO!O116&amp;TABLERO!CB116)))</f>
        <v>8-500KCM,AL,(2xF-2N), 1-1/0T AWG, 1MC-STABILOY</v>
      </c>
      <c r="G116" s="725">
        <f>TABLERO!BY116</f>
        <v>620</v>
      </c>
      <c r="H116" s="756">
        <f>IF(TABLERO!BB116=0,"",TABLERO!K116)</f>
        <v>120</v>
      </c>
      <c r="I116" s="663">
        <f>'CUADRO (1)'!$AV116</f>
        <v>2.0761825408485093</v>
      </c>
      <c r="J116" s="663">
        <f>'CUADRO (1)'!$BA116</f>
        <v>32695.673333333336</v>
      </c>
      <c r="K116" s="663">
        <f>'CUADRO (1)'!$BB116</f>
        <v>33109.67333333334</v>
      </c>
      <c r="L116" s="761">
        <f>'CUADRO (1)'!$BC116</f>
        <v>27637.673333333336</v>
      </c>
    </row>
    <row r="117" spans="1:12" hidden="1">
      <c r="A117" s="759"/>
      <c r="B117" s="725"/>
      <c r="C117" s="760"/>
      <c r="D117" s="663"/>
      <c r="E117" s="725"/>
      <c r="F117" s="725"/>
      <c r="G117" s="725"/>
      <c r="H117" s="663"/>
      <c r="I117" s="663"/>
      <c r="J117" s="663"/>
      <c r="K117" s="663"/>
      <c r="L117" s="761"/>
    </row>
    <row r="118" spans="1:12" hidden="1">
      <c r="A118" s="759">
        <f>'CUADRO (1)'!$B118</f>
        <v>0</v>
      </c>
      <c r="B118" s="725">
        <f>'CUADRO (1)'!$W118</f>
        <v>0</v>
      </c>
      <c r="C118" s="755">
        <f>IF(TABLERO!BB118=0,"",IF(TABLERO!$F$17&lt;&gt;"KVA",TABLERO!BT118*1000,TABLERO!BT118*1000/TABLERO!DA118))</f>
        <v>74754.415999999997</v>
      </c>
      <c r="D118" s="756">
        <f>IF(OR(TABLERO!BU118="",TABLERO!BU118=0),"",TABLERO!BU118)</f>
        <v>218.23558124598586</v>
      </c>
      <c r="E118" s="754" t="str">
        <f>IF(OR(TABLERO!BB118=0,TABLERO!H118="RE"),"",TABLERO!F118&amp;"P-"&amp;TABLERO!BW118&amp;"A")</f>
        <v>3P-300A</v>
      </c>
      <c r="F118" s="754" t="str">
        <f>IF(OR(TABLERO!BB118=0,TABLERO!BB118=""),"",IF(TABLERO!$H118="RE","",IF(ISNA(TABLERO!ED118),"*** REVISA TU ALIMENTADOR ***",IF(OR(TABLERO!BB118=0,TABLERO!H118="RE"),"",TABLERO!G118*TABLERO!N118&amp;"-"&amp;TABLERO!BX118&amp;""&amp;TABLERO!ED118&amp;","&amp;TABLERO!I118&amp;",("&amp;TABLERO!N118&amp;"xF"&amp;IF(TABLERO!F118=TABLERO!G118,")","-"&amp;TABLERO!N118&amp;"N)")))&amp;", "&amp;IF(OR(TABLERO!BB118=0,TABLERO!H118="RE"),"",TABLERO!O118&amp;"-"&amp;TABLERO!CA118&amp;"T AWG")&amp;", "&amp;IF(OR(TABLERO!BB118=0,TABLERO!H118="RE"),"",TABLERO!O118&amp;TABLERO!CB118)))</f>
        <v>4-3/0AWG,AL,(1xF-1N), 1-4T AWG, 1MC-STABILOY</v>
      </c>
      <c r="G118" s="725">
        <f>TABLERO!BY118</f>
        <v>155</v>
      </c>
      <c r="H118" s="756">
        <f>IF(TABLERO!BB118=0,"",TABLERO!K118)</f>
        <v>8</v>
      </c>
      <c r="I118" s="663">
        <f>'CUADRO (1)'!$AV118</f>
        <v>0.6336444765887701</v>
      </c>
      <c r="J118" s="663">
        <f>'CUADRO (1)'!$BA118</f>
        <v>32695.673333333336</v>
      </c>
      <c r="K118" s="663">
        <f>'CUADRO (1)'!$BB118</f>
        <v>33109.67333333334</v>
      </c>
      <c r="L118" s="761">
        <f>'CUADRO (1)'!$BC118</f>
        <v>27637.673333333336</v>
      </c>
    </row>
    <row r="119" spans="1:12" hidden="1">
      <c r="A119" s="759"/>
      <c r="B119" s="725"/>
      <c r="C119" s="760"/>
      <c r="D119" s="663"/>
      <c r="E119" s="725"/>
      <c r="F119" s="725"/>
      <c r="G119" s="725"/>
      <c r="H119" s="663"/>
      <c r="I119" s="663"/>
      <c r="J119" s="663"/>
      <c r="K119" s="663"/>
      <c r="L119" s="761"/>
    </row>
    <row r="120" spans="1:12" hidden="1">
      <c r="A120" s="759">
        <f>'CUADRO (1)'!$B120</f>
        <v>0</v>
      </c>
      <c r="B120" s="725">
        <f>'CUADRO (1)'!$W120</f>
        <v>0</v>
      </c>
      <c r="C120" s="755">
        <f>IF(TABLERO!BB120=0,"",IF(TABLERO!$F$17&lt;&gt;"KVA",TABLERO!BT120*1000,TABLERO!BT120*1000/TABLERO!DA120))</f>
        <v>74754.415999999997</v>
      </c>
      <c r="D120" s="756">
        <f>IF(OR(TABLERO!BU120="",TABLERO!BU120=0),"",TABLERO!BU120)</f>
        <v>100.02464140441019</v>
      </c>
      <c r="E120" s="754" t="str">
        <f>IF(OR(TABLERO!BB120=0,TABLERO!H120="RE"),"",TABLERO!F120&amp;"P-"&amp;TABLERO!BW120&amp;"A")</f>
        <v>3P-150A</v>
      </c>
      <c r="F120" s="754" t="str">
        <f>IF(OR(TABLERO!BB120=0,TABLERO!BB120=""),"",IF(TABLERO!$H120="RE","",IF(ISNA(TABLERO!ED120),"*** REVISA TU ALIMENTADOR ***",IF(OR(TABLERO!BB120=0,TABLERO!H120="RE"),"",TABLERO!G120*TABLERO!N120&amp;"-"&amp;TABLERO!BX120&amp;""&amp;TABLERO!ED120&amp;","&amp;TABLERO!I120&amp;",("&amp;TABLERO!N120&amp;"xF"&amp;IF(TABLERO!F120=TABLERO!G120,")","-"&amp;TABLERO!N120&amp;"N)")))&amp;", "&amp;IF(OR(TABLERO!BB120=0,TABLERO!H120="RE"),"",TABLERO!O120&amp;"-"&amp;TABLERO!CA120&amp;"T AWG")&amp;", "&amp;IF(OR(TABLERO!BB120=0,TABLERO!H120="RE"),"",TABLERO!O120&amp;TABLERO!CB120)))</f>
        <v>6-3/0AWG,AL,(2xF), 2-4T AWG, 2MC-STABILOY</v>
      </c>
      <c r="G120" s="725">
        <f>TABLERO!BY120</f>
        <v>310</v>
      </c>
      <c r="H120" s="756">
        <f>IF(TABLERO!BB120=0,"",TABLERO!K120)</f>
        <v>230</v>
      </c>
      <c r="I120" s="663">
        <f>'CUADRO (1)'!$AV120</f>
        <v>1.9134468081017226</v>
      </c>
      <c r="J120" s="663">
        <f>'CUADRO (1)'!$BA120</f>
        <v>32695.673333333336</v>
      </c>
      <c r="K120" s="663">
        <f>'CUADRO (1)'!$BB120</f>
        <v>33109.67333333334</v>
      </c>
      <c r="L120" s="761">
        <f>'CUADRO (1)'!$BC120</f>
        <v>27637.673333333336</v>
      </c>
    </row>
    <row r="121" spans="1:12" hidden="1">
      <c r="A121" s="759"/>
      <c r="B121" s="725"/>
      <c r="C121" s="760"/>
      <c r="D121" s="663"/>
      <c r="E121" s="725"/>
      <c r="F121" s="725"/>
      <c r="G121" s="725"/>
      <c r="H121" s="663"/>
      <c r="I121" s="663"/>
      <c r="J121" s="663"/>
      <c r="K121" s="663"/>
      <c r="L121" s="761"/>
    </row>
    <row r="122" spans="1:12" hidden="1">
      <c r="A122" s="759">
        <f>'CUADRO (1)'!$B122</f>
        <v>0</v>
      </c>
      <c r="B122" s="725">
        <f>'CUADRO (1)'!$W122</f>
        <v>0</v>
      </c>
      <c r="C122" s="755">
        <f>IF(TABLERO!BB122=0,"",IF(TABLERO!$F$17&lt;&gt;"KVA",TABLERO!BT122*1000,TABLERO!BT122*1000/TABLERO!DA122))</f>
        <v>74754.415999999997</v>
      </c>
      <c r="D122" s="756">
        <f>IF(OR(TABLERO!BU122="",TABLERO!BU122=0),"",TABLERO!BU122)</f>
        <v>218.23558124598586</v>
      </c>
      <c r="E122" s="754" t="str">
        <f>IF(OR(TABLERO!BB122=0,TABLERO!H122="RE"),"",TABLERO!F122&amp;"P-"&amp;TABLERO!BW122&amp;"A")</f>
        <v>3P-250A</v>
      </c>
      <c r="F122" s="754" t="str">
        <f>IF(OR(TABLERO!BB122=0,TABLERO!BB122=""),"",IF(TABLERO!$H122="RE","",IF(ISNA(TABLERO!ED122),"*** REVISA TU ALIMENTADOR ***",IF(OR(TABLERO!BB122=0,TABLERO!H122="RE"),"",TABLERO!G122*TABLERO!N122&amp;"-"&amp;TABLERO!BX122&amp;""&amp;TABLERO!ED122&amp;","&amp;TABLERO!I122&amp;",("&amp;TABLERO!N122&amp;"xF"&amp;IF(TABLERO!F122=TABLERO!G122,")","-"&amp;TABLERO!N122&amp;"N)")))&amp;", "&amp;IF(OR(TABLERO!BB122=0,TABLERO!H122="RE"),"",TABLERO!O122&amp;"-"&amp;TABLERO!CA122&amp;"T AWG")&amp;", "&amp;IF(OR(TABLERO!BB122=0,TABLERO!H122="RE"),"",TABLERO!O122&amp;TABLERO!CB122)))</f>
        <v>8-500KCM,AL,(2xF-2N), 1-1/0T AWG, 1MC-STABILOY</v>
      </c>
      <c r="G122" s="725">
        <f>TABLERO!BY122</f>
        <v>620</v>
      </c>
      <c r="H122" s="756">
        <f>IF(TABLERO!BB122=0,"",TABLERO!K122)</f>
        <v>30</v>
      </c>
      <c r="I122" s="663">
        <f>'CUADRO (1)'!$AV122</f>
        <v>0.51904563521212732</v>
      </c>
      <c r="J122" s="663">
        <f>'CUADRO (1)'!$BA122</f>
        <v>32695.673333333336</v>
      </c>
      <c r="K122" s="663">
        <f>'CUADRO (1)'!$BB122</f>
        <v>33109.67333333334</v>
      </c>
      <c r="L122" s="761">
        <f>'CUADRO (1)'!$BC122</f>
        <v>27637.673333333336</v>
      </c>
    </row>
    <row r="123" spans="1:12" hidden="1">
      <c r="A123" s="759"/>
      <c r="B123" s="725"/>
      <c r="C123" s="760"/>
      <c r="D123" s="663"/>
      <c r="E123" s="725"/>
      <c r="F123" s="725"/>
      <c r="G123" s="725"/>
      <c r="H123" s="663"/>
      <c r="I123" s="663"/>
      <c r="J123" s="663"/>
      <c r="K123" s="663"/>
      <c r="L123" s="761"/>
    </row>
    <row r="124" spans="1:12" hidden="1">
      <c r="A124" s="762">
        <f>'CUADRO (1)'!$B124</f>
        <v>0</v>
      </c>
      <c r="B124" s="598">
        <f>'CUADRO (1)'!$W124</f>
        <v>0</v>
      </c>
      <c r="C124" s="755">
        <f>IF(TABLERO!BB124=0,"",IF(TABLERO!$F$17&lt;&gt;"KVA",TABLERO!BT124*1000,TABLERO!BT124*1000/TABLERO!DA124))</f>
        <v>74754.415999999997</v>
      </c>
      <c r="D124" s="756">
        <f>IF(OR(TABLERO!BU124="",TABLERO!BU124=0),"",TABLERO!BU124)</f>
        <v>218.23558124598586</v>
      </c>
      <c r="E124" s="754" t="str">
        <f>IF(OR(TABLERO!BB124=0,TABLERO!H124="RE"),"",TABLERO!F124&amp;"P-"&amp;TABLERO!BW124&amp;"A")</f>
        <v>3P-250A</v>
      </c>
      <c r="F124" s="754" t="str">
        <f>IF(OR(TABLERO!BB124=0,TABLERO!BB124=""),"",IF(TABLERO!$H124="RE","",IF(ISNA(TABLERO!ED124),"*** REVISA TU ALIMENTADOR ***",IF(OR(TABLERO!BB124=0,TABLERO!H124="RE"),"",TABLERO!G124*TABLERO!N124&amp;"-"&amp;TABLERO!BX124&amp;""&amp;TABLERO!ED124&amp;","&amp;TABLERO!I124&amp;",("&amp;TABLERO!N124&amp;"xF"&amp;IF(TABLERO!F124=TABLERO!G124,")","-"&amp;TABLERO!N124&amp;"N)")))&amp;", "&amp;IF(OR(TABLERO!BB124=0,TABLERO!H124="RE"),"",TABLERO!O124&amp;"-"&amp;TABLERO!CA124&amp;"T AWG")&amp;", "&amp;IF(OR(TABLERO!BB124=0,TABLERO!H124="RE"),"",TABLERO!O124&amp;TABLERO!CB124)))</f>
        <v>8-500KCM,AL,(2xF-2N), 1-1/0T AWG, 1MC-STABILOY</v>
      </c>
      <c r="G124" s="598">
        <f>TABLERO!BY124</f>
        <v>620</v>
      </c>
      <c r="H124" s="756">
        <f>IF(TABLERO!BB124=0,"",TABLERO!K124)</f>
        <v>12</v>
      </c>
      <c r="I124" s="742">
        <f>'CUADRO (1)'!$AV124</f>
        <v>0.20761825408485091</v>
      </c>
      <c r="J124" s="742">
        <f>'CUADRO (1)'!$BA124</f>
        <v>32695.673333333336</v>
      </c>
      <c r="K124" s="742">
        <f>'CUADRO (1)'!$BB124</f>
        <v>33109.67333333334</v>
      </c>
      <c r="L124" s="763">
        <f>'CUADRO (1)'!$BC124</f>
        <v>27637.673333333336</v>
      </c>
    </row>
    <row r="125" spans="1:12" hidden="1">
      <c r="A125" s="759"/>
      <c r="B125" s="725"/>
      <c r="C125" s="760"/>
      <c r="D125" s="663"/>
      <c r="E125" s="725"/>
      <c r="F125" s="725"/>
      <c r="G125" s="725"/>
      <c r="H125" s="663"/>
      <c r="I125" s="663"/>
      <c r="J125" s="663"/>
      <c r="K125" s="663"/>
      <c r="L125" s="761"/>
    </row>
    <row r="126" spans="1:12" hidden="1">
      <c r="A126" s="759">
        <f>'CUADRO (1)'!$B126</f>
        <v>0</v>
      </c>
      <c r="B126" s="725">
        <f>'CUADRO (1)'!$W126</f>
        <v>0</v>
      </c>
      <c r="C126" s="755">
        <f>IF(TABLERO!BB126=0,"",IF(TABLERO!$F$17&lt;&gt;"KVA",TABLERO!BT126*1000,TABLERO!BT126*1000/TABLERO!DA126))</f>
        <v>74754.415999999997</v>
      </c>
      <c r="D126" s="756">
        <f>IF(OR(TABLERO!BU126="",TABLERO!BU126=0),"",TABLERO!BU126)</f>
        <v>218.23558124598586</v>
      </c>
      <c r="E126" s="754" t="str">
        <f>IF(OR(TABLERO!BB126=0,TABLERO!H126="RE"),"",TABLERO!F126&amp;"P-"&amp;TABLERO!BW126&amp;"A")</f>
        <v>3P-300A</v>
      </c>
      <c r="F126" s="754" t="str">
        <f>IF(OR(TABLERO!BB126=0,TABLERO!BB126=""),"",IF(TABLERO!$H126="RE","",IF(ISNA(TABLERO!ED126),"*** REVISA TU ALIMENTADOR ***",IF(OR(TABLERO!BB126=0,TABLERO!H126="RE"),"",TABLERO!G126*TABLERO!N126&amp;"-"&amp;TABLERO!BX126&amp;""&amp;TABLERO!ED126&amp;","&amp;TABLERO!I126&amp;",("&amp;TABLERO!N126&amp;"xF"&amp;IF(TABLERO!F126=TABLERO!G126,")","-"&amp;TABLERO!N126&amp;"N)")))&amp;", "&amp;IF(OR(TABLERO!BB126=0,TABLERO!H126="RE"),"",TABLERO!O126&amp;"-"&amp;TABLERO!CA126&amp;"T AWG")&amp;", "&amp;IF(OR(TABLERO!BB126=0,TABLERO!H126="RE"),"",TABLERO!O126&amp;TABLERO!CB126)))</f>
        <v>8-500KCM,AL,(2xF-2N), 1-1/0T AWG, 1MC-STABILOY</v>
      </c>
      <c r="G126" s="725">
        <f>TABLERO!BY126</f>
        <v>620</v>
      </c>
      <c r="H126" s="756">
        <f>IF(TABLERO!BB126=0,"",TABLERO!K126)</f>
        <v>6</v>
      </c>
      <c r="I126" s="663">
        <f>'CUADRO (1)'!$AV126</f>
        <v>0.10380912704242545</v>
      </c>
      <c r="J126" s="663">
        <f>'CUADRO (1)'!$BA126</f>
        <v>32695.673333333336</v>
      </c>
      <c r="K126" s="663">
        <f>'CUADRO (1)'!$BB126</f>
        <v>33109.67333333334</v>
      </c>
      <c r="L126" s="761">
        <f>'CUADRO (1)'!$BC126</f>
        <v>27637.673333333336</v>
      </c>
    </row>
    <row r="127" spans="1:12" hidden="1">
      <c r="A127" s="759"/>
      <c r="B127" s="725"/>
      <c r="C127" s="760"/>
      <c r="D127" s="663"/>
      <c r="E127" s="725"/>
      <c r="F127" s="725"/>
      <c r="G127" s="725"/>
      <c r="H127" s="663"/>
      <c r="I127" s="663"/>
      <c r="J127" s="663"/>
      <c r="K127" s="663"/>
      <c r="L127" s="761"/>
    </row>
    <row r="128" spans="1:12" ht="13.8" hidden="1" thickBot="1">
      <c r="A128" s="759">
        <f>'CUADRO (1)'!$B128</f>
        <v>0</v>
      </c>
      <c r="B128" s="725">
        <f>'CUADRO (1)'!$W128</f>
        <v>0</v>
      </c>
      <c r="C128" s="755">
        <f>IF(TABLERO!BB128=0,"",IF(TABLERO!$F$17&lt;&gt;"KVA",TABLERO!BT128*1000,TABLERO!BT128*1000/TABLERO!DA128))</f>
        <v>74754.415999999997</v>
      </c>
      <c r="D128" s="756">
        <f>IF(OR(TABLERO!BU128="",TABLERO!BU128=0),"",TABLERO!BU128)</f>
        <v>218.23558124598586</v>
      </c>
      <c r="E128" s="754" t="str">
        <f>IF(OR(TABLERO!BB128=0,TABLERO!H128="RE"),"",TABLERO!F128&amp;"P-"&amp;TABLERO!BW128&amp;"A")</f>
        <v>3P-300A</v>
      </c>
      <c r="F128" s="754" t="str">
        <f>IF(OR(TABLERO!BB128=0,TABLERO!BB128=""),"",IF(TABLERO!$H128="RE","",IF(ISNA(TABLERO!ED128),"*** REVISA TU ALIMENTADOR ***",IF(OR(TABLERO!BB128=0,TABLERO!H128="RE"),"",TABLERO!G128*TABLERO!N128&amp;"-"&amp;TABLERO!BX128&amp;""&amp;TABLERO!ED128&amp;","&amp;TABLERO!I128&amp;",("&amp;TABLERO!N128&amp;"xF"&amp;IF(TABLERO!F128=TABLERO!G128,")","-"&amp;TABLERO!N128&amp;"N)")))&amp;", "&amp;IF(OR(TABLERO!BB128=0,TABLERO!H128="RE"),"",TABLERO!O128&amp;"-"&amp;TABLERO!CA128&amp;"T AWG")&amp;", "&amp;IF(OR(TABLERO!BB128=0,TABLERO!H128="RE"),"",TABLERO!O128&amp;TABLERO!CB128)))</f>
        <v>8-500KCM,AL,(2xF-2N), 1-1/0T AWG, 1MC-STABILOY</v>
      </c>
      <c r="G128" s="725">
        <f>TABLERO!BY128</f>
        <v>620</v>
      </c>
      <c r="H128" s="756">
        <f>IF(TABLERO!BB128=0,"",TABLERO!K128)</f>
        <v>6</v>
      </c>
      <c r="I128" s="663">
        <f>'CUADRO (1)'!$AV128</f>
        <v>0.10380912704242545</v>
      </c>
      <c r="J128" s="663">
        <f>'CUADRO (1)'!$BA128</f>
        <v>32695.673333333336</v>
      </c>
      <c r="K128" s="663">
        <f>'CUADRO (1)'!$BB128</f>
        <v>33109.67333333334</v>
      </c>
      <c r="L128" s="761">
        <f>'CUADRO (1)'!$BC128</f>
        <v>27637.673333333336</v>
      </c>
    </row>
    <row r="129" spans="1:12" ht="13.8" thickBot="1">
      <c r="A129" s="764"/>
      <c r="B129" s="765" t="s">
        <v>38</v>
      </c>
      <c r="C129" s="766" t="str">
        <f>FIXED(IF(TABLERO!I19="TR",C118,IF(TABLERO!I19="UPS",C126,IF(TABLERO!I19="REG",C126,IF(TABLERO!I19="PE",C122,C116)))),0)</f>
        <v>74,754</v>
      </c>
      <c r="D129" s="766">
        <f>IF(TABLERO!J19="TR",D118,IF(TABLERO!J19="UPS",D126,IF(TABLERO!J19="REG",D126,IF(TABLERO!J19="PE",D122,D116))))</f>
        <v>218.23558124598586</v>
      </c>
      <c r="E129" s="766" t="str">
        <f>IF(TABLERO!K19="TR",E118,IF(TABLERO!K19="UPS",E126,IF(TABLERO!K19="REG",E126,IF(TABLERO!K19="PE",E122,E116))))</f>
        <v>3P-300A</v>
      </c>
      <c r="F129" s="765" t="str">
        <f>IF(TABLERO!M18="TR",RESUMEN!F118,IF(TABLERO!M18="PE",RESUMEN!F122,IF(TABLERO!M18="UPS",F126,IF(TABLERO!M18="REG",F126,RESUMEN!F116))))</f>
        <v>4-3/0AWG,AL,(1xF-1N), 1-4T AWG, 1MC-STABILOY</v>
      </c>
      <c r="G129" s="767">
        <f>IF(TABLERO!N19="TR",RESUMEN!G118,IF(TABLERO!N19="UPS",G126,IF(TABLERO!N19="REG",G126,IF(TABLERO!N19="PE",RESUMEN!G122,RESUMEN!G116))))</f>
        <v>620</v>
      </c>
      <c r="H129" s="766">
        <f>IF(TABLERO!N19="TR",H118,IF(TABLERO!N19="UPS",H126,IF(TABLERO!N19="REG",H126,IF(TABLERO!N19="PE",H122,H116))))</f>
        <v>120</v>
      </c>
      <c r="I129" s="766">
        <f>IF(TABLERO!O19="TR",I118,IF(TABLERO!O19="UPS",I126,IF(TABLERO!O19="REG",I126,IF(TABLERO!O19="PE",I122,I116))))</f>
        <v>2.0761825408485093</v>
      </c>
      <c r="J129" s="766">
        <f>IF(TABLERO!P19="TR",J118,IF(TABLERO!P19="UPS",J126,IF(TABLERO!P19="REG",J126,IF(TABLERO!P19="PE",J122,J116))))</f>
        <v>32695.673333333336</v>
      </c>
      <c r="K129" s="766">
        <f>IF(TABLERO!Q19="TR",K118,IF(TABLERO!Q19="UPS",K126,IF(TABLERO!Q19="REG",K126,IF(TABLERO!Q19="PE",K122,K116))))</f>
        <v>33109.67333333334</v>
      </c>
      <c r="L129" s="766">
        <f>IF(TABLERO!R19="TR",L118,IF(TABLERO!R19="UPS",L126,IF(TABLERO!R19="REG",L126,IF(TABLERO!R19="PE",L122,L116))))</f>
        <v>27637.673333333336</v>
      </c>
    </row>
    <row r="130" spans="1:12">
      <c r="A130" s="611"/>
      <c r="B130" s="611"/>
      <c r="C130" s="768"/>
      <c r="D130" s="622"/>
      <c r="E130" s="611"/>
      <c r="F130" s="611"/>
      <c r="G130" s="611"/>
      <c r="H130" s="622"/>
      <c r="I130" s="702"/>
      <c r="J130" s="622"/>
      <c r="K130" s="622"/>
      <c r="L130" s="622"/>
    </row>
  </sheetData>
  <sheetProtection algorithmName="SHA-512" hashValue="Q3bvSFE1sBJka0zUjERz873wCh8HmP2I/JjfvPwNQUaFuVpYxWsdnPJqLmwScDE0oV473OLrbCROwxDqaf0+kQ==" saltValue="aiaXbCLBJT1KLYb5sRvl7A==" spinCount="100000" sheet="1" formatCells="0" formatColumns="0" formatRows="0"/>
  <mergeCells count="13">
    <mergeCell ref="B26:C26"/>
    <mergeCell ref="B27:C27"/>
    <mergeCell ref="J28:L28"/>
    <mergeCell ref="D26:F27"/>
    <mergeCell ref="B19:C19"/>
    <mergeCell ref="B20:C20"/>
    <mergeCell ref="B21:C21"/>
    <mergeCell ref="B22:C22"/>
    <mergeCell ref="A14:F14"/>
    <mergeCell ref="B15:B16"/>
    <mergeCell ref="A15:A16"/>
    <mergeCell ref="B18:C18"/>
    <mergeCell ref="B17:C1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1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indexed="43"/>
    <pageSetUpPr fitToPage="1"/>
  </sheetPr>
  <dimension ref="A2:N132"/>
  <sheetViews>
    <sheetView showGridLines="0" view="pageBreakPreview" topLeftCell="A23" zoomScaleNormal="100" zoomScaleSheetLayoutView="100" workbookViewId="0">
      <selection activeCell="C39" sqref="C39"/>
    </sheetView>
  </sheetViews>
  <sheetFormatPr baseColWidth="10" defaultColWidth="11.44140625" defaultRowHeight="13.2"/>
  <cols>
    <col min="1" max="1" width="13.5546875" style="593" customWidth="1"/>
    <col min="2" max="4" width="11.44140625" style="593"/>
    <col min="5" max="6" width="11.44140625" style="655"/>
    <col min="7" max="16384" width="11.44140625" style="593"/>
  </cols>
  <sheetData>
    <row r="2" spans="1:14" hidden="1"/>
    <row r="3" spans="1:14" hidden="1"/>
    <row r="4" spans="1:14" hidden="1"/>
    <row r="5" spans="1:14" hidden="1"/>
    <row r="6" spans="1:14" hidden="1"/>
    <row r="7" spans="1:14" hidden="1"/>
    <row r="8" spans="1:14" hidden="1"/>
    <row r="9" spans="1:14" hidden="1"/>
    <row r="10" spans="1:14" hidden="1"/>
    <row r="11" spans="1:14" hidden="1"/>
    <row r="12" spans="1:14" hidden="1"/>
    <row r="13" spans="1:14" hidden="1"/>
    <row r="14" spans="1:14" hidden="1"/>
    <row r="15" spans="1:14">
      <c r="A15" s="1186" t="s">
        <v>124</v>
      </c>
      <c r="B15" s="1186"/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</row>
    <row r="16" spans="1:14">
      <c r="A16" s="1186"/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</row>
    <row r="17" spans="1:14" ht="11.25" customHeight="1">
      <c r="A17" s="1188" t="s">
        <v>93</v>
      </c>
      <c r="B17" s="1188"/>
      <c r="C17" s="1187" t="str">
        <f>RESUMEN!B15</f>
        <v>G</v>
      </c>
      <c r="D17" s="1187"/>
      <c r="F17" s="659"/>
      <c r="G17" s="660"/>
      <c r="M17" s="1196" t="s">
        <v>126</v>
      </c>
      <c r="N17" s="1197"/>
    </row>
    <row r="18" spans="1:14" ht="13.5" customHeight="1">
      <c r="A18" s="1188"/>
      <c r="B18" s="1188"/>
      <c r="C18" s="1187"/>
      <c r="D18" s="1187"/>
      <c r="F18" s="724"/>
      <c r="G18" s="660"/>
      <c r="M18" s="663" t="s">
        <v>32</v>
      </c>
      <c r="N18" s="664" t="s">
        <v>42</v>
      </c>
    </row>
    <row r="19" spans="1:14">
      <c r="A19" s="702" t="s">
        <v>1</v>
      </c>
      <c r="B19" s="1189" t="str">
        <f>RESUMEN!B17</f>
        <v>ZONA DE CARGA</v>
      </c>
      <c r="C19" s="1189"/>
      <c r="D19" s="1189"/>
      <c r="G19" s="702" t="s">
        <v>193</v>
      </c>
      <c r="H19" s="622">
        <f>TABLERO!F13</f>
        <v>30</v>
      </c>
      <c r="I19" s="655" t="s">
        <v>30</v>
      </c>
      <c r="M19" s="663" t="s">
        <v>48</v>
      </c>
      <c r="N19" s="664" t="s">
        <v>127</v>
      </c>
    </row>
    <row r="20" spans="1:14">
      <c r="A20" s="662" t="s">
        <v>2</v>
      </c>
      <c r="B20" s="1189" t="str">
        <f>RESUMEN!B18</f>
        <v>TAB-G</v>
      </c>
      <c r="C20" s="1189"/>
      <c r="D20" s="1189"/>
      <c r="G20" s="702" t="s">
        <v>194</v>
      </c>
      <c r="H20" s="622">
        <f>TABLERO!F14</f>
        <v>0.9</v>
      </c>
      <c r="I20" s="655"/>
      <c r="M20" s="725" t="s">
        <v>594</v>
      </c>
      <c r="N20" s="726" t="s">
        <v>128</v>
      </c>
    </row>
    <row r="21" spans="1:14">
      <c r="A21" s="702" t="s">
        <v>94</v>
      </c>
      <c r="B21" s="1189" t="str">
        <f>RESUMEN!B19</f>
        <v>220 / 127 VCA</v>
      </c>
      <c r="C21" s="1189"/>
      <c r="D21" s="1189"/>
      <c r="G21" s="702" t="s">
        <v>190</v>
      </c>
      <c r="H21" s="593" t="s">
        <v>189</v>
      </c>
      <c r="M21" s="725" t="s">
        <v>29</v>
      </c>
      <c r="N21" s="726" t="s">
        <v>129</v>
      </c>
    </row>
    <row r="22" spans="1:14">
      <c r="A22" s="702" t="s">
        <v>3</v>
      </c>
      <c r="B22" s="1189">
        <f>RESUMEN!B20</f>
        <v>3</v>
      </c>
      <c r="C22" s="1189"/>
      <c r="D22" s="1189"/>
      <c r="G22" s="702" t="s">
        <v>191</v>
      </c>
      <c r="H22" s="593" t="s">
        <v>192</v>
      </c>
      <c r="M22" s="725" t="s">
        <v>51</v>
      </c>
      <c r="N22" s="726" t="s">
        <v>77</v>
      </c>
    </row>
    <row r="23" spans="1:14">
      <c r="A23" s="702" t="s">
        <v>4</v>
      </c>
      <c r="B23" s="1189">
        <f>RESUMEN!B21</f>
        <v>4</v>
      </c>
      <c r="C23" s="1189"/>
      <c r="D23" s="1189"/>
      <c r="E23" s="727" t="s">
        <v>299</v>
      </c>
      <c r="F23" s="593" t="s">
        <v>295</v>
      </c>
      <c r="M23" s="725" t="s">
        <v>49</v>
      </c>
      <c r="N23" s="726" t="s">
        <v>55</v>
      </c>
    </row>
    <row r="24" spans="1:14">
      <c r="A24" s="702" t="s">
        <v>81</v>
      </c>
      <c r="B24" s="1189">
        <f>RESUMEN!B22</f>
        <v>60</v>
      </c>
      <c r="C24" s="1189"/>
      <c r="D24" s="1189"/>
      <c r="F24" s="728" t="s">
        <v>296</v>
      </c>
      <c r="M24" s="725" t="s">
        <v>108</v>
      </c>
      <c r="N24" s="726" t="s">
        <v>157</v>
      </c>
    </row>
    <row r="25" spans="1:14">
      <c r="A25" s="702" t="s">
        <v>120</v>
      </c>
      <c r="B25" s="655"/>
      <c r="C25" s="655"/>
      <c r="D25" s="655"/>
      <c r="F25" s="728" t="s">
        <v>297</v>
      </c>
      <c r="M25" s="725" t="s">
        <v>96</v>
      </c>
      <c r="N25" s="726" t="s">
        <v>46</v>
      </c>
    </row>
    <row r="26" spans="1:14">
      <c r="A26" s="702" t="s">
        <v>95</v>
      </c>
      <c r="B26" s="1189" t="str">
        <f>RESUMEN!B26</f>
        <v xml:space="preserve"> LA400M141B</v>
      </c>
      <c r="C26" s="1189"/>
      <c r="D26" s="1189"/>
      <c r="F26" s="1198" t="str">
        <f>IF(TABLERO!F5=0,"",TABLERO!F5)</f>
        <v>BODEGA</v>
      </c>
      <c r="G26" s="1198"/>
      <c r="H26" s="1198"/>
      <c r="I26" s="1198"/>
      <c r="J26" s="1198"/>
      <c r="M26" s="725" t="s">
        <v>637</v>
      </c>
      <c r="N26" s="726" t="s">
        <v>641</v>
      </c>
    </row>
    <row r="27" spans="1:14" ht="13.8" thickBot="1">
      <c r="A27" s="702" t="s">
        <v>50</v>
      </c>
      <c r="B27" s="1190" t="str">
        <f>RESUMEN!B27</f>
        <v>SQUARED</v>
      </c>
      <c r="C27" s="1190"/>
      <c r="D27" s="1190"/>
      <c r="F27" s="1199"/>
      <c r="G27" s="1199"/>
      <c r="H27" s="1199"/>
      <c r="I27" s="1199"/>
      <c r="J27" s="1199"/>
      <c r="M27" s="729" t="s">
        <v>638</v>
      </c>
      <c r="N27" s="956" t="s">
        <v>642</v>
      </c>
    </row>
    <row r="28" spans="1:14">
      <c r="A28" s="709"/>
      <c r="B28" s="667" t="s">
        <v>13</v>
      </c>
      <c r="C28" s="667" t="s">
        <v>130</v>
      </c>
      <c r="D28" s="667" t="s">
        <v>131</v>
      </c>
      <c r="E28" s="667" t="s">
        <v>132</v>
      </c>
      <c r="F28" s="667" t="s">
        <v>133</v>
      </c>
      <c r="G28" s="667" t="s">
        <v>133</v>
      </c>
      <c r="H28" s="667" t="s">
        <v>134</v>
      </c>
      <c r="I28" s="667" t="s">
        <v>134</v>
      </c>
      <c r="J28" s="667" t="s">
        <v>15</v>
      </c>
      <c r="K28" s="730" t="s">
        <v>298</v>
      </c>
      <c r="L28" s="667" t="s">
        <v>106</v>
      </c>
      <c r="M28" s="667" t="s">
        <v>135</v>
      </c>
      <c r="N28" s="668"/>
    </row>
    <row r="29" spans="1:14" ht="13.8" thickBot="1">
      <c r="A29" s="712" t="s">
        <v>5</v>
      </c>
      <c r="B29" s="670">
        <f>'CUADRO (1)'!AI29</f>
        <v>0</v>
      </c>
      <c r="C29" s="670" t="s">
        <v>13</v>
      </c>
      <c r="D29" s="670" t="s">
        <v>117</v>
      </c>
      <c r="E29" s="670"/>
      <c r="F29" s="731">
        <v>1</v>
      </c>
      <c r="G29" s="732">
        <v>2</v>
      </c>
      <c r="H29" s="732">
        <v>1</v>
      </c>
      <c r="I29" s="732">
        <v>2</v>
      </c>
      <c r="J29" s="670" t="s">
        <v>136</v>
      </c>
      <c r="K29" s="733" t="s">
        <v>137</v>
      </c>
      <c r="L29" s="670" t="s">
        <v>35</v>
      </c>
      <c r="M29" s="670" t="s">
        <v>20</v>
      </c>
      <c r="N29" s="673" t="s">
        <v>34</v>
      </c>
    </row>
    <row r="30" spans="1:14">
      <c r="A30" s="734"/>
      <c r="B30" s="735"/>
      <c r="C30" s="735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737"/>
    </row>
    <row r="31" spans="1:14">
      <c r="A31" s="678" t="str">
        <f>TABLERO!B31&amp;IF(TABLERO!C31="","",","&amp;TABLERO!C31)&amp;IF(TABLERO!D31="","",","&amp;TABLERO!D31)</f>
        <v>1,3,5</v>
      </c>
      <c r="B31" s="738">
        <f>'CUADRO (1)'!AI31</f>
        <v>12404</v>
      </c>
      <c r="C31" s="679" t="str">
        <f>IF(B31="","",TABLERO!H31)</f>
        <v>TB</v>
      </c>
      <c r="D31" s="680">
        <f>IF(B31="","",'CUADRO (1)'!AJ31)</f>
        <v>36.211829275413088</v>
      </c>
      <c r="E31" s="680">
        <f>IF(B31="","",TABLERO!CS31)</f>
        <v>1</v>
      </c>
      <c r="F31" s="680">
        <f>IF(B31="","",TABLERO!CT31)</f>
        <v>0.8</v>
      </c>
      <c r="G31" s="680">
        <f>IF(B31="","",TABLERO!CU31)</f>
        <v>0</v>
      </c>
      <c r="H31" s="680">
        <f>IF(B31="","",TABLERO!CY31)</f>
        <v>45.264786594266354</v>
      </c>
      <c r="I31" s="680">
        <f>IF(B31="","",TABLERO!CZ31)</f>
        <v>0</v>
      </c>
      <c r="J31" s="718">
        <f>IF(B31="","",TABLERO!DC31)</f>
        <v>8</v>
      </c>
      <c r="K31" s="680">
        <f>IF(B31="","",TABLERO!DD31)</f>
        <v>50</v>
      </c>
      <c r="L31" s="679">
        <f>IF(B31="","",IF(C31="M",TABLERO!$F$20,TABLERO!$F$19))</f>
        <v>100</v>
      </c>
      <c r="M31" s="680">
        <f>IF(B31="","",TABLERO!DL31)</f>
        <v>36.211829275413088</v>
      </c>
      <c r="N31" s="720" t="str">
        <f>IF(B31="","",'CUADRO (1)'!AZ31)</f>
        <v>3P-60A</v>
      </c>
    </row>
    <row r="32" spans="1:14">
      <c r="A32" s="678" t="str">
        <f>TABLERO!B32&amp;IF(TABLERO!C32="","",","&amp;TABLERO!C32)&amp;IF(TABLERO!D32="","",","&amp;TABLERO!D32)</f>
        <v>2,4,6</v>
      </c>
      <c r="B32" s="738">
        <f>'CUADRO (1)'!AI32</f>
        <v>9831.9999999999982</v>
      </c>
      <c r="C32" s="679" t="str">
        <f>IF(B32="","",TABLERO!H32)</f>
        <v>TB</v>
      </c>
      <c r="D32" s="680">
        <f>IF(B32="","",'CUADRO (1)'!AJ32)</f>
        <v>28.703217142523496</v>
      </c>
      <c r="E32" s="680">
        <f>IF(B32="","",TABLERO!CS32)</f>
        <v>1</v>
      </c>
      <c r="F32" s="680">
        <f>IF(B32="","",TABLERO!CT32)</f>
        <v>0.8</v>
      </c>
      <c r="G32" s="680">
        <f>IF(B32="","",TABLERO!CU32)</f>
        <v>0</v>
      </c>
      <c r="H32" s="680">
        <f>IF(B32="","",TABLERO!CY32)</f>
        <v>35.879021428154367</v>
      </c>
      <c r="I32" s="680">
        <f>IF(B32="","",TABLERO!CZ32)</f>
        <v>0</v>
      </c>
      <c r="J32" s="718">
        <f>IF(B32="","",TABLERO!DC32)</f>
        <v>8</v>
      </c>
      <c r="K32" s="680">
        <f>IF(B32="","",TABLERO!DD32)</f>
        <v>50</v>
      </c>
      <c r="L32" s="679">
        <f>IF(B32="","",IF(C32="M",TABLERO!$F$20,TABLERO!$F$19))</f>
        <v>100</v>
      </c>
      <c r="M32" s="680">
        <f>IF(B32="","",TABLERO!DL32)</f>
        <v>28.703217142523496</v>
      </c>
      <c r="N32" s="720" t="str">
        <f>IF(B32="","",'CUADRO (1)'!AZ32)</f>
        <v>3P-60A</v>
      </c>
    </row>
    <row r="33" spans="1:14">
      <c r="A33" s="678" t="str">
        <f>TABLERO!B33&amp;IF(TABLERO!C33="","",","&amp;TABLERO!C33)&amp;IF(TABLERO!D33="","",","&amp;TABLERO!D33)</f>
        <v>7,9,11</v>
      </c>
      <c r="B33" s="738">
        <f>'CUADRO (1)'!AI33</f>
        <v>30000</v>
      </c>
      <c r="C33" s="679" t="str">
        <f>IF(B33="","",TABLERO!H33)</f>
        <v>TB</v>
      </c>
      <c r="D33" s="680">
        <f>IF(B33="","",'CUADRO (1)'!AJ33)</f>
        <v>87.581012436503769</v>
      </c>
      <c r="E33" s="680">
        <f>IF(B33="","",TABLERO!CS33)</f>
        <v>1</v>
      </c>
      <c r="F33" s="680">
        <f>IF(B33="","",TABLERO!CT33)</f>
        <v>0.8</v>
      </c>
      <c r="G33" s="680">
        <f>IF(B33="","",TABLERO!CU33)</f>
        <v>0</v>
      </c>
      <c r="H33" s="680">
        <f>IF(B33="","",TABLERO!CY33)</f>
        <v>109.4762655456297</v>
      </c>
      <c r="I33" s="680">
        <f>IF(B33="","",TABLERO!CZ33)</f>
        <v>0</v>
      </c>
      <c r="J33" s="718" t="str">
        <f>IF(B33="","",TABLERO!DC33)</f>
        <v>1/0</v>
      </c>
      <c r="K33" s="680">
        <f>IF(B33="","",TABLERO!DD33)</f>
        <v>135</v>
      </c>
      <c r="L33" s="679">
        <f>IF(B33="","",IF(C33="M",TABLERO!$F$20,TABLERO!$F$19))</f>
        <v>100</v>
      </c>
      <c r="M33" s="680">
        <f>IF(B33="","",TABLERO!DL33)</f>
        <v>87.581012436503769</v>
      </c>
      <c r="N33" s="720" t="str">
        <f>IF(B33="","",'CUADRO (1)'!AZ33)</f>
        <v>3P-150A</v>
      </c>
    </row>
    <row r="34" spans="1:14">
      <c r="A34" s="678" t="str">
        <f>TABLERO!B34&amp;IF(TABLERO!C34="","",","&amp;TABLERO!C34)&amp;IF(TABLERO!D34="","",","&amp;TABLERO!D34)</f>
        <v>8,10,12</v>
      </c>
      <c r="B34" s="738">
        <f>'CUADRO (1)'!AI34</f>
        <v>15825.348000000002</v>
      </c>
      <c r="C34" s="679" t="str">
        <f>IF(B34="","",TABLERO!H34)</f>
        <v>M</v>
      </c>
      <c r="D34" s="680">
        <f>IF(B34="","",'CUADRO (1)'!AJ34)</f>
        <v>46.2</v>
      </c>
      <c r="E34" s="680">
        <f>IF(B34="","",TABLERO!CS34)</f>
        <v>1</v>
      </c>
      <c r="F34" s="680">
        <f>IF(B34="","",TABLERO!CT34)</f>
        <v>0.7</v>
      </c>
      <c r="G34" s="680">
        <f>IF(B34="","",TABLERO!CU34)</f>
        <v>0</v>
      </c>
      <c r="H34" s="680">
        <f>IF(B34="","",TABLERO!CY34)</f>
        <v>82.5</v>
      </c>
      <c r="I34" s="680">
        <f>IF(B34="","",TABLERO!CZ34)</f>
        <v>0</v>
      </c>
      <c r="J34" s="718">
        <f>IF(B34="","",TABLERO!DC34)</f>
        <v>2</v>
      </c>
      <c r="K34" s="680">
        <f>IF(B34="","",TABLERO!DD34)</f>
        <v>90</v>
      </c>
      <c r="L34" s="679">
        <f>IF(B34="","",IF(C34="M",TABLERO!$F$20,TABLERO!$F$19))</f>
        <v>150</v>
      </c>
      <c r="M34" s="680">
        <f>IF(B34="","",TABLERO!DL34)</f>
        <v>69.300000000000011</v>
      </c>
      <c r="N34" s="720" t="str">
        <f>IF(B34="","",'CUADRO (1)'!AZ34)</f>
        <v>3P-70A</v>
      </c>
    </row>
    <row r="35" spans="1:14">
      <c r="A35" s="678" t="str">
        <f>TABLERO!B35&amp;IF(TABLERO!C35="","",","&amp;TABLERO!C35)&amp;IF(TABLERO!D35="","",","&amp;TABLERO!D35)</f>
        <v>13,15,17</v>
      </c>
      <c r="B35" s="738">
        <f>'CUADRO (1)'!AI35</f>
        <v>5720.4179999999997</v>
      </c>
      <c r="C35" s="679" t="str">
        <f>IF(B35="","",TABLERO!H35)</f>
        <v>M</v>
      </c>
      <c r="D35" s="680">
        <f>IF(B35="","",'CUADRO (1)'!AJ35)</f>
        <v>16.7</v>
      </c>
      <c r="E35" s="680">
        <f>IF(B35="","",TABLERO!CS35)</f>
        <v>1</v>
      </c>
      <c r="F35" s="680">
        <f>IF(B35="","",TABLERO!CT35)</f>
        <v>0.7</v>
      </c>
      <c r="G35" s="680">
        <f>IF(B35="","",TABLERO!CU35)</f>
        <v>0</v>
      </c>
      <c r="H35" s="680">
        <f>IF(B35="","",TABLERO!CY35)</f>
        <v>29.821428571428573</v>
      </c>
      <c r="I35" s="680">
        <f>IF(B35="","",TABLERO!CZ35)</f>
        <v>0</v>
      </c>
      <c r="J35" s="718">
        <f>IF(B35="","",TABLERO!DC35)</f>
        <v>10</v>
      </c>
      <c r="K35" s="680">
        <f>IF(B35="","",TABLERO!DD35)</f>
        <v>35</v>
      </c>
      <c r="L35" s="679">
        <f>IF(B35="","",IF(C35="M",TABLERO!$F$20,TABLERO!$F$19))</f>
        <v>150</v>
      </c>
      <c r="M35" s="680">
        <f>IF(B35="","",TABLERO!DL35)</f>
        <v>25.049999999999997</v>
      </c>
      <c r="N35" s="720" t="str">
        <f>IF(B35="","",'CUADRO (1)'!AZ35)</f>
        <v>3P-30A</v>
      </c>
    </row>
    <row r="36" spans="1:14">
      <c r="A36" s="678" t="str">
        <f>TABLERO!B36&amp;IF(TABLERO!C36="","",","&amp;TABLERO!C36)&amp;IF(TABLERO!D36="","",","&amp;TABLERO!D36)</f>
        <v>14,16,18</v>
      </c>
      <c r="B36" s="738">
        <f>'CUADRO (1)'!AI36</f>
        <v>5720.4179999999997</v>
      </c>
      <c r="C36" s="679" t="str">
        <f>IF(B36="","",TABLERO!H36)</f>
        <v>M</v>
      </c>
      <c r="D36" s="680">
        <f>IF(B36="","",'CUADRO (1)'!AJ36)</f>
        <v>16.7</v>
      </c>
      <c r="E36" s="680">
        <f>IF(B36="","",TABLERO!CS36)</f>
        <v>1</v>
      </c>
      <c r="F36" s="680">
        <f>IF(B36="","",TABLERO!CT36)</f>
        <v>0.7</v>
      </c>
      <c r="G36" s="680">
        <f>IF(B36="","",TABLERO!CU36)</f>
        <v>0</v>
      </c>
      <c r="H36" s="680">
        <f>IF(B36="","",TABLERO!CY36)</f>
        <v>29.821428571428573</v>
      </c>
      <c r="I36" s="680">
        <f>IF(B36="","",TABLERO!CZ36)</f>
        <v>0</v>
      </c>
      <c r="J36" s="718">
        <f>IF(B36="","",TABLERO!DC36)</f>
        <v>10</v>
      </c>
      <c r="K36" s="680">
        <f>IF(B36="","",TABLERO!DD36)</f>
        <v>35</v>
      </c>
      <c r="L36" s="679">
        <f>IF(B36="","",IF(C36="M",TABLERO!$F$20,TABLERO!$F$19))</f>
        <v>150</v>
      </c>
      <c r="M36" s="680">
        <f>IF(B36="","",TABLERO!DL36)</f>
        <v>25.049999999999997</v>
      </c>
      <c r="N36" s="720" t="str">
        <f>IF(B36="","",'CUADRO (1)'!AZ36)</f>
        <v>3P-30A</v>
      </c>
    </row>
    <row r="37" spans="1:14">
      <c r="A37" s="678" t="str">
        <f>TABLERO!B37&amp;IF(TABLERO!C37="","",","&amp;TABLERO!C37)&amp;IF(TABLERO!D37="","",","&amp;TABLERO!D37)</f>
        <v>19,21,23</v>
      </c>
      <c r="B37" s="738">
        <f>'CUADRO (1)'!AI37</f>
        <v>5720.4179999999997</v>
      </c>
      <c r="C37" s="679" t="str">
        <f>IF(B37="","",TABLERO!H37)</f>
        <v>M</v>
      </c>
      <c r="D37" s="680">
        <f>IF(B37="","",'CUADRO (1)'!AJ37)</f>
        <v>16.7</v>
      </c>
      <c r="E37" s="680">
        <f>IF(B37="","",TABLERO!CS37)</f>
        <v>1</v>
      </c>
      <c r="F37" s="680">
        <f>IF(B37="","",TABLERO!CT37)</f>
        <v>0.7</v>
      </c>
      <c r="G37" s="680">
        <f>IF(B37="","",TABLERO!CU37)</f>
        <v>0</v>
      </c>
      <c r="H37" s="680">
        <f>IF(B37="","",TABLERO!CY37)</f>
        <v>29.821428571428573</v>
      </c>
      <c r="I37" s="680">
        <f>IF(B37="","",TABLERO!CZ37)</f>
        <v>0</v>
      </c>
      <c r="J37" s="718">
        <f>IF(B37="","",TABLERO!DC37)</f>
        <v>10</v>
      </c>
      <c r="K37" s="680">
        <f>IF(B37="","",TABLERO!DD37)</f>
        <v>35</v>
      </c>
      <c r="L37" s="679">
        <f>IF(B37="","",IF(C37="M",TABLERO!$F$20,TABLERO!$F$19))</f>
        <v>150</v>
      </c>
      <c r="M37" s="680">
        <f>IF(B37="","",TABLERO!DL37)</f>
        <v>25.049999999999997</v>
      </c>
      <c r="N37" s="720" t="str">
        <f>IF(B37="","",'CUADRO (1)'!AZ37)</f>
        <v>3P-30A</v>
      </c>
    </row>
    <row r="38" spans="1:14">
      <c r="A38" s="678" t="str">
        <f>TABLERO!B38&amp;IF(TABLERO!C38="","",","&amp;TABLERO!C38)&amp;IF(TABLERO!D38="","",","&amp;TABLERO!D38)</f>
        <v>24,26,28</v>
      </c>
      <c r="B38" s="738">
        <f>'CUADRO (1)'!AI38</f>
        <v>5720.4179999999997</v>
      </c>
      <c r="C38" s="679" t="str">
        <f>IF(B38="","",TABLERO!H38)</f>
        <v>M</v>
      </c>
      <c r="D38" s="680">
        <f>IF(B38="","",'CUADRO (1)'!AJ38)</f>
        <v>16.7</v>
      </c>
      <c r="E38" s="680">
        <f>IF(B38="","",TABLERO!CS38)</f>
        <v>1</v>
      </c>
      <c r="F38" s="680">
        <f>IF(B38="","",TABLERO!CT38)</f>
        <v>0.7</v>
      </c>
      <c r="G38" s="680">
        <f>IF(B38="","",TABLERO!CU38)</f>
        <v>0</v>
      </c>
      <c r="H38" s="680">
        <f>IF(B38="","",TABLERO!CY38)</f>
        <v>29.821428571428573</v>
      </c>
      <c r="I38" s="680">
        <f>IF(B38="","",TABLERO!CZ38)</f>
        <v>0</v>
      </c>
      <c r="J38" s="718">
        <f>IF(B38="","",TABLERO!DC38)</f>
        <v>10</v>
      </c>
      <c r="K38" s="680">
        <f>IF(B38="","",TABLERO!DD38)</f>
        <v>35</v>
      </c>
      <c r="L38" s="679">
        <f>IF(B38="","",IF(C38="M",TABLERO!$F$20,TABLERO!$F$19))</f>
        <v>150</v>
      </c>
      <c r="M38" s="680">
        <f>IF(B38="","",TABLERO!DL38)</f>
        <v>25.049999999999997</v>
      </c>
      <c r="N38" s="720" t="str">
        <f>IF(B38="","",'CUADRO (1)'!AZ38)</f>
        <v>3P-30A</v>
      </c>
    </row>
    <row r="39" spans="1:14">
      <c r="A39" s="678" t="str">
        <f>TABLERO!B39&amp;IF(TABLERO!C39="","",","&amp;TABLERO!C39)&amp;IF(TABLERO!D39="","",","&amp;TABLERO!D39)</f>
        <v>25,27,29</v>
      </c>
      <c r="B39" s="738">
        <f>'CUADRO (1)'!AI39</f>
        <v>2500</v>
      </c>
      <c r="C39" s="679" t="str">
        <f>IF(B39="","",TABLERO!H39)</f>
        <v>R</v>
      </c>
      <c r="D39" s="680">
        <f>IF(B39="","",'CUADRO (1)'!AJ39)</f>
        <v>7.2984177030419799</v>
      </c>
      <c r="E39" s="680">
        <f>IF(B39="","",TABLERO!CS39)</f>
        <v>1</v>
      </c>
      <c r="F39" s="680">
        <f>IF(B39="","",TABLERO!CT39)</f>
        <v>0.7</v>
      </c>
      <c r="G39" s="680">
        <f>IF(B39="","",TABLERO!CU39)</f>
        <v>0</v>
      </c>
      <c r="H39" s="680">
        <f>IF(B39="","",TABLERO!CY39)</f>
        <v>10.426311004345687</v>
      </c>
      <c r="I39" s="680">
        <f>IF(B39="","",TABLERO!CZ39)</f>
        <v>0</v>
      </c>
      <c r="J39" s="718">
        <f>IF(B39="","",TABLERO!DC39)</f>
        <v>14</v>
      </c>
      <c r="K39" s="680">
        <f>IF(B39="","",TABLERO!DD39)</f>
        <v>20</v>
      </c>
      <c r="L39" s="679">
        <f>IF(B39="","",IF(C39="M",TABLERO!$F$20,TABLERO!$F$19))</f>
        <v>100</v>
      </c>
      <c r="M39" s="680">
        <f>IF(B39="","",TABLERO!DL39)</f>
        <v>7.2984177030419799</v>
      </c>
      <c r="N39" s="720" t="str">
        <f>IF(B39="","",'CUADRO (1)'!AZ39)</f>
        <v>3P-20A</v>
      </c>
    </row>
    <row r="40" spans="1:14">
      <c r="A40" s="678" t="str">
        <f>TABLERO!B40&amp;IF(TABLERO!C40="","",","&amp;TABLERO!C40)&amp;IF(TABLERO!D40="","",","&amp;TABLERO!D40)</f>
        <v/>
      </c>
      <c r="B40" s="738" t="str">
        <f>'CUADRO (1)'!AI40</f>
        <v/>
      </c>
      <c r="C40" s="679" t="str">
        <f>IF(B40="","",TABLERO!H40)</f>
        <v/>
      </c>
      <c r="D40" s="680" t="str">
        <f>IF(B40="","",'CUADRO (1)'!AJ40)</f>
        <v/>
      </c>
      <c r="E40" s="680" t="str">
        <f>IF(B40="","",TABLERO!CS40)</f>
        <v/>
      </c>
      <c r="F40" s="680" t="str">
        <f>IF(B40="","",TABLERO!CT40)</f>
        <v/>
      </c>
      <c r="G40" s="680" t="str">
        <f>IF(B40="","",TABLERO!CU40)</f>
        <v/>
      </c>
      <c r="H40" s="680" t="str">
        <f>IF(B40="","",TABLERO!CY40)</f>
        <v/>
      </c>
      <c r="I40" s="680" t="str">
        <f>IF(B40="","",TABLERO!CZ40)</f>
        <v/>
      </c>
      <c r="J40" s="718" t="str">
        <f>IF(B40="","",TABLERO!DC40)</f>
        <v/>
      </c>
      <c r="K40" s="680" t="str">
        <f>IF(B40="","",TABLERO!DD40)</f>
        <v/>
      </c>
      <c r="L40" s="679" t="str">
        <f>IF(B40="","",IF(C40="M",TABLERO!$F$20,TABLERO!$F$19))</f>
        <v/>
      </c>
      <c r="M40" s="680" t="str">
        <f>IF(B40="","",TABLERO!DL40)</f>
        <v/>
      </c>
      <c r="N40" s="720" t="str">
        <f>IF(B40="","",'CUADRO (1)'!AZ40)</f>
        <v/>
      </c>
    </row>
    <row r="41" spans="1:14">
      <c r="A41" s="678" t="str">
        <f>TABLERO!B41&amp;IF(TABLERO!C41="","",","&amp;TABLERO!C41)&amp;IF(TABLERO!D41="","",","&amp;TABLERO!D41)</f>
        <v/>
      </c>
      <c r="B41" s="738" t="str">
        <f>'CUADRO (1)'!AI41</f>
        <v/>
      </c>
      <c r="C41" s="679" t="str">
        <f>IF(B41="","",TABLERO!H41)</f>
        <v/>
      </c>
      <c r="D41" s="680" t="str">
        <f>IF(B41="","",'CUADRO (1)'!AJ41)</f>
        <v/>
      </c>
      <c r="E41" s="680" t="str">
        <f>IF(B41="","",TABLERO!CS41)</f>
        <v/>
      </c>
      <c r="F41" s="680" t="str">
        <f>IF(B41="","",TABLERO!CT41)</f>
        <v/>
      </c>
      <c r="G41" s="680" t="str">
        <f>IF(B41="","",TABLERO!CU41)</f>
        <v/>
      </c>
      <c r="H41" s="680" t="str">
        <f>IF(B41="","",TABLERO!CY41)</f>
        <v/>
      </c>
      <c r="I41" s="680" t="str">
        <f>IF(B41="","",TABLERO!CZ41)</f>
        <v/>
      </c>
      <c r="J41" s="718" t="str">
        <f>IF(B41="","",TABLERO!DC41)</f>
        <v/>
      </c>
      <c r="K41" s="680" t="str">
        <f>IF(B41="","",TABLERO!DD41)</f>
        <v/>
      </c>
      <c r="L41" s="679" t="str">
        <f>IF(B41="","",IF(C41="M",TABLERO!$F$20,TABLERO!$F$19))</f>
        <v/>
      </c>
      <c r="M41" s="680" t="str">
        <f>IF(B41="","",TABLERO!DL41)</f>
        <v/>
      </c>
      <c r="N41" s="720" t="str">
        <f>IF(B41="","",'CUADRO (1)'!AZ41)</f>
        <v/>
      </c>
    </row>
    <row r="42" spans="1:14">
      <c r="A42" s="678" t="str">
        <f>TABLERO!B42&amp;IF(TABLERO!C42="","",","&amp;TABLERO!C42)&amp;IF(TABLERO!D42="","",","&amp;TABLERO!D42)</f>
        <v/>
      </c>
      <c r="B42" s="738" t="str">
        <f>'CUADRO (1)'!AI42</f>
        <v/>
      </c>
      <c r="C42" s="679" t="str">
        <f>IF(B42="","",TABLERO!H42)</f>
        <v/>
      </c>
      <c r="D42" s="680" t="str">
        <f>IF(B42="","",'CUADRO (1)'!AJ42)</f>
        <v/>
      </c>
      <c r="E42" s="680" t="str">
        <f>IF(B42="","",TABLERO!CS42)</f>
        <v/>
      </c>
      <c r="F42" s="680" t="str">
        <f>IF(B42="","",TABLERO!CT42)</f>
        <v/>
      </c>
      <c r="G42" s="680" t="str">
        <f>IF(B42="","",TABLERO!CU42)</f>
        <v/>
      </c>
      <c r="H42" s="680" t="str">
        <f>IF(B42="","",TABLERO!CY42)</f>
        <v/>
      </c>
      <c r="I42" s="680" t="str">
        <f>IF(B42="","",TABLERO!CZ42)</f>
        <v/>
      </c>
      <c r="J42" s="718" t="str">
        <f>IF(B42="","",TABLERO!DC42)</f>
        <v/>
      </c>
      <c r="K42" s="680" t="str">
        <f>IF(B42="","",TABLERO!DD42)</f>
        <v/>
      </c>
      <c r="L42" s="679" t="str">
        <f>IF(B42="","",IF(C42="M",TABLERO!$F$20,TABLERO!$F$19))</f>
        <v/>
      </c>
      <c r="M42" s="680" t="str">
        <f>IF(B42="","",TABLERO!DL42)</f>
        <v/>
      </c>
      <c r="N42" s="720" t="str">
        <f>IF(B42="","",'CUADRO (1)'!AZ42)</f>
        <v/>
      </c>
    </row>
    <row r="43" spans="1:14">
      <c r="A43" s="678" t="str">
        <f>TABLERO!B43&amp;IF(TABLERO!C43="","",","&amp;TABLERO!C43)&amp;IF(TABLERO!D43="","",","&amp;TABLERO!D43)</f>
        <v/>
      </c>
      <c r="B43" s="738" t="str">
        <f>'CUADRO (1)'!AI43</f>
        <v/>
      </c>
      <c r="C43" s="679" t="str">
        <f>IF(B43="","",TABLERO!H43)</f>
        <v/>
      </c>
      <c r="D43" s="680" t="str">
        <f>IF(B43="","",'CUADRO (1)'!AJ43)</f>
        <v/>
      </c>
      <c r="E43" s="680" t="str">
        <f>IF(B43="","",TABLERO!CS43)</f>
        <v/>
      </c>
      <c r="F43" s="680" t="str">
        <f>IF(B43="","",TABLERO!CT43)</f>
        <v/>
      </c>
      <c r="G43" s="680" t="str">
        <f>IF(B43="","",TABLERO!CU43)</f>
        <v/>
      </c>
      <c r="H43" s="680" t="str">
        <f>IF(B43="","",TABLERO!CY43)</f>
        <v/>
      </c>
      <c r="I43" s="680" t="str">
        <f>IF(B43="","",TABLERO!CZ43)</f>
        <v/>
      </c>
      <c r="J43" s="718" t="str">
        <f>IF(B43="","",TABLERO!DC43)</f>
        <v/>
      </c>
      <c r="K43" s="680" t="str">
        <f>IF(B43="","",TABLERO!DD43)</f>
        <v/>
      </c>
      <c r="L43" s="679" t="str">
        <f>IF(B43="","",IF(C43="M",TABLERO!$F$20,TABLERO!$F$19))</f>
        <v/>
      </c>
      <c r="M43" s="680" t="str">
        <f>IF(B43="","",TABLERO!DL43)</f>
        <v/>
      </c>
      <c r="N43" s="720" t="str">
        <f>IF(B43="","",'CUADRO (1)'!AZ43)</f>
        <v/>
      </c>
    </row>
    <row r="44" spans="1:14">
      <c r="A44" s="678" t="str">
        <f>TABLERO!B44&amp;IF(TABLERO!C44="","",","&amp;TABLERO!C44)&amp;IF(TABLERO!D44="","",","&amp;TABLERO!D44)</f>
        <v/>
      </c>
      <c r="B44" s="738" t="str">
        <f>'CUADRO (1)'!AI44</f>
        <v/>
      </c>
      <c r="C44" s="679" t="str">
        <f>IF(B44="","",TABLERO!H44)</f>
        <v/>
      </c>
      <c r="D44" s="680" t="str">
        <f>IF(B44="","",'CUADRO (1)'!AJ44)</f>
        <v/>
      </c>
      <c r="E44" s="680" t="str">
        <f>IF(B44="","",TABLERO!CS44)</f>
        <v/>
      </c>
      <c r="F44" s="680" t="str">
        <f>IF(B44="","",TABLERO!CT44)</f>
        <v/>
      </c>
      <c r="G44" s="680" t="str">
        <f>IF(B44="","",TABLERO!CU44)</f>
        <v/>
      </c>
      <c r="H44" s="680" t="str">
        <f>IF(B44="","",TABLERO!CY44)</f>
        <v/>
      </c>
      <c r="I44" s="680" t="str">
        <f>IF(B44="","",TABLERO!CZ44)</f>
        <v/>
      </c>
      <c r="J44" s="718" t="str">
        <f>IF(B44="","",TABLERO!DC44)</f>
        <v/>
      </c>
      <c r="K44" s="680" t="str">
        <f>IF(B44="","",TABLERO!DD44)</f>
        <v/>
      </c>
      <c r="L44" s="679" t="str">
        <f>IF(B44="","",IF(C44="M",TABLERO!$F$20,TABLERO!$F$19))</f>
        <v/>
      </c>
      <c r="M44" s="680" t="str">
        <f>IF(B44="","",TABLERO!DL44)</f>
        <v/>
      </c>
      <c r="N44" s="720" t="str">
        <f>IF(B44="","",'CUADRO (1)'!AZ44)</f>
        <v/>
      </c>
    </row>
    <row r="45" spans="1:14">
      <c r="A45" s="678" t="str">
        <f>TABLERO!B45&amp;IF(TABLERO!C45="","",","&amp;TABLERO!C45)&amp;IF(TABLERO!D45="","",","&amp;TABLERO!D45)</f>
        <v/>
      </c>
      <c r="B45" s="738" t="str">
        <f>'CUADRO (1)'!AI45</f>
        <v/>
      </c>
      <c r="C45" s="679" t="str">
        <f>IF(B45="","",TABLERO!H45)</f>
        <v/>
      </c>
      <c r="D45" s="680" t="str">
        <f>IF(B45="","",'CUADRO (1)'!AJ45)</f>
        <v/>
      </c>
      <c r="E45" s="680" t="str">
        <f>IF(B45="","",TABLERO!CS45)</f>
        <v/>
      </c>
      <c r="F45" s="680" t="str">
        <f>IF(B45="","",TABLERO!CT45)</f>
        <v/>
      </c>
      <c r="G45" s="680" t="str">
        <f>IF(B45="","",TABLERO!CU45)</f>
        <v/>
      </c>
      <c r="H45" s="680" t="str">
        <f>IF(B45="","",TABLERO!CY45)</f>
        <v/>
      </c>
      <c r="I45" s="680" t="str">
        <f>IF(B45="","",TABLERO!CZ45)</f>
        <v/>
      </c>
      <c r="J45" s="718" t="str">
        <f>IF(B45="","",TABLERO!DC45)</f>
        <v/>
      </c>
      <c r="K45" s="680" t="str">
        <f>IF(B45="","",TABLERO!DD45)</f>
        <v/>
      </c>
      <c r="L45" s="679" t="str">
        <f>IF(B45="","",IF(C45="M",TABLERO!$F$20,TABLERO!$F$19))</f>
        <v/>
      </c>
      <c r="M45" s="680" t="str">
        <f>IF(B45="","",TABLERO!DL45)</f>
        <v/>
      </c>
      <c r="N45" s="720" t="str">
        <f>IF(B45="","",'CUADRO (1)'!AZ45)</f>
        <v/>
      </c>
    </row>
    <row r="46" spans="1:14">
      <c r="A46" s="678" t="str">
        <f>TABLERO!B46&amp;IF(TABLERO!C46="","",","&amp;TABLERO!C46)&amp;IF(TABLERO!D46="","",","&amp;TABLERO!D46)</f>
        <v/>
      </c>
      <c r="B46" s="738" t="str">
        <f>'CUADRO (1)'!AI46</f>
        <v/>
      </c>
      <c r="C46" s="679" t="str">
        <f>IF(B46="","",TABLERO!H46)</f>
        <v/>
      </c>
      <c r="D46" s="680" t="str">
        <f>IF(B46="","",'CUADRO (1)'!AJ46)</f>
        <v/>
      </c>
      <c r="E46" s="680" t="str">
        <f>IF(B46="","",TABLERO!CS46)</f>
        <v/>
      </c>
      <c r="F46" s="680" t="str">
        <f>IF(B46="","",TABLERO!CT46)</f>
        <v/>
      </c>
      <c r="G46" s="680" t="str">
        <f>IF(B46="","",TABLERO!CU46)</f>
        <v/>
      </c>
      <c r="H46" s="680" t="str">
        <f>IF(B46="","",TABLERO!CY46)</f>
        <v/>
      </c>
      <c r="I46" s="680" t="str">
        <f>IF(B46="","",TABLERO!CZ46)</f>
        <v/>
      </c>
      <c r="J46" s="718" t="str">
        <f>IF(B46="","",TABLERO!DC46)</f>
        <v/>
      </c>
      <c r="K46" s="680" t="str">
        <f>IF(B46="","",TABLERO!DD46)</f>
        <v/>
      </c>
      <c r="L46" s="679" t="str">
        <f>IF(B46="","",IF(C46="M",TABLERO!$F$20,TABLERO!$F$19))</f>
        <v/>
      </c>
      <c r="M46" s="680" t="str">
        <f>IF(B46="","",TABLERO!DL46)</f>
        <v/>
      </c>
      <c r="N46" s="720" t="str">
        <f>IF(B46="","",'CUADRO (1)'!AZ46)</f>
        <v/>
      </c>
    </row>
    <row r="47" spans="1:14">
      <c r="A47" s="678" t="str">
        <f>TABLERO!B47&amp;IF(TABLERO!C47="","",","&amp;TABLERO!C47)&amp;IF(TABLERO!D47="","",","&amp;TABLERO!D47)</f>
        <v/>
      </c>
      <c r="B47" s="738" t="str">
        <f>'CUADRO (1)'!AI47</f>
        <v/>
      </c>
      <c r="C47" s="679" t="str">
        <f>IF(B47="","",TABLERO!H47)</f>
        <v/>
      </c>
      <c r="D47" s="680" t="str">
        <f>IF(B47="","",'CUADRO (1)'!AJ47)</f>
        <v/>
      </c>
      <c r="E47" s="680" t="str">
        <f>IF(B47="","",TABLERO!CS47)</f>
        <v/>
      </c>
      <c r="F47" s="680" t="str">
        <f>IF(B47="","",TABLERO!CT47)</f>
        <v/>
      </c>
      <c r="G47" s="680" t="str">
        <f>IF(B47="","",TABLERO!CU47)</f>
        <v/>
      </c>
      <c r="H47" s="680" t="str">
        <f>IF(B47="","",TABLERO!CY47)</f>
        <v/>
      </c>
      <c r="I47" s="680" t="str">
        <f>IF(B47="","",TABLERO!CZ47)</f>
        <v/>
      </c>
      <c r="J47" s="718" t="str">
        <f>IF(B47="","",TABLERO!DC47)</f>
        <v/>
      </c>
      <c r="K47" s="680" t="str">
        <f>IF(B47="","",TABLERO!DD47)</f>
        <v/>
      </c>
      <c r="L47" s="679" t="str">
        <f>IF(B47="","",IF(C47="M",TABLERO!$F$20,TABLERO!$F$19))</f>
        <v/>
      </c>
      <c r="M47" s="680" t="str">
        <f>IF(B47="","",TABLERO!DL47)</f>
        <v/>
      </c>
      <c r="N47" s="720" t="str">
        <f>IF(B47="","",'CUADRO (1)'!AZ47)</f>
        <v/>
      </c>
    </row>
    <row r="48" spans="1:14">
      <c r="A48" s="678" t="str">
        <f>TABLERO!B48&amp;IF(TABLERO!C48="","",","&amp;TABLERO!C48)&amp;IF(TABLERO!D48="","",","&amp;TABLERO!D48)</f>
        <v/>
      </c>
      <c r="B48" s="738" t="str">
        <f>'CUADRO (1)'!AI48</f>
        <v/>
      </c>
      <c r="C48" s="679" t="str">
        <f>IF(B48="","",TABLERO!H48)</f>
        <v/>
      </c>
      <c r="D48" s="680" t="str">
        <f>IF(B48="","",'CUADRO (1)'!AJ48)</f>
        <v/>
      </c>
      <c r="E48" s="680" t="str">
        <f>IF(B48="","",TABLERO!CS48)</f>
        <v/>
      </c>
      <c r="F48" s="680" t="str">
        <f>IF(B48="","",TABLERO!CT48)</f>
        <v/>
      </c>
      <c r="G48" s="680" t="str">
        <f>IF(B48="","",TABLERO!CU48)</f>
        <v/>
      </c>
      <c r="H48" s="680" t="str">
        <f>IF(B48="","",TABLERO!CY48)</f>
        <v/>
      </c>
      <c r="I48" s="680" t="str">
        <f>IF(B48="","",TABLERO!CZ48)</f>
        <v/>
      </c>
      <c r="J48" s="718" t="str">
        <f>IF(B48="","",TABLERO!DC48)</f>
        <v/>
      </c>
      <c r="K48" s="680" t="str">
        <f>IF(B48="","",TABLERO!DD48)</f>
        <v/>
      </c>
      <c r="L48" s="679" t="str">
        <f>IF(B48="","",IF(C48="M",TABLERO!$F$20,TABLERO!$F$19))</f>
        <v/>
      </c>
      <c r="M48" s="680" t="str">
        <f>IF(B48="","",TABLERO!DL48)</f>
        <v/>
      </c>
      <c r="N48" s="720" t="str">
        <f>IF(B48="","",'CUADRO (1)'!AZ48)</f>
        <v/>
      </c>
    </row>
    <row r="49" spans="1:14">
      <c r="A49" s="678" t="str">
        <f>TABLERO!B49&amp;IF(TABLERO!C49="","",","&amp;TABLERO!C49)&amp;IF(TABLERO!D49="","",","&amp;TABLERO!D49)</f>
        <v/>
      </c>
      <c r="B49" s="738" t="str">
        <f>'CUADRO (1)'!AI49</f>
        <v/>
      </c>
      <c r="C49" s="679" t="str">
        <f>IF(B49="","",TABLERO!H49)</f>
        <v/>
      </c>
      <c r="D49" s="680" t="str">
        <f>IF(B49="","",'CUADRO (1)'!AJ49)</f>
        <v/>
      </c>
      <c r="E49" s="680" t="str">
        <f>IF(B49="","",TABLERO!CS49)</f>
        <v/>
      </c>
      <c r="F49" s="680" t="str">
        <f>IF(B49="","",TABLERO!CT49)</f>
        <v/>
      </c>
      <c r="G49" s="680" t="str">
        <f>IF(B49="","",TABLERO!CU49)</f>
        <v/>
      </c>
      <c r="H49" s="680" t="str">
        <f>IF(B49="","",TABLERO!CY49)</f>
        <v/>
      </c>
      <c r="I49" s="680" t="str">
        <f>IF(B49="","",TABLERO!CZ49)</f>
        <v/>
      </c>
      <c r="J49" s="718" t="str">
        <f>IF(B49="","",TABLERO!DC49)</f>
        <v/>
      </c>
      <c r="K49" s="680" t="str">
        <f>IF(B49="","",TABLERO!DD49)</f>
        <v/>
      </c>
      <c r="L49" s="679" t="str">
        <f>IF(B49="","",IF(C49="M",TABLERO!$F$20,TABLERO!$F$19))</f>
        <v/>
      </c>
      <c r="M49" s="680" t="str">
        <f>IF(B49="","",TABLERO!DL49)</f>
        <v/>
      </c>
      <c r="N49" s="720" t="str">
        <f>IF(B49="","",'CUADRO (1)'!AZ49)</f>
        <v/>
      </c>
    </row>
    <row r="50" spans="1:14">
      <c r="A50" s="678" t="str">
        <f>TABLERO!B50&amp;IF(TABLERO!C50="","",","&amp;TABLERO!C50)&amp;IF(TABLERO!D50="","",","&amp;TABLERO!D50)</f>
        <v/>
      </c>
      <c r="B50" s="738" t="str">
        <f>'CUADRO (1)'!AI50</f>
        <v/>
      </c>
      <c r="C50" s="679" t="str">
        <f>IF(B50="","",TABLERO!H50)</f>
        <v/>
      </c>
      <c r="D50" s="680" t="str">
        <f>IF(B50="","",'CUADRO (1)'!AJ50)</f>
        <v/>
      </c>
      <c r="E50" s="680" t="str">
        <f>IF(B50="","",TABLERO!CS50)</f>
        <v/>
      </c>
      <c r="F50" s="680" t="str">
        <f>IF(B50="","",TABLERO!CT50)</f>
        <v/>
      </c>
      <c r="G50" s="680" t="str">
        <f>IF(B50="","",TABLERO!CU50)</f>
        <v/>
      </c>
      <c r="H50" s="680" t="str">
        <f>IF(B50="","",TABLERO!CY50)</f>
        <v/>
      </c>
      <c r="I50" s="680" t="str">
        <f>IF(B50="","",TABLERO!CZ50)</f>
        <v/>
      </c>
      <c r="J50" s="718" t="str">
        <f>IF(B50="","",TABLERO!DC50)</f>
        <v/>
      </c>
      <c r="K50" s="680" t="str">
        <f>IF(B50="","",TABLERO!DD50)</f>
        <v/>
      </c>
      <c r="L50" s="679" t="str">
        <f>IF(B50="","",IF(C50="M",TABLERO!$F$20,TABLERO!$F$19))</f>
        <v/>
      </c>
      <c r="M50" s="680" t="str">
        <f>IF(B50="","",TABLERO!DL50)</f>
        <v/>
      </c>
      <c r="N50" s="720" t="str">
        <f>IF(B50="","",'CUADRO (1)'!AZ50)</f>
        <v/>
      </c>
    </row>
    <row r="51" spans="1:14">
      <c r="A51" s="678" t="str">
        <f>TABLERO!B51&amp;IF(TABLERO!C51="","",","&amp;TABLERO!C51)&amp;IF(TABLERO!D51="","",","&amp;TABLERO!D51)</f>
        <v/>
      </c>
      <c r="B51" s="738" t="str">
        <f>'CUADRO (1)'!AI51</f>
        <v/>
      </c>
      <c r="C51" s="679" t="str">
        <f>IF(B51="","",TABLERO!H51)</f>
        <v/>
      </c>
      <c r="D51" s="680" t="str">
        <f>IF(B51="","",'CUADRO (1)'!AJ51)</f>
        <v/>
      </c>
      <c r="E51" s="680" t="str">
        <f>IF(B51="","",TABLERO!CS51)</f>
        <v/>
      </c>
      <c r="F51" s="680" t="str">
        <f>IF(B51="","",TABLERO!CT51)</f>
        <v/>
      </c>
      <c r="G51" s="680" t="str">
        <f>IF(B51="","",TABLERO!CU51)</f>
        <v/>
      </c>
      <c r="H51" s="680" t="str">
        <f>IF(B51="","",TABLERO!CY51)</f>
        <v/>
      </c>
      <c r="I51" s="680" t="str">
        <f>IF(B51="","",TABLERO!CZ51)</f>
        <v/>
      </c>
      <c r="J51" s="718" t="str">
        <f>IF(B51="","",TABLERO!DC51)</f>
        <v/>
      </c>
      <c r="K51" s="680" t="str">
        <f>IF(B51="","",TABLERO!DD51)</f>
        <v/>
      </c>
      <c r="L51" s="679" t="str">
        <f>IF(B51="","",IF(C51="M",TABLERO!$F$20,TABLERO!$F$19))</f>
        <v/>
      </c>
      <c r="M51" s="680" t="str">
        <f>IF(B51="","",TABLERO!DL51)</f>
        <v/>
      </c>
      <c r="N51" s="720" t="str">
        <f>IF(B51="","",'CUADRO (1)'!AZ51)</f>
        <v/>
      </c>
    </row>
    <row r="52" spans="1:14">
      <c r="A52" s="678" t="str">
        <f>TABLERO!B52&amp;IF(TABLERO!C52="","",","&amp;TABLERO!C52)&amp;IF(TABLERO!D52="","",","&amp;TABLERO!D52)</f>
        <v/>
      </c>
      <c r="B52" s="738" t="str">
        <f>'CUADRO (1)'!AI52</f>
        <v/>
      </c>
      <c r="C52" s="679" t="str">
        <f>IF(B52="","",TABLERO!H52)</f>
        <v/>
      </c>
      <c r="D52" s="680" t="str">
        <f>IF(B52="","",'CUADRO (1)'!AJ52)</f>
        <v/>
      </c>
      <c r="E52" s="680" t="str">
        <f>IF(B52="","",TABLERO!CS52)</f>
        <v/>
      </c>
      <c r="F52" s="680" t="str">
        <f>IF(B52="","",TABLERO!CT52)</f>
        <v/>
      </c>
      <c r="G52" s="680" t="str">
        <f>IF(B52="","",TABLERO!CU52)</f>
        <v/>
      </c>
      <c r="H52" s="680" t="str">
        <f>IF(B52="","",TABLERO!CY52)</f>
        <v/>
      </c>
      <c r="I52" s="680" t="str">
        <f>IF(B52="","",TABLERO!CZ52)</f>
        <v/>
      </c>
      <c r="J52" s="718" t="str">
        <f>IF(B52="","",TABLERO!DC52)</f>
        <v/>
      </c>
      <c r="K52" s="680" t="str">
        <f>IF(B52="","",TABLERO!DD52)</f>
        <v/>
      </c>
      <c r="L52" s="679" t="str">
        <f>IF(B52="","",IF(C52="M",TABLERO!$F$20,TABLERO!$F$19))</f>
        <v/>
      </c>
      <c r="M52" s="680" t="str">
        <f>IF(B52="","",TABLERO!DL52)</f>
        <v/>
      </c>
      <c r="N52" s="720" t="str">
        <f>IF(B52="","",'CUADRO (1)'!AZ52)</f>
        <v/>
      </c>
    </row>
    <row r="53" spans="1:14">
      <c r="A53" s="678" t="str">
        <f>TABLERO!B53&amp;IF(TABLERO!C53="","",","&amp;TABLERO!C53)&amp;IF(TABLERO!D53="","",","&amp;TABLERO!D53)</f>
        <v/>
      </c>
      <c r="B53" s="738" t="str">
        <f>'CUADRO (1)'!AI53</f>
        <v/>
      </c>
      <c r="C53" s="679" t="str">
        <f>IF(B53="","",TABLERO!H53)</f>
        <v/>
      </c>
      <c r="D53" s="680" t="str">
        <f>IF(B53="","",'CUADRO (1)'!AJ53)</f>
        <v/>
      </c>
      <c r="E53" s="680" t="str">
        <f>IF(B53="","",TABLERO!CS53)</f>
        <v/>
      </c>
      <c r="F53" s="680" t="str">
        <f>IF(B53="","",TABLERO!CT53)</f>
        <v/>
      </c>
      <c r="G53" s="680" t="str">
        <f>IF(B53="","",TABLERO!CU53)</f>
        <v/>
      </c>
      <c r="H53" s="680" t="str">
        <f>IF(B53="","",TABLERO!CY53)</f>
        <v/>
      </c>
      <c r="I53" s="680" t="str">
        <f>IF(B53="","",TABLERO!CZ53)</f>
        <v/>
      </c>
      <c r="J53" s="718" t="str">
        <f>IF(B53="","",TABLERO!DC53)</f>
        <v/>
      </c>
      <c r="K53" s="680" t="str">
        <f>IF(B53="","",TABLERO!DD53)</f>
        <v/>
      </c>
      <c r="L53" s="679" t="str">
        <f>IF(B53="","",IF(C53="M",TABLERO!$F$20,TABLERO!$F$19))</f>
        <v/>
      </c>
      <c r="M53" s="680" t="str">
        <f>IF(B53="","",TABLERO!DL53)</f>
        <v/>
      </c>
      <c r="N53" s="720" t="str">
        <f>IF(B53="","",'CUADRO (1)'!AZ53)</f>
        <v/>
      </c>
    </row>
    <row r="54" spans="1:14">
      <c r="A54" s="678" t="str">
        <f>TABLERO!B54&amp;IF(TABLERO!C54="","",","&amp;TABLERO!C54)&amp;IF(TABLERO!D54="","",","&amp;TABLERO!D54)</f>
        <v/>
      </c>
      <c r="B54" s="738" t="str">
        <f>'CUADRO (1)'!AI54</f>
        <v/>
      </c>
      <c r="C54" s="679" t="str">
        <f>IF(B54="","",TABLERO!H54)</f>
        <v/>
      </c>
      <c r="D54" s="680" t="str">
        <f>IF(B54="","",'CUADRO (1)'!AJ54)</f>
        <v/>
      </c>
      <c r="E54" s="680" t="str">
        <f>IF(B54="","",TABLERO!CS54)</f>
        <v/>
      </c>
      <c r="F54" s="680" t="str">
        <f>IF(B54="","",TABLERO!CT54)</f>
        <v/>
      </c>
      <c r="G54" s="680" t="str">
        <f>IF(B54="","",TABLERO!CU54)</f>
        <v/>
      </c>
      <c r="H54" s="680" t="str">
        <f>IF(B54="","",TABLERO!CY54)</f>
        <v/>
      </c>
      <c r="I54" s="680" t="str">
        <f>IF(B54="","",TABLERO!CZ54)</f>
        <v/>
      </c>
      <c r="J54" s="718" t="str">
        <f>IF(B54="","",TABLERO!DC54)</f>
        <v/>
      </c>
      <c r="K54" s="680" t="str">
        <f>IF(B54="","",TABLERO!DD54)</f>
        <v/>
      </c>
      <c r="L54" s="679" t="str">
        <f>IF(B54="","",IF(C54="M",TABLERO!$F$20,TABLERO!$F$19))</f>
        <v/>
      </c>
      <c r="M54" s="680" t="str">
        <f>IF(B54="","",TABLERO!DL54)</f>
        <v/>
      </c>
      <c r="N54" s="720" t="str">
        <f>IF(B54="","",'CUADRO (1)'!AZ54)</f>
        <v/>
      </c>
    </row>
    <row r="55" spans="1:14">
      <c r="A55" s="678" t="str">
        <f>TABLERO!B55&amp;IF(TABLERO!C55="","",","&amp;TABLERO!C55)&amp;IF(TABLERO!D55="","",","&amp;TABLERO!D55)</f>
        <v/>
      </c>
      <c r="B55" s="738" t="str">
        <f>'CUADRO (1)'!AI55</f>
        <v/>
      </c>
      <c r="C55" s="679" t="str">
        <f>IF(B55="","",TABLERO!H55)</f>
        <v/>
      </c>
      <c r="D55" s="680" t="str">
        <f>IF(B55="","",'CUADRO (1)'!AJ55)</f>
        <v/>
      </c>
      <c r="E55" s="680" t="str">
        <f>IF(B55="","",TABLERO!CS55)</f>
        <v/>
      </c>
      <c r="F55" s="680" t="str">
        <f>IF(B55="","",TABLERO!CT55)</f>
        <v/>
      </c>
      <c r="G55" s="680" t="str">
        <f>IF(B55="","",TABLERO!CU55)</f>
        <v/>
      </c>
      <c r="H55" s="680" t="str">
        <f>IF(B55="","",TABLERO!CY55)</f>
        <v/>
      </c>
      <c r="I55" s="680" t="str">
        <f>IF(B55="","",TABLERO!CZ55)</f>
        <v/>
      </c>
      <c r="J55" s="718" t="str">
        <f>IF(B55="","",TABLERO!DC55)</f>
        <v/>
      </c>
      <c r="K55" s="680" t="str">
        <f>IF(B55="","",TABLERO!DD55)</f>
        <v/>
      </c>
      <c r="L55" s="679" t="str">
        <f>IF(B55="","",IF(C55="M",TABLERO!$F$20,TABLERO!$F$19))</f>
        <v/>
      </c>
      <c r="M55" s="680" t="str">
        <f>IF(B55="","",TABLERO!DL55)</f>
        <v/>
      </c>
      <c r="N55" s="720" t="str">
        <f>IF(B55="","",'CUADRO (1)'!AZ55)</f>
        <v/>
      </c>
    </row>
    <row r="56" spans="1:14">
      <c r="A56" s="678" t="str">
        <f>TABLERO!B56&amp;IF(TABLERO!C56="","",","&amp;TABLERO!C56)&amp;IF(TABLERO!D56="","",","&amp;TABLERO!D56)</f>
        <v/>
      </c>
      <c r="B56" s="738" t="str">
        <f>'CUADRO (1)'!AI56</f>
        <v/>
      </c>
      <c r="C56" s="679" t="str">
        <f>IF(B56="","",TABLERO!H56)</f>
        <v/>
      </c>
      <c r="D56" s="680" t="str">
        <f>IF(B56="","",'CUADRO (1)'!AJ56)</f>
        <v/>
      </c>
      <c r="E56" s="680" t="str">
        <f>IF(B56="","",TABLERO!CS56)</f>
        <v/>
      </c>
      <c r="F56" s="680" t="str">
        <f>IF(B56="","",TABLERO!CT56)</f>
        <v/>
      </c>
      <c r="G56" s="680" t="str">
        <f>IF(B56="","",TABLERO!CU56)</f>
        <v/>
      </c>
      <c r="H56" s="680" t="str">
        <f>IF(B56="","",TABLERO!CY56)</f>
        <v/>
      </c>
      <c r="I56" s="680" t="str">
        <f>IF(B56="","",TABLERO!CZ56)</f>
        <v/>
      </c>
      <c r="J56" s="718" t="str">
        <f>IF(B56="","",TABLERO!DC56)</f>
        <v/>
      </c>
      <c r="K56" s="680" t="str">
        <f>IF(B56="","",TABLERO!DD56)</f>
        <v/>
      </c>
      <c r="L56" s="679" t="str">
        <f>IF(B56="","",IF(C56="M",TABLERO!$F$20,TABLERO!$F$19))</f>
        <v/>
      </c>
      <c r="M56" s="680" t="str">
        <f>IF(B56="","",TABLERO!DL56)</f>
        <v/>
      </c>
      <c r="N56" s="720" t="str">
        <f>IF(B56="","",'CUADRO (1)'!AZ56)</f>
        <v/>
      </c>
    </row>
    <row r="57" spans="1:14">
      <c r="A57" s="678" t="str">
        <f>TABLERO!B57&amp;IF(TABLERO!C57="","",","&amp;TABLERO!C57)&amp;IF(TABLERO!D57="","",","&amp;TABLERO!D57)</f>
        <v/>
      </c>
      <c r="B57" s="738" t="str">
        <f>'CUADRO (1)'!AI57</f>
        <v/>
      </c>
      <c r="C57" s="679" t="str">
        <f>IF(B57="","",TABLERO!H57)</f>
        <v/>
      </c>
      <c r="D57" s="680" t="str">
        <f>IF(B57="","",'CUADRO (1)'!AJ57)</f>
        <v/>
      </c>
      <c r="E57" s="680" t="str">
        <f>IF(B57="","",TABLERO!CS57)</f>
        <v/>
      </c>
      <c r="F57" s="680" t="str">
        <f>IF(B57="","",TABLERO!CT57)</f>
        <v/>
      </c>
      <c r="G57" s="680" t="str">
        <f>IF(B57="","",TABLERO!CU57)</f>
        <v/>
      </c>
      <c r="H57" s="680" t="str">
        <f>IF(B57="","",TABLERO!CY57)</f>
        <v/>
      </c>
      <c r="I57" s="680" t="str">
        <f>IF(B57="","",TABLERO!CZ57)</f>
        <v/>
      </c>
      <c r="J57" s="718" t="str">
        <f>IF(B57="","",TABLERO!DC57)</f>
        <v/>
      </c>
      <c r="K57" s="680" t="str">
        <f>IF(B57="","",TABLERO!DD57)</f>
        <v/>
      </c>
      <c r="L57" s="679" t="str">
        <f>IF(B57="","",IF(C57="M",TABLERO!$F$20,TABLERO!$F$19))</f>
        <v/>
      </c>
      <c r="M57" s="680" t="str">
        <f>IF(B57="","",TABLERO!DL57)</f>
        <v/>
      </c>
      <c r="N57" s="720" t="str">
        <f>IF(B57="","",'CUADRO (1)'!AZ57)</f>
        <v/>
      </c>
    </row>
    <row r="58" spans="1:14">
      <c r="A58" s="678" t="str">
        <f>TABLERO!B58&amp;IF(TABLERO!C58="","",","&amp;TABLERO!C58)&amp;IF(TABLERO!D58="","",","&amp;TABLERO!D58)</f>
        <v/>
      </c>
      <c r="B58" s="738" t="str">
        <f>'CUADRO (1)'!AI58</f>
        <v/>
      </c>
      <c r="C58" s="679" t="str">
        <f>IF(B58="","",TABLERO!H58)</f>
        <v/>
      </c>
      <c r="D58" s="680" t="str">
        <f>IF(B58="","",'CUADRO (1)'!AJ58)</f>
        <v/>
      </c>
      <c r="E58" s="680" t="str">
        <f>IF(B58="","",TABLERO!CS58)</f>
        <v/>
      </c>
      <c r="F58" s="680" t="str">
        <f>IF(B58="","",TABLERO!CT58)</f>
        <v/>
      </c>
      <c r="G58" s="680" t="str">
        <f>IF(B58="","",TABLERO!CU58)</f>
        <v/>
      </c>
      <c r="H58" s="680" t="str">
        <f>IF(B58="","",TABLERO!CY58)</f>
        <v/>
      </c>
      <c r="I58" s="680" t="str">
        <f>IF(B58="","",TABLERO!CZ58)</f>
        <v/>
      </c>
      <c r="J58" s="718" t="str">
        <f>IF(B58="","",TABLERO!DC58)</f>
        <v/>
      </c>
      <c r="K58" s="680" t="str">
        <f>IF(B58="","",TABLERO!DD58)</f>
        <v/>
      </c>
      <c r="L58" s="679" t="str">
        <f>IF(B58="","",IF(C58="M",TABLERO!$F$20,TABLERO!$F$19))</f>
        <v/>
      </c>
      <c r="M58" s="680" t="str">
        <f>IF(B58="","",TABLERO!DL58)</f>
        <v/>
      </c>
      <c r="N58" s="720" t="str">
        <f>IF(B58="","",'CUADRO (1)'!AZ58)</f>
        <v/>
      </c>
    </row>
    <row r="59" spans="1:14">
      <c r="A59" s="678" t="str">
        <f>TABLERO!B59&amp;IF(TABLERO!C59="","",","&amp;TABLERO!C59)&amp;IF(TABLERO!D59="","",","&amp;TABLERO!D59)</f>
        <v/>
      </c>
      <c r="B59" s="738" t="str">
        <f>'CUADRO (1)'!AI59</f>
        <v/>
      </c>
      <c r="C59" s="679" t="str">
        <f>IF(B59="","",TABLERO!H59)</f>
        <v/>
      </c>
      <c r="D59" s="680" t="str">
        <f>IF(B59="","",'CUADRO (1)'!AJ59)</f>
        <v/>
      </c>
      <c r="E59" s="680" t="str">
        <f>IF(B59="","",TABLERO!CS59)</f>
        <v/>
      </c>
      <c r="F59" s="680" t="str">
        <f>IF(B59="","",TABLERO!CT59)</f>
        <v/>
      </c>
      <c r="G59" s="680" t="str">
        <f>IF(B59="","",TABLERO!CU59)</f>
        <v/>
      </c>
      <c r="H59" s="680" t="str">
        <f>IF(B59="","",TABLERO!CY59)</f>
        <v/>
      </c>
      <c r="I59" s="680" t="str">
        <f>IF(B59="","",TABLERO!CZ59)</f>
        <v/>
      </c>
      <c r="J59" s="718" t="str">
        <f>IF(B59="","",TABLERO!DC59)</f>
        <v/>
      </c>
      <c r="K59" s="680" t="str">
        <f>IF(B59="","",TABLERO!DD59)</f>
        <v/>
      </c>
      <c r="L59" s="679" t="str">
        <f>IF(B59="","",IF(C59="M",TABLERO!$F$20,TABLERO!$F$19))</f>
        <v/>
      </c>
      <c r="M59" s="680" t="str">
        <f>IF(B59="","",TABLERO!DL59)</f>
        <v/>
      </c>
      <c r="N59" s="720" t="str">
        <f>IF(B59="","",'CUADRO (1)'!AZ59)</f>
        <v/>
      </c>
    </row>
    <row r="60" spans="1:14">
      <c r="A60" s="678" t="str">
        <f>TABLERO!B60&amp;IF(TABLERO!C60="","",","&amp;TABLERO!C60)&amp;IF(TABLERO!D60="","",","&amp;TABLERO!D60)</f>
        <v/>
      </c>
      <c r="B60" s="738" t="str">
        <f>'CUADRO (1)'!AI60</f>
        <v/>
      </c>
      <c r="C60" s="679" t="str">
        <f>IF(B60="","",TABLERO!H60)</f>
        <v/>
      </c>
      <c r="D60" s="680" t="str">
        <f>IF(B60="","",'CUADRO (1)'!AJ60)</f>
        <v/>
      </c>
      <c r="E60" s="680" t="str">
        <f>IF(B60="","",TABLERO!CS60)</f>
        <v/>
      </c>
      <c r="F60" s="680" t="str">
        <f>IF(B60="","",TABLERO!CT60)</f>
        <v/>
      </c>
      <c r="G60" s="680" t="str">
        <f>IF(B60="","",TABLERO!CU60)</f>
        <v/>
      </c>
      <c r="H60" s="680" t="str">
        <f>IF(B60="","",TABLERO!CY60)</f>
        <v/>
      </c>
      <c r="I60" s="680" t="str">
        <f>IF(B60="","",TABLERO!CZ60)</f>
        <v/>
      </c>
      <c r="J60" s="718" t="str">
        <f>IF(B60="","",TABLERO!DC60)</f>
        <v/>
      </c>
      <c r="K60" s="680" t="str">
        <f>IF(B60="","",TABLERO!DD60)</f>
        <v/>
      </c>
      <c r="L60" s="679" t="str">
        <f>IF(B60="","",IF(C60="M",TABLERO!$F$20,TABLERO!$F$19))</f>
        <v/>
      </c>
      <c r="M60" s="680" t="str">
        <f>IF(B60="","",TABLERO!DL60)</f>
        <v/>
      </c>
      <c r="N60" s="720" t="str">
        <f>IF(B60="","",'CUADRO (1)'!AZ60)</f>
        <v/>
      </c>
    </row>
    <row r="61" spans="1:14">
      <c r="A61" s="678" t="str">
        <f>TABLERO!B61&amp;IF(TABLERO!C61="","",","&amp;TABLERO!C61)&amp;IF(TABLERO!D61="","",","&amp;TABLERO!D61)</f>
        <v>31</v>
      </c>
      <c r="B61" s="738" t="str">
        <f>'CUADRO (1)'!AI61</f>
        <v/>
      </c>
      <c r="C61" s="679" t="str">
        <f>IF(B61="","",TABLERO!H61)</f>
        <v/>
      </c>
      <c r="D61" s="680" t="str">
        <f>IF(B61="","",'CUADRO (1)'!AJ61)</f>
        <v/>
      </c>
      <c r="E61" s="680" t="str">
        <f>IF(B61="","",TABLERO!CS61)</f>
        <v/>
      </c>
      <c r="F61" s="680" t="str">
        <f>IF(B61="","",TABLERO!CT61)</f>
        <v/>
      </c>
      <c r="G61" s="680" t="str">
        <f>IF(B61="","",TABLERO!CU61)</f>
        <v/>
      </c>
      <c r="H61" s="680" t="str">
        <f>IF(B61="","",TABLERO!CY61)</f>
        <v/>
      </c>
      <c r="I61" s="680" t="str">
        <f>IF(B61="","",TABLERO!CZ61)</f>
        <v/>
      </c>
      <c r="J61" s="718" t="str">
        <f>IF(B61="","",TABLERO!DC61)</f>
        <v/>
      </c>
      <c r="K61" s="680" t="str">
        <f>IF(B61="","",TABLERO!DD61)</f>
        <v/>
      </c>
      <c r="L61" s="679" t="str">
        <f>IF(B61="","",IF(C61="M",TABLERO!$F$20,TABLERO!$F$19))</f>
        <v/>
      </c>
      <c r="M61" s="680" t="str">
        <f>IF(B61="","",TABLERO!DL61)</f>
        <v/>
      </c>
      <c r="N61" s="720" t="str">
        <f>IF(B61="","",'CUADRO (1)'!AZ61)</f>
        <v/>
      </c>
    </row>
    <row r="62" spans="1:14">
      <c r="A62" s="678" t="str">
        <f>TABLERO!B62&amp;IF(TABLERO!C62="","",","&amp;TABLERO!C62)&amp;IF(TABLERO!D62="","",","&amp;TABLERO!D62)</f>
        <v>32</v>
      </c>
      <c r="B62" s="738" t="str">
        <f>'CUADRO (1)'!AI62</f>
        <v/>
      </c>
      <c r="C62" s="679" t="str">
        <f>IF(B62="","",TABLERO!H62)</f>
        <v/>
      </c>
      <c r="D62" s="680" t="str">
        <f>IF(B62="","",'CUADRO (1)'!AJ62)</f>
        <v/>
      </c>
      <c r="E62" s="680" t="str">
        <f>IF(B62="","",TABLERO!CS62)</f>
        <v/>
      </c>
      <c r="F62" s="680" t="str">
        <f>IF(B62="","",TABLERO!CT62)</f>
        <v/>
      </c>
      <c r="G62" s="680" t="str">
        <f>IF(B62="","",TABLERO!CU62)</f>
        <v/>
      </c>
      <c r="H62" s="680" t="str">
        <f>IF(B62="","",TABLERO!CY62)</f>
        <v/>
      </c>
      <c r="I62" s="680" t="str">
        <f>IF(B62="","",TABLERO!CZ62)</f>
        <v/>
      </c>
      <c r="J62" s="718" t="str">
        <f>IF(B62="","",TABLERO!DC62)</f>
        <v/>
      </c>
      <c r="K62" s="680" t="str">
        <f>IF(B62="","",TABLERO!DD62)</f>
        <v/>
      </c>
      <c r="L62" s="679" t="str">
        <f>IF(B62="","",IF(C62="M",TABLERO!$F$20,TABLERO!$F$19))</f>
        <v/>
      </c>
      <c r="M62" s="680" t="str">
        <f>IF(B62="","",TABLERO!DL62)</f>
        <v/>
      </c>
      <c r="N62" s="720" t="str">
        <f>IF(B62="","",'CUADRO (1)'!AZ62)</f>
        <v/>
      </c>
    </row>
    <row r="63" spans="1:14">
      <c r="A63" s="678" t="str">
        <f>TABLERO!B63&amp;IF(TABLERO!C63="","",","&amp;TABLERO!C63)&amp;IF(TABLERO!D63="","",","&amp;TABLERO!D63)</f>
        <v>33</v>
      </c>
      <c r="B63" s="738" t="str">
        <f>'CUADRO (1)'!AI63</f>
        <v/>
      </c>
      <c r="C63" s="679" t="str">
        <f>IF(B63="","",TABLERO!H63)</f>
        <v/>
      </c>
      <c r="D63" s="680" t="str">
        <f>IF(B63="","",'CUADRO (1)'!AJ63)</f>
        <v/>
      </c>
      <c r="E63" s="680" t="str">
        <f>IF(B63="","",TABLERO!CS63)</f>
        <v/>
      </c>
      <c r="F63" s="680" t="str">
        <f>IF(B63="","",TABLERO!CT63)</f>
        <v/>
      </c>
      <c r="G63" s="680" t="str">
        <f>IF(B63="","",TABLERO!CU63)</f>
        <v/>
      </c>
      <c r="H63" s="680" t="str">
        <f>IF(B63="","",TABLERO!CY63)</f>
        <v/>
      </c>
      <c r="I63" s="680" t="str">
        <f>IF(B63="","",TABLERO!CZ63)</f>
        <v/>
      </c>
      <c r="J63" s="718" t="str">
        <f>IF(B63="","",TABLERO!DC63)</f>
        <v/>
      </c>
      <c r="K63" s="680" t="str">
        <f>IF(B63="","",TABLERO!DD63)</f>
        <v/>
      </c>
      <c r="L63" s="679" t="str">
        <f>IF(B63="","",IF(C63="M",TABLERO!$F$20,TABLERO!$F$19))</f>
        <v/>
      </c>
      <c r="M63" s="680" t="str">
        <f>IF(B63="","",TABLERO!DL63)</f>
        <v/>
      </c>
      <c r="N63" s="720" t="str">
        <f>IF(B63="","",'CUADRO (1)'!AZ63)</f>
        <v/>
      </c>
    </row>
    <row r="64" spans="1:14">
      <c r="A64" s="678" t="str">
        <f>TABLERO!B64&amp;IF(TABLERO!C64="","",","&amp;TABLERO!C64)&amp;IF(TABLERO!D64="","",","&amp;TABLERO!D64)</f>
        <v>34</v>
      </c>
      <c r="B64" s="738" t="str">
        <f>'CUADRO (1)'!AI64</f>
        <v/>
      </c>
      <c r="C64" s="679" t="str">
        <f>IF(B64="","",TABLERO!H64)</f>
        <v/>
      </c>
      <c r="D64" s="680" t="str">
        <f>IF(B64="","",'CUADRO (1)'!AJ64)</f>
        <v/>
      </c>
      <c r="E64" s="680" t="str">
        <f>IF(B64="","",TABLERO!CS64)</f>
        <v/>
      </c>
      <c r="F64" s="680" t="str">
        <f>IF(B64="","",TABLERO!CT64)</f>
        <v/>
      </c>
      <c r="G64" s="680" t="str">
        <f>IF(B64="","",TABLERO!CU64)</f>
        <v/>
      </c>
      <c r="H64" s="680" t="str">
        <f>IF(B64="","",TABLERO!CY64)</f>
        <v/>
      </c>
      <c r="I64" s="680" t="str">
        <f>IF(B64="","",TABLERO!CZ64)</f>
        <v/>
      </c>
      <c r="J64" s="718" t="str">
        <f>IF(B64="","",TABLERO!DC64)</f>
        <v/>
      </c>
      <c r="K64" s="680" t="str">
        <f>IF(B64="","",TABLERO!DD64)</f>
        <v/>
      </c>
      <c r="L64" s="679" t="str">
        <f>IF(B64="","",IF(C64="M",TABLERO!$F$20,TABLERO!$F$19))</f>
        <v/>
      </c>
      <c r="M64" s="680" t="str">
        <f>IF(B64="","",TABLERO!DL64)</f>
        <v/>
      </c>
      <c r="N64" s="720" t="str">
        <f>IF(B64="","",'CUADRO (1)'!AZ64)</f>
        <v/>
      </c>
    </row>
    <row r="65" spans="1:14">
      <c r="A65" s="678" t="str">
        <f>TABLERO!B65&amp;IF(TABLERO!C65="","",","&amp;TABLERO!C65)&amp;IF(TABLERO!D65="","",","&amp;TABLERO!D65)</f>
        <v>35</v>
      </c>
      <c r="B65" s="738" t="str">
        <f>'CUADRO (1)'!AI65</f>
        <v/>
      </c>
      <c r="C65" s="679" t="str">
        <f>IF(B65="","",TABLERO!H65)</f>
        <v/>
      </c>
      <c r="D65" s="680" t="str">
        <f>IF(B65="","",'CUADRO (1)'!AJ65)</f>
        <v/>
      </c>
      <c r="E65" s="680" t="str">
        <f>IF(B65="","",TABLERO!CS65)</f>
        <v/>
      </c>
      <c r="F65" s="680" t="str">
        <f>IF(B65="","",TABLERO!CT65)</f>
        <v/>
      </c>
      <c r="G65" s="680" t="str">
        <f>IF(B65="","",TABLERO!CU65)</f>
        <v/>
      </c>
      <c r="H65" s="680" t="str">
        <f>IF(B65="","",TABLERO!CY65)</f>
        <v/>
      </c>
      <c r="I65" s="680" t="str">
        <f>IF(B65="","",TABLERO!CZ65)</f>
        <v/>
      </c>
      <c r="J65" s="718" t="str">
        <f>IF(B65="","",TABLERO!DC65)</f>
        <v/>
      </c>
      <c r="K65" s="680" t="str">
        <f>IF(B65="","",TABLERO!DD65)</f>
        <v/>
      </c>
      <c r="L65" s="679" t="str">
        <f>IF(B65="","",IF(C65="M",TABLERO!$F$20,TABLERO!$F$19))</f>
        <v/>
      </c>
      <c r="M65" s="680" t="str">
        <f>IF(B65="","",TABLERO!DL65)</f>
        <v/>
      </c>
      <c r="N65" s="720" t="str">
        <f>IF(B65="","",'CUADRO (1)'!AZ65)</f>
        <v/>
      </c>
    </row>
    <row r="66" spans="1:14">
      <c r="A66" s="678" t="str">
        <f>TABLERO!B66&amp;IF(TABLERO!C66="","",","&amp;TABLERO!C66)&amp;IF(TABLERO!D66="","",","&amp;TABLERO!D66)</f>
        <v>36</v>
      </c>
      <c r="B66" s="738" t="str">
        <f>'CUADRO (1)'!AI66</f>
        <v/>
      </c>
      <c r="C66" s="679" t="str">
        <f>IF(B66="","",TABLERO!H66)</f>
        <v/>
      </c>
      <c r="D66" s="680" t="str">
        <f>IF(B66="","",'CUADRO (1)'!AJ66)</f>
        <v/>
      </c>
      <c r="E66" s="680" t="str">
        <f>IF(B66="","",TABLERO!CS66)</f>
        <v/>
      </c>
      <c r="F66" s="680" t="str">
        <f>IF(B66="","",TABLERO!CT66)</f>
        <v/>
      </c>
      <c r="G66" s="680" t="str">
        <f>IF(B66="","",TABLERO!CU66)</f>
        <v/>
      </c>
      <c r="H66" s="680" t="str">
        <f>IF(B66="","",TABLERO!CY66)</f>
        <v/>
      </c>
      <c r="I66" s="680" t="str">
        <f>IF(B66="","",TABLERO!CZ66)</f>
        <v/>
      </c>
      <c r="J66" s="718" t="str">
        <f>IF(B66="","",TABLERO!DC66)</f>
        <v/>
      </c>
      <c r="K66" s="680" t="str">
        <f>IF(B66="","",TABLERO!DD66)</f>
        <v/>
      </c>
      <c r="L66" s="679" t="str">
        <f>IF(B66="","",IF(C66="M",TABLERO!$F$20,TABLERO!$F$19))</f>
        <v/>
      </c>
      <c r="M66" s="680" t="str">
        <f>IF(B66="","",TABLERO!DL66)</f>
        <v/>
      </c>
      <c r="N66" s="720" t="str">
        <f>IF(B66="","",'CUADRO (1)'!AZ66)</f>
        <v/>
      </c>
    </row>
    <row r="67" spans="1:14">
      <c r="A67" s="678" t="str">
        <f>TABLERO!B67&amp;IF(TABLERO!C67="","",","&amp;TABLERO!C67)&amp;IF(TABLERO!D67="","",","&amp;TABLERO!D67)</f>
        <v>37</v>
      </c>
      <c r="B67" s="738" t="str">
        <f>'CUADRO (1)'!AI67</f>
        <v/>
      </c>
      <c r="C67" s="679" t="str">
        <f>IF(B67="","",TABLERO!H67)</f>
        <v/>
      </c>
      <c r="D67" s="680" t="str">
        <f>IF(B67="","",'CUADRO (1)'!AJ67)</f>
        <v/>
      </c>
      <c r="E67" s="680" t="str">
        <f>IF(B67="","",TABLERO!CS67)</f>
        <v/>
      </c>
      <c r="F67" s="680" t="str">
        <f>IF(B67="","",TABLERO!CT67)</f>
        <v/>
      </c>
      <c r="G67" s="680" t="str">
        <f>IF(B67="","",TABLERO!CU67)</f>
        <v/>
      </c>
      <c r="H67" s="680" t="str">
        <f>IF(B67="","",TABLERO!CY67)</f>
        <v/>
      </c>
      <c r="I67" s="680" t="str">
        <f>IF(B67="","",TABLERO!CZ67)</f>
        <v/>
      </c>
      <c r="J67" s="718" t="str">
        <f>IF(B67="","",TABLERO!DC67)</f>
        <v/>
      </c>
      <c r="K67" s="680" t="str">
        <f>IF(B67="","",TABLERO!DD67)</f>
        <v/>
      </c>
      <c r="L67" s="679" t="str">
        <f>IF(B67="","",IF(C67="M",TABLERO!$F$20,TABLERO!$F$19))</f>
        <v/>
      </c>
      <c r="M67" s="680" t="str">
        <f>IF(B67="","",TABLERO!DL67)</f>
        <v/>
      </c>
      <c r="N67" s="720" t="str">
        <f>IF(B67="","",'CUADRO (1)'!AZ67)</f>
        <v/>
      </c>
    </row>
    <row r="68" spans="1:14">
      <c r="A68" s="678" t="str">
        <f>TABLERO!B68&amp;IF(TABLERO!C68="","",","&amp;TABLERO!C68)&amp;IF(TABLERO!D68="","",","&amp;TABLERO!D68)</f>
        <v>38</v>
      </c>
      <c r="B68" s="738" t="str">
        <f>'CUADRO (1)'!AI68</f>
        <v/>
      </c>
      <c r="C68" s="679" t="str">
        <f>IF(B68="","",TABLERO!H68)</f>
        <v/>
      </c>
      <c r="D68" s="680" t="str">
        <f>IF(B68="","",'CUADRO (1)'!AJ68)</f>
        <v/>
      </c>
      <c r="E68" s="680" t="str">
        <f>IF(B68="","",TABLERO!CS68)</f>
        <v/>
      </c>
      <c r="F68" s="680" t="str">
        <f>IF(B68="","",TABLERO!CT68)</f>
        <v/>
      </c>
      <c r="G68" s="680" t="str">
        <f>IF(B68="","",TABLERO!CU68)</f>
        <v/>
      </c>
      <c r="H68" s="680" t="str">
        <f>IF(B68="","",TABLERO!CY68)</f>
        <v/>
      </c>
      <c r="I68" s="680" t="str">
        <f>IF(B68="","",TABLERO!CZ68)</f>
        <v/>
      </c>
      <c r="J68" s="718" t="str">
        <f>IF(B68="","",TABLERO!DC68)</f>
        <v/>
      </c>
      <c r="K68" s="680" t="str">
        <f>IF(B68="","",TABLERO!DD68)</f>
        <v/>
      </c>
      <c r="L68" s="679" t="str">
        <f>IF(B68="","",IF(C68="M",TABLERO!$F$20,TABLERO!$F$19))</f>
        <v/>
      </c>
      <c r="M68" s="680" t="str">
        <f>IF(B68="","",TABLERO!DL68)</f>
        <v/>
      </c>
      <c r="N68" s="720" t="str">
        <f>IF(B68="","",'CUADRO (1)'!AZ68)</f>
        <v/>
      </c>
    </row>
    <row r="69" spans="1:14">
      <c r="A69" s="678" t="str">
        <f>TABLERO!B69&amp;IF(TABLERO!C69="","",","&amp;TABLERO!C69)&amp;IF(TABLERO!D69="","",","&amp;TABLERO!D69)</f>
        <v>39</v>
      </c>
      <c r="B69" s="738" t="str">
        <f>'CUADRO (1)'!AI69</f>
        <v/>
      </c>
      <c r="C69" s="679" t="str">
        <f>IF(B69="","",TABLERO!H69)</f>
        <v/>
      </c>
      <c r="D69" s="680" t="str">
        <f>IF(B69="","",'CUADRO (1)'!AJ69)</f>
        <v/>
      </c>
      <c r="E69" s="680" t="str">
        <f>IF(B69="","",TABLERO!CS69)</f>
        <v/>
      </c>
      <c r="F69" s="680" t="str">
        <f>IF(B69="","",TABLERO!CT69)</f>
        <v/>
      </c>
      <c r="G69" s="680" t="str">
        <f>IF(B69="","",TABLERO!CU69)</f>
        <v/>
      </c>
      <c r="H69" s="680" t="str">
        <f>IF(B69="","",TABLERO!CY69)</f>
        <v/>
      </c>
      <c r="I69" s="680" t="str">
        <f>IF(B69="","",TABLERO!CZ69)</f>
        <v/>
      </c>
      <c r="J69" s="718" t="str">
        <f>IF(B69="","",TABLERO!DC69)</f>
        <v/>
      </c>
      <c r="K69" s="680" t="str">
        <f>IF(B69="","",TABLERO!DD69)</f>
        <v/>
      </c>
      <c r="L69" s="679" t="str">
        <f>IF(B69="","",IF(C69="M",TABLERO!$F$20,TABLERO!$F$19))</f>
        <v/>
      </c>
      <c r="M69" s="680" t="str">
        <f>IF(B69="","",TABLERO!DL69)</f>
        <v/>
      </c>
      <c r="N69" s="720" t="str">
        <f>IF(B69="","",'CUADRO (1)'!AZ69)</f>
        <v/>
      </c>
    </row>
    <row r="70" spans="1:14">
      <c r="A70" s="678" t="str">
        <f>TABLERO!B70&amp;IF(TABLERO!C70="","",","&amp;TABLERO!C70)&amp;IF(TABLERO!D70="","",","&amp;TABLERO!D70)</f>
        <v>40</v>
      </c>
      <c r="B70" s="738" t="str">
        <f>'CUADRO (1)'!AI70</f>
        <v/>
      </c>
      <c r="C70" s="679" t="str">
        <f>IF(B70="","",TABLERO!H70)</f>
        <v/>
      </c>
      <c r="D70" s="680" t="str">
        <f>IF(B70="","",'CUADRO (1)'!AJ70)</f>
        <v/>
      </c>
      <c r="E70" s="680" t="str">
        <f>IF(B70="","",TABLERO!CS70)</f>
        <v/>
      </c>
      <c r="F70" s="680" t="str">
        <f>IF(B70="","",TABLERO!CT70)</f>
        <v/>
      </c>
      <c r="G70" s="680" t="str">
        <f>IF(B70="","",TABLERO!CU70)</f>
        <v/>
      </c>
      <c r="H70" s="680" t="str">
        <f>IF(B70="","",TABLERO!CY70)</f>
        <v/>
      </c>
      <c r="I70" s="680" t="str">
        <f>IF(B70="","",TABLERO!CZ70)</f>
        <v/>
      </c>
      <c r="J70" s="718" t="str">
        <f>IF(B70="","",TABLERO!DC70)</f>
        <v/>
      </c>
      <c r="K70" s="680" t="str">
        <f>IF(B70="","",TABLERO!DD70)</f>
        <v/>
      </c>
      <c r="L70" s="679" t="str">
        <f>IF(B70="","",IF(C70="M",TABLERO!$F$20,TABLERO!$F$19))</f>
        <v/>
      </c>
      <c r="M70" s="680" t="str">
        <f>IF(B70="","",TABLERO!DL70)</f>
        <v/>
      </c>
      <c r="N70" s="720" t="str">
        <f>IF(B70="","",'CUADRO (1)'!AZ70)</f>
        <v/>
      </c>
    </row>
    <row r="71" spans="1:14">
      <c r="A71" s="678" t="str">
        <f>TABLERO!B71&amp;IF(TABLERO!C71="","",","&amp;TABLERO!C71)&amp;IF(TABLERO!D71="","",","&amp;TABLERO!D71)</f>
        <v>41</v>
      </c>
      <c r="B71" s="738" t="str">
        <f>'CUADRO (1)'!AI71</f>
        <v/>
      </c>
      <c r="C71" s="679" t="str">
        <f>IF(B71="","",TABLERO!H71)</f>
        <v/>
      </c>
      <c r="D71" s="680" t="str">
        <f>IF(B71="","",'CUADRO (1)'!AJ71)</f>
        <v/>
      </c>
      <c r="E71" s="680" t="str">
        <f>IF(B71="","",TABLERO!CS71)</f>
        <v/>
      </c>
      <c r="F71" s="680" t="str">
        <f>IF(B71="","",TABLERO!CT71)</f>
        <v/>
      </c>
      <c r="G71" s="680" t="str">
        <f>IF(B71="","",TABLERO!CU71)</f>
        <v/>
      </c>
      <c r="H71" s="680" t="str">
        <f>IF(B71="","",TABLERO!CY71)</f>
        <v/>
      </c>
      <c r="I71" s="680" t="str">
        <f>IF(B71="","",TABLERO!CZ71)</f>
        <v/>
      </c>
      <c r="J71" s="718" t="str">
        <f>IF(B71="","",TABLERO!DC71)</f>
        <v/>
      </c>
      <c r="K71" s="680" t="str">
        <f>IF(B71="","",TABLERO!DD71)</f>
        <v/>
      </c>
      <c r="L71" s="679" t="str">
        <f>IF(B71="","",IF(C71="M",TABLERO!$F$20,TABLERO!$F$19))</f>
        <v/>
      </c>
      <c r="M71" s="680" t="str">
        <f>IF(B71="","",TABLERO!DL71)</f>
        <v/>
      </c>
      <c r="N71" s="720" t="str">
        <f>IF(B71="","",'CUADRO (1)'!AZ71)</f>
        <v/>
      </c>
    </row>
    <row r="72" spans="1:14">
      <c r="A72" s="678" t="str">
        <f>TABLERO!B72&amp;IF(TABLERO!C72="","",","&amp;TABLERO!C72)&amp;IF(TABLERO!D72="","",","&amp;TABLERO!D72)</f>
        <v>42</v>
      </c>
      <c r="B72" s="738" t="str">
        <f>'CUADRO (1)'!AI72</f>
        <v/>
      </c>
      <c r="C72" s="679" t="str">
        <f>IF(B72="","",TABLERO!H72)</f>
        <v/>
      </c>
      <c r="D72" s="680" t="str">
        <f>IF(B72="","",'CUADRO (1)'!AJ72)</f>
        <v/>
      </c>
      <c r="E72" s="680" t="str">
        <f>IF(B72="","",TABLERO!CS72)</f>
        <v/>
      </c>
      <c r="F72" s="680" t="str">
        <f>IF(B72="","",TABLERO!CT72)</f>
        <v/>
      </c>
      <c r="G72" s="680" t="str">
        <f>IF(B72="","",TABLERO!CU72)</f>
        <v/>
      </c>
      <c r="H72" s="680" t="str">
        <f>IF(B72="","",TABLERO!CY72)</f>
        <v/>
      </c>
      <c r="I72" s="680" t="str">
        <f>IF(B72="","",TABLERO!CZ72)</f>
        <v/>
      </c>
      <c r="J72" s="718" t="str">
        <f>IF(B72="","",TABLERO!DC72)</f>
        <v/>
      </c>
      <c r="K72" s="680" t="str">
        <f>IF(B72="","",TABLERO!DD72)</f>
        <v/>
      </c>
      <c r="L72" s="679" t="str">
        <f>IF(B72="","",IF(C72="M",TABLERO!$F$20,TABLERO!$F$19))</f>
        <v/>
      </c>
      <c r="M72" s="680" t="str">
        <f>IF(B72="","",TABLERO!DL72)</f>
        <v/>
      </c>
      <c r="N72" s="720" t="str">
        <f>IF(B72="","",'CUADRO (1)'!AZ72)</f>
        <v/>
      </c>
    </row>
    <row r="73" spans="1:14">
      <c r="A73" s="678" t="str">
        <f>TABLERO!B73&amp;IF(TABLERO!C73="","",","&amp;TABLERO!C73)&amp;IF(TABLERO!D73="","",","&amp;TABLERO!D73)</f>
        <v>43</v>
      </c>
      <c r="B73" s="738" t="str">
        <f>'CUADRO (1)'!AI73</f>
        <v/>
      </c>
      <c r="C73" s="679" t="str">
        <f>IF(B73="","",TABLERO!H73)</f>
        <v/>
      </c>
      <c r="D73" s="680" t="str">
        <f>IF(B73="","",'CUADRO (1)'!AJ73)</f>
        <v/>
      </c>
      <c r="E73" s="680" t="str">
        <f>IF(B73="","",TABLERO!CS73)</f>
        <v/>
      </c>
      <c r="F73" s="680" t="str">
        <f>IF(B73="","",TABLERO!CT73)</f>
        <v/>
      </c>
      <c r="G73" s="680" t="str">
        <f>IF(B73="","",TABLERO!CU73)</f>
        <v/>
      </c>
      <c r="H73" s="680" t="str">
        <f>IF(B73="","",TABLERO!CY73)</f>
        <v/>
      </c>
      <c r="I73" s="680" t="str">
        <f>IF(B73="","",TABLERO!CZ73)</f>
        <v/>
      </c>
      <c r="J73" s="718" t="str">
        <f>IF(B73="","",TABLERO!DC73)</f>
        <v/>
      </c>
      <c r="K73" s="680" t="str">
        <f>IF(B73="","",TABLERO!DD73)</f>
        <v/>
      </c>
      <c r="L73" s="679" t="str">
        <f>IF(B73="","",IF(C73="M",TABLERO!$F$20,TABLERO!$F$19))</f>
        <v/>
      </c>
      <c r="M73" s="680" t="str">
        <f>IF(B73="","",TABLERO!DL73)</f>
        <v/>
      </c>
      <c r="N73" s="720" t="str">
        <f>IF(B73="","",'CUADRO (1)'!AZ73)</f>
        <v/>
      </c>
    </row>
    <row r="74" spans="1:14">
      <c r="A74" s="678" t="str">
        <f>TABLERO!B74&amp;IF(TABLERO!C74="","",","&amp;TABLERO!C74)&amp;IF(TABLERO!D74="","",","&amp;TABLERO!D74)</f>
        <v>44</v>
      </c>
      <c r="B74" s="738" t="str">
        <f>'CUADRO (1)'!AI74</f>
        <v/>
      </c>
      <c r="C74" s="679" t="str">
        <f>IF(B74="","",TABLERO!H74)</f>
        <v/>
      </c>
      <c r="D74" s="680" t="str">
        <f>IF(B74="","",'CUADRO (1)'!AJ74)</f>
        <v/>
      </c>
      <c r="E74" s="680" t="str">
        <f>IF(B74="","",TABLERO!CS74)</f>
        <v/>
      </c>
      <c r="F74" s="680" t="str">
        <f>IF(B74="","",TABLERO!CT74)</f>
        <v/>
      </c>
      <c r="G74" s="680" t="str">
        <f>IF(B74="","",TABLERO!CU74)</f>
        <v/>
      </c>
      <c r="H74" s="680" t="str">
        <f>IF(B74="","",TABLERO!CY74)</f>
        <v/>
      </c>
      <c r="I74" s="680" t="str">
        <f>IF(B74="","",TABLERO!CZ74)</f>
        <v/>
      </c>
      <c r="J74" s="718" t="str">
        <f>IF(B74="","",TABLERO!DC74)</f>
        <v/>
      </c>
      <c r="K74" s="680" t="str">
        <f>IF(B74="","",TABLERO!DD74)</f>
        <v/>
      </c>
      <c r="L74" s="679" t="str">
        <f>IF(B74="","",IF(C74="M",TABLERO!$F$20,TABLERO!$F$19))</f>
        <v/>
      </c>
      <c r="M74" s="680" t="str">
        <f>IF(B74="","",TABLERO!DL74)</f>
        <v/>
      </c>
      <c r="N74" s="720" t="str">
        <f>IF(B74="","",'CUADRO (1)'!AZ74)</f>
        <v/>
      </c>
    </row>
    <row r="75" spans="1:14">
      <c r="A75" s="678" t="str">
        <f>TABLERO!B75&amp;IF(TABLERO!C75="","",","&amp;TABLERO!C75)&amp;IF(TABLERO!D75="","",","&amp;TABLERO!D75)</f>
        <v>45</v>
      </c>
      <c r="B75" s="738" t="str">
        <f>'CUADRO (1)'!AI75</f>
        <v/>
      </c>
      <c r="C75" s="679" t="str">
        <f>IF(B75="","",TABLERO!H75)</f>
        <v/>
      </c>
      <c r="D75" s="680" t="str">
        <f>IF(B75="","",'CUADRO (1)'!AJ75)</f>
        <v/>
      </c>
      <c r="E75" s="680" t="str">
        <f>IF(B75="","",TABLERO!CS75)</f>
        <v/>
      </c>
      <c r="F75" s="680" t="str">
        <f>IF(B75="","",TABLERO!CT75)</f>
        <v/>
      </c>
      <c r="G75" s="680" t="str">
        <f>IF(B75="","",TABLERO!CU75)</f>
        <v/>
      </c>
      <c r="H75" s="680" t="str">
        <f>IF(B75="","",TABLERO!CY75)</f>
        <v/>
      </c>
      <c r="I75" s="680" t="str">
        <f>IF(B75="","",TABLERO!CZ75)</f>
        <v/>
      </c>
      <c r="J75" s="718" t="str">
        <f>IF(B75="","",TABLERO!DC75)</f>
        <v/>
      </c>
      <c r="K75" s="680" t="str">
        <f>IF(B75="","",TABLERO!DD75)</f>
        <v/>
      </c>
      <c r="L75" s="679" t="str">
        <f>IF(B75="","",IF(C75="M",TABLERO!$F$20,TABLERO!$F$19))</f>
        <v/>
      </c>
      <c r="M75" s="680" t="str">
        <f>IF(B75="","",TABLERO!DL75)</f>
        <v/>
      </c>
      <c r="N75" s="720" t="str">
        <f>IF(B75="","",'CUADRO (1)'!AZ75)</f>
        <v/>
      </c>
    </row>
    <row r="76" spans="1:14">
      <c r="A76" s="678" t="str">
        <f>TABLERO!B76&amp;IF(TABLERO!C76="","",","&amp;TABLERO!C76)&amp;IF(TABLERO!D76="","",","&amp;TABLERO!D76)</f>
        <v>46</v>
      </c>
      <c r="B76" s="738" t="str">
        <f>'CUADRO (1)'!AI76</f>
        <v/>
      </c>
      <c r="C76" s="679" t="str">
        <f>IF(B76="","",TABLERO!H76)</f>
        <v/>
      </c>
      <c r="D76" s="680" t="str">
        <f>IF(B76="","",'CUADRO (1)'!AJ76)</f>
        <v/>
      </c>
      <c r="E76" s="680" t="str">
        <f>IF(B76="","",TABLERO!CS76)</f>
        <v/>
      </c>
      <c r="F76" s="680" t="str">
        <f>IF(B76="","",TABLERO!CT76)</f>
        <v/>
      </c>
      <c r="G76" s="680" t="str">
        <f>IF(B76="","",TABLERO!CU76)</f>
        <v/>
      </c>
      <c r="H76" s="680" t="str">
        <f>IF(B76="","",TABLERO!CY76)</f>
        <v/>
      </c>
      <c r="I76" s="680" t="str">
        <f>IF(B76="","",TABLERO!CZ76)</f>
        <v/>
      </c>
      <c r="J76" s="718" t="str">
        <f>IF(B76="","",TABLERO!DC76)</f>
        <v/>
      </c>
      <c r="K76" s="680" t="str">
        <f>IF(B76="","",TABLERO!DD76)</f>
        <v/>
      </c>
      <c r="L76" s="679" t="str">
        <f>IF(B76="","",IF(C76="M",TABLERO!$F$20,TABLERO!$F$19))</f>
        <v/>
      </c>
      <c r="M76" s="680" t="str">
        <f>IF(B76="","",TABLERO!DL76)</f>
        <v/>
      </c>
      <c r="N76" s="720" t="str">
        <f>IF(B76="","",'CUADRO (1)'!AZ76)</f>
        <v/>
      </c>
    </row>
    <row r="77" spans="1:14">
      <c r="A77" s="678" t="str">
        <f>TABLERO!B77&amp;IF(TABLERO!C77="","",","&amp;TABLERO!C77)&amp;IF(TABLERO!D77="","",","&amp;TABLERO!D77)</f>
        <v>47</v>
      </c>
      <c r="B77" s="738" t="str">
        <f>'CUADRO (1)'!AI77</f>
        <v/>
      </c>
      <c r="C77" s="679" t="str">
        <f>IF(B77="","",TABLERO!H77)</f>
        <v/>
      </c>
      <c r="D77" s="680" t="str">
        <f>IF(B77="","",'CUADRO (1)'!AJ77)</f>
        <v/>
      </c>
      <c r="E77" s="680" t="str">
        <f>IF(B77="","",TABLERO!CS77)</f>
        <v/>
      </c>
      <c r="F77" s="680" t="str">
        <f>IF(B77="","",TABLERO!CT77)</f>
        <v/>
      </c>
      <c r="G77" s="680" t="str">
        <f>IF(B77="","",TABLERO!CU77)</f>
        <v/>
      </c>
      <c r="H77" s="680" t="str">
        <f>IF(B77="","",TABLERO!CY77)</f>
        <v/>
      </c>
      <c r="I77" s="680" t="str">
        <f>IF(B77="","",TABLERO!CZ77)</f>
        <v/>
      </c>
      <c r="J77" s="718" t="str">
        <f>IF(B77="","",TABLERO!DC77)</f>
        <v/>
      </c>
      <c r="K77" s="680" t="str">
        <f>IF(B77="","",TABLERO!DD77)</f>
        <v/>
      </c>
      <c r="L77" s="679" t="str">
        <f>IF(B77="","",IF(C77="M",TABLERO!$F$20,TABLERO!$F$19))</f>
        <v/>
      </c>
      <c r="M77" s="680" t="str">
        <f>IF(B77="","",TABLERO!DL77)</f>
        <v/>
      </c>
      <c r="N77" s="720" t="str">
        <f>IF(B77="","",'CUADRO (1)'!AZ77)</f>
        <v/>
      </c>
    </row>
    <row r="78" spans="1:14">
      <c r="A78" s="678" t="str">
        <f>TABLERO!B78&amp;IF(TABLERO!C78="","",","&amp;TABLERO!C78)&amp;IF(TABLERO!D78="","",","&amp;TABLERO!D78)</f>
        <v>48</v>
      </c>
      <c r="B78" s="738" t="str">
        <f>'CUADRO (1)'!AI78</f>
        <v/>
      </c>
      <c r="C78" s="679" t="str">
        <f>IF(B78="","",TABLERO!H78)</f>
        <v/>
      </c>
      <c r="D78" s="680" t="str">
        <f>IF(B78="","",'CUADRO (1)'!AJ78)</f>
        <v/>
      </c>
      <c r="E78" s="680" t="str">
        <f>IF(B78="","",TABLERO!CS78)</f>
        <v/>
      </c>
      <c r="F78" s="680" t="str">
        <f>IF(B78="","",TABLERO!CT78)</f>
        <v/>
      </c>
      <c r="G78" s="680" t="str">
        <f>IF(B78="","",TABLERO!CU78)</f>
        <v/>
      </c>
      <c r="H78" s="680" t="str">
        <f>IF(B78="","",TABLERO!CY78)</f>
        <v/>
      </c>
      <c r="I78" s="680" t="str">
        <f>IF(B78="","",TABLERO!CZ78)</f>
        <v/>
      </c>
      <c r="J78" s="718" t="str">
        <f>IF(B78="","",TABLERO!DC78)</f>
        <v/>
      </c>
      <c r="K78" s="680" t="str">
        <f>IF(B78="","",TABLERO!DD78)</f>
        <v/>
      </c>
      <c r="L78" s="679" t="str">
        <f>IF(B78="","",IF(C78="M",TABLERO!$F$20,TABLERO!$F$19))</f>
        <v/>
      </c>
      <c r="M78" s="680" t="str">
        <f>IF(B78="","",TABLERO!DL78)</f>
        <v/>
      </c>
      <c r="N78" s="720" t="str">
        <f>IF(B78="","",'CUADRO (1)'!AZ78)</f>
        <v/>
      </c>
    </row>
    <row r="79" spans="1:14">
      <c r="A79" s="678" t="str">
        <f>TABLERO!B79&amp;IF(TABLERO!C79="","",","&amp;TABLERO!C79)&amp;IF(TABLERO!D79="","",","&amp;TABLERO!D79)</f>
        <v>49</v>
      </c>
      <c r="B79" s="738" t="str">
        <f>'CUADRO (1)'!AI79</f>
        <v/>
      </c>
      <c r="C79" s="679" t="str">
        <f>IF(B79="","",TABLERO!H79)</f>
        <v/>
      </c>
      <c r="D79" s="680" t="str">
        <f>IF(B79="","",'CUADRO (1)'!AJ79)</f>
        <v/>
      </c>
      <c r="E79" s="680" t="str">
        <f>IF(B79="","",TABLERO!CS79)</f>
        <v/>
      </c>
      <c r="F79" s="680" t="str">
        <f>IF(B79="","",TABLERO!CT79)</f>
        <v/>
      </c>
      <c r="G79" s="680" t="str">
        <f>IF(B79="","",TABLERO!CU79)</f>
        <v/>
      </c>
      <c r="H79" s="680" t="str">
        <f>IF(B79="","",TABLERO!CY79)</f>
        <v/>
      </c>
      <c r="I79" s="680" t="str">
        <f>IF(B79="","",TABLERO!CZ79)</f>
        <v/>
      </c>
      <c r="J79" s="718" t="str">
        <f>IF(B79="","",TABLERO!DC79)</f>
        <v/>
      </c>
      <c r="K79" s="680" t="str">
        <f>IF(B79="","",TABLERO!DD79)</f>
        <v/>
      </c>
      <c r="L79" s="679" t="str">
        <f>IF(B79="","",IF(C79="M",TABLERO!$F$20,TABLERO!$F$19))</f>
        <v/>
      </c>
      <c r="M79" s="680" t="str">
        <f>IF(B79="","",TABLERO!DL79)</f>
        <v/>
      </c>
      <c r="N79" s="720" t="str">
        <f>IF(B79="","",'CUADRO (1)'!AZ79)</f>
        <v/>
      </c>
    </row>
    <row r="80" spans="1:14">
      <c r="A80" s="678" t="str">
        <f>TABLERO!B80&amp;IF(TABLERO!C80="","",","&amp;TABLERO!C80)&amp;IF(TABLERO!D80="","",","&amp;TABLERO!D80)</f>
        <v>50</v>
      </c>
      <c r="B80" s="738" t="str">
        <f>'CUADRO (1)'!AI80</f>
        <v/>
      </c>
      <c r="C80" s="679" t="str">
        <f>IF(B80="","",TABLERO!H80)</f>
        <v/>
      </c>
      <c r="D80" s="680" t="str">
        <f>IF(B80="","",'CUADRO (1)'!AJ80)</f>
        <v/>
      </c>
      <c r="E80" s="680" t="str">
        <f>IF(B80="","",TABLERO!CS80)</f>
        <v/>
      </c>
      <c r="F80" s="680" t="str">
        <f>IF(B80="","",TABLERO!CT80)</f>
        <v/>
      </c>
      <c r="G80" s="680" t="str">
        <f>IF(B80="","",TABLERO!CU80)</f>
        <v/>
      </c>
      <c r="H80" s="680" t="str">
        <f>IF(B80="","",TABLERO!CY80)</f>
        <v/>
      </c>
      <c r="I80" s="680" t="str">
        <f>IF(B80="","",TABLERO!CZ80)</f>
        <v/>
      </c>
      <c r="J80" s="718" t="str">
        <f>IF(B80="","",TABLERO!DC80)</f>
        <v/>
      </c>
      <c r="K80" s="680" t="str">
        <f>IF(B80="","",TABLERO!DD80)</f>
        <v/>
      </c>
      <c r="L80" s="679" t="str">
        <f>IF(B80="","",IF(C80="M",TABLERO!$F$20,TABLERO!$F$19))</f>
        <v/>
      </c>
      <c r="M80" s="680" t="str">
        <f>IF(B80="","",TABLERO!DL80)</f>
        <v/>
      </c>
      <c r="N80" s="720" t="str">
        <f>IF(B80="","",'CUADRO (1)'!AZ80)</f>
        <v/>
      </c>
    </row>
    <row r="81" spans="1:14">
      <c r="A81" s="678" t="str">
        <f>TABLERO!B81&amp;IF(TABLERO!C81="","",","&amp;TABLERO!C81)&amp;IF(TABLERO!D81="","",","&amp;TABLERO!D81)</f>
        <v>51</v>
      </c>
      <c r="B81" s="738" t="str">
        <f>'CUADRO (1)'!AI81</f>
        <v/>
      </c>
      <c r="C81" s="679" t="str">
        <f>IF(B81="","",TABLERO!H81)</f>
        <v/>
      </c>
      <c r="D81" s="680" t="str">
        <f>IF(B81="","",'CUADRO (1)'!AJ81)</f>
        <v/>
      </c>
      <c r="E81" s="680" t="str">
        <f>IF(B81="","",TABLERO!CS81)</f>
        <v/>
      </c>
      <c r="F81" s="680" t="str">
        <f>IF(B81="","",TABLERO!CT81)</f>
        <v/>
      </c>
      <c r="G81" s="680" t="str">
        <f>IF(B81="","",TABLERO!CU81)</f>
        <v/>
      </c>
      <c r="H81" s="680" t="str">
        <f>IF(B81="","",TABLERO!CY81)</f>
        <v/>
      </c>
      <c r="I81" s="680" t="str">
        <f>IF(B81="","",TABLERO!CZ81)</f>
        <v/>
      </c>
      <c r="J81" s="718" t="str">
        <f>IF(B81="","",TABLERO!DC81)</f>
        <v/>
      </c>
      <c r="K81" s="680" t="str">
        <f>IF(B81="","",TABLERO!DD81)</f>
        <v/>
      </c>
      <c r="L81" s="679" t="str">
        <f>IF(B81="","",IF(C81="M",TABLERO!$F$20,TABLERO!$F$19))</f>
        <v/>
      </c>
      <c r="M81" s="680" t="str">
        <f>IF(B81="","",TABLERO!DL81)</f>
        <v/>
      </c>
      <c r="N81" s="720" t="str">
        <f>IF(B81="","",'CUADRO (1)'!AZ81)</f>
        <v/>
      </c>
    </row>
    <row r="82" spans="1:14">
      <c r="A82" s="678" t="str">
        <f>TABLERO!B82&amp;IF(TABLERO!C82="","",","&amp;TABLERO!C82)&amp;IF(TABLERO!D82="","",","&amp;TABLERO!D82)</f>
        <v>52</v>
      </c>
      <c r="B82" s="738" t="str">
        <f>'CUADRO (1)'!AI82</f>
        <v/>
      </c>
      <c r="C82" s="679" t="str">
        <f>IF(B82="","",TABLERO!H82)</f>
        <v/>
      </c>
      <c r="D82" s="680" t="str">
        <f>IF(B82="","",'CUADRO (1)'!AJ82)</f>
        <v/>
      </c>
      <c r="E82" s="680" t="str">
        <f>IF(B82="","",TABLERO!CS82)</f>
        <v/>
      </c>
      <c r="F82" s="680" t="str">
        <f>IF(B82="","",TABLERO!CT82)</f>
        <v/>
      </c>
      <c r="G82" s="680" t="str">
        <f>IF(B82="","",TABLERO!CU82)</f>
        <v/>
      </c>
      <c r="H82" s="680" t="str">
        <f>IF(B82="","",TABLERO!CY82)</f>
        <v/>
      </c>
      <c r="I82" s="680" t="str">
        <f>IF(B82="","",TABLERO!CZ82)</f>
        <v/>
      </c>
      <c r="J82" s="718" t="str">
        <f>IF(B82="","",TABLERO!DC82)</f>
        <v/>
      </c>
      <c r="K82" s="680" t="str">
        <f>IF(B82="","",TABLERO!DD82)</f>
        <v/>
      </c>
      <c r="L82" s="679" t="str">
        <f>IF(B82="","",IF(C82="M",TABLERO!$F$20,TABLERO!$F$19))</f>
        <v/>
      </c>
      <c r="M82" s="680" t="str">
        <f>IF(B82="","",TABLERO!DL82)</f>
        <v/>
      </c>
      <c r="N82" s="720" t="str">
        <f>IF(B82="","",'CUADRO (1)'!AZ82)</f>
        <v/>
      </c>
    </row>
    <row r="83" spans="1:14">
      <c r="A83" s="678" t="str">
        <f>TABLERO!B83&amp;IF(TABLERO!C83="","",","&amp;TABLERO!C83)&amp;IF(TABLERO!D83="","",","&amp;TABLERO!D83)</f>
        <v>53</v>
      </c>
      <c r="B83" s="738" t="str">
        <f>'CUADRO (1)'!AI83</f>
        <v/>
      </c>
      <c r="C83" s="679" t="str">
        <f>IF(B83="","",TABLERO!H83)</f>
        <v/>
      </c>
      <c r="D83" s="680" t="str">
        <f>IF(B83="","",'CUADRO (1)'!AJ83)</f>
        <v/>
      </c>
      <c r="E83" s="680" t="str">
        <f>IF(B83="","",TABLERO!CS83)</f>
        <v/>
      </c>
      <c r="F83" s="680" t="str">
        <f>IF(B83="","",TABLERO!CT83)</f>
        <v/>
      </c>
      <c r="G83" s="680" t="str">
        <f>IF(B83="","",TABLERO!CU83)</f>
        <v/>
      </c>
      <c r="H83" s="680" t="str">
        <f>IF(B83="","",TABLERO!CY83)</f>
        <v/>
      </c>
      <c r="I83" s="680" t="str">
        <f>IF(B83="","",TABLERO!CZ83)</f>
        <v/>
      </c>
      <c r="J83" s="718" t="str">
        <f>IF(B83="","",TABLERO!DC83)</f>
        <v/>
      </c>
      <c r="K83" s="680" t="str">
        <f>IF(B83="","",TABLERO!DD83)</f>
        <v/>
      </c>
      <c r="L83" s="679" t="str">
        <f>IF(B83="","",IF(C83="M",TABLERO!$F$20,TABLERO!$F$19))</f>
        <v/>
      </c>
      <c r="M83" s="680" t="str">
        <f>IF(B83="","",TABLERO!DL83)</f>
        <v/>
      </c>
      <c r="N83" s="720" t="str">
        <f>IF(B83="","",'CUADRO (1)'!AZ83)</f>
        <v/>
      </c>
    </row>
    <row r="84" spans="1:14">
      <c r="A84" s="678" t="str">
        <f>TABLERO!B84&amp;IF(TABLERO!C84="","",","&amp;TABLERO!C84)&amp;IF(TABLERO!D84="","",","&amp;TABLERO!D84)</f>
        <v>54</v>
      </c>
      <c r="B84" s="738" t="str">
        <f>'CUADRO (1)'!AI84</f>
        <v/>
      </c>
      <c r="C84" s="679" t="str">
        <f>IF(B84="","",TABLERO!H84)</f>
        <v/>
      </c>
      <c r="D84" s="680" t="str">
        <f>IF(B84="","",'CUADRO (1)'!AJ84)</f>
        <v/>
      </c>
      <c r="E84" s="680" t="str">
        <f>IF(B84="","",TABLERO!CS84)</f>
        <v/>
      </c>
      <c r="F84" s="680" t="str">
        <f>IF(B84="","",TABLERO!CT84)</f>
        <v/>
      </c>
      <c r="G84" s="680" t="str">
        <f>IF(B84="","",TABLERO!CU84)</f>
        <v/>
      </c>
      <c r="H84" s="680" t="str">
        <f>IF(B84="","",TABLERO!CY84)</f>
        <v/>
      </c>
      <c r="I84" s="680" t="str">
        <f>IF(B84="","",TABLERO!CZ84)</f>
        <v/>
      </c>
      <c r="J84" s="718" t="str">
        <f>IF(B84="","",TABLERO!DC84)</f>
        <v/>
      </c>
      <c r="K84" s="680" t="str">
        <f>IF(B84="","",TABLERO!DD84)</f>
        <v/>
      </c>
      <c r="L84" s="679" t="str">
        <f>IF(B84="","",IF(C84="M",TABLERO!$F$20,TABLERO!$F$19))</f>
        <v/>
      </c>
      <c r="M84" s="680" t="str">
        <f>IF(B84="","",TABLERO!DL84)</f>
        <v/>
      </c>
      <c r="N84" s="720" t="str">
        <f>IF(B84="","",'CUADRO (1)'!AZ84)</f>
        <v/>
      </c>
    </row>
    <row r="85" spans="1:14">
      <c r="A85" s="678" t="str">
        <f>TABLERO!B85&amp;IF(TABLERO!C85="","",","&amp;TABLERO!C85)&amp;IF(TABLERO!D85="","",","&amp;TABLERO!D85)</f>
        <v>55</v>
      </c>
      <c r="B85" s="738" t="str">
        <f>'CUADRO (1)'!AI85</f>
        <v/>
      </c>
      <c r="C85" s="679" t="str">
        <f>IF(B85="","",TABLERO!H85)</f>
        <v/>
      </c>
      <c r="D85" s="680" t="str">
        <f>IF(B85="","",'CUADRO (1)'!AJ85)</f>
        <v/>
      </c>
      <c r="E85" s="680" t="str">
        <f>IF(B85="","",TABLERO!CS85)</f>
        <v/>
      </c>
      <c r="F85" s="680" t="str">
        <f>IF(B85="","",TABLERO!CT85)</f>
        <v/>
      </c>
      <c r="G85" s="680" t="str">
        <f>IF(B85="","",TABLERO!CU85)</f>
        <v/>
      </c>
      <c r="H85" s="680" t="str">
        <f>IF(B85="","",TABLERO!CY85)</f>
        <v/>
      </c>
      <c r="I85" s="680" t="str">
        <f>IF(B85="","",TABLERO!CZ85)</f>
        <v/>
      </c>
      <c r="J85" s="718" t="str">
        <f>IF(B85="","",TABLERO!DC85)</f>
        <v/>
      </c>
      <c r="K85" s="680" t="str">
        <f>IF(B85="","",TABLERO!DD85)</f>
        <v/>
      </c>
      <c r="L85" s="679" t="str">
        <f>IF(B85="","",IF(C85="M",TABLERO!$F$20,TABLERO!$F$19))</f>
        <v/>
      </c>
      <c r="M85" s="680" t="str">
        <f>IF(B85="","",TABLERO!DL85)</f>
        <v/>
      </c>
      <c r="N85" s="720" t="str">
        <f>IF(B85="","",'CUADRO (1)'!AZ85)</f>
        <v/>
      </c>
    </row>
    <row r="86" spans="1:14">
      <c r="A86" s="678" t="str">
        <f>TABLERO!B86&amp;IF(TABLERO!C86="","",","&amp;TABLERO!C86)&amp;IF(TABLERO!D86="","",","&amp;TABLERO!D86)</f>
        <v>56</v>
      </c>
      <c r="B86" s="738" t="str">
        <f>'CUADRO (1)'!AI86</f>
        <v/>
      </c>
      <c r="C86" s="679" t="str">
        <f>IF(B86="","",TABLERO!H86)</f>
        <v/>
      </c>
      <c r="D86" s="680" t="str">
        <f>IF(B86="","",'CUADRO (1)'!AJ86)</f>
        <v/>
      </c>
      <c r="E86" s="680" t="str">
        <f>IF(B86="","",TABLERO!CS86)</f>
        <v/>
      </c>
      <c r="F86" s="680" t="str">
        <f>IF(B86="","",TABLERO!CT86)</f>
        <v/>
      </c>
      <c r="G86" s="680" t="str">
        <f>IF(B86="","",TABLERO!CU86)</f>
        <v/>
      </c>
      <c r="H86" s="680" t="str">
        <f>IF(B86="","",TABLERO!CY86)</f>
        <v/>
      </c>
      <c r="I86" s="680" t="str">
        <f>IF(B86="","",TABLERO!CZ86)</f>
        <v/>
      </c>
      <c r="J86" s="718" t="str">
        <f>IF(B86="","",TABLERO!DC86)</f>
        <v/>
      </c>
      <c r="K86" s="680" t="str">
        <f>IF(B86="","",TABLERO!DD86)</f>
        <v/>
      </c>
      <c r="L86" s="679" t="str">
        <f>IF(B86="","",IF(C86="M",TABLERO!$F$20,TABLERO!$F$19))</f>
        <v/>
      </c>
      <c r="M86" s="680" t="str">
        <f>IF(B86="","",TABLERO!DL86)</f>
        <v/>
      </c>
      <c r="N86" s="720" t="str">
        <f>IF(B86="","",'CUADRO (1)'!AZ86)</f>
        <v/>
      </c>
    </row>
    <row r="87" spans="1:14">
      <c r="A87" s="678" t="str">
        <f>TABLERO!B87&amp;IF(TABLERO!C87="","",","&amp;TABLERO!C87)&amp;IF(TABLERO!D87="","",","&amp;TABLERO!D87)</f>
        <v>57</v>
      </c>
      <c r="B87" s="738" t="str">
        <f>'CUADRO (1)'!AI87</f>
        <v/>
      </c>
      <c r="C87" s="679" t="str">
        <f>IF(B87="","",TABLERO!H87)</f>
        <v/>
      </c>
      <c r="D87" s="680" t="str">
        <f>IF(B87="","",'CUADRO (1)'!AJ87)</f>
        <v/>
      </c>
      <c r="E87" s="680" t="str">
        <f>IF(B87="","",TABLERO!CS87)</f>
        <v/>
      </c>
      <c r="F87" s="680" t="str">
        <f>IF(B87="","",TABLERO!CT87)</f>
        <v/>
      </c>
      <c r="G87" s="680" t="str">
        <f>IF(B87="","",TABLERO!CU87)</f>
        <v/>
      </c>
      <c r="H87" s="680" t="str">
        <f>IF(B87="","",TABLERO!CY87)</f>
        <v/>
      </c>
      <c r="I87" s="680" t="str">
        <f>IF(B87="","",TABLERO!CZ87)</f>
        <v/>
      </c>
      <c r="J87" s="718" t="str">
        <f>IF(B87="","",TABLERO!DC87)</f>
        <v/>
      </c>
      <c r="K87" s="680" t="str">
        <f>IF(B87="","",TABLERO!DD87)</f>
        <v/>
      </c>
      <c r="L87" s="679" t="str">
        <f>IF(B87="","",IF(C87="M",TABLERO!$F$20,TABLERO!$F$19))</f>
        <v/>
      </c>
      <c r="M87" s="680" t="str">
        <f>IF(B87="","",TABLERO!DL87)</f>
        <v/>
      </c>
      <c r="N87" s="720" t="str">
        <f>IF(B87="","",'CUADRO (1)'!AZ87)</f>
        <v/>
      </c>
    </row>
    <row r="88" spans="1:14">
      <c r="A88" s="678" t="str">
        <f>TABLERO!B88&amp;IF(TABLERO!C88="","",","&amp;TABLERO!C88)&amp;IF(TABLERO!D88="","",","&amp;TABLERO!D88)</f>
        <v>58</v>
      </c>
      <c r="B88" s="738" t="str">
        <f>'CUADRO (1)'!AI88</f>
        <v/>
      </c>
      <c r="C88" s="679" t="str">
        <f>IF(B88="","",TABLERO!H88)</f>
        <v/>
      </c>
      <c r="D88" s="680" t="str">
        <f>IF(B88="","",'CUADRO (1)'!AJ88)</f>
        <v/>
      </c>
      <c r="E88" s="680" t="str">
        <f>IF(B88="","",TABLERO!CS88)</f>
        <v/>
      </c>
      <c r="F88" s="680" t="str">
        <f>IF(B88="","",TABLERO!CT88)</f>
        <v/>
      </c>
      <c r="G88" s="680" t="str">
        <f>IF(B88="","",TABLERO!CU88)</f>
        <v/>
      </c>
      <c r="H88" s="680" t="str">
        <f>IF(B88="","",TABLERO!CY88)</f>
        <v/>
      </c>
      <c r="I88" s="680" t="str">
        <f>IF(B88="","",TABLERO!CZ88)</f>
        <v/>
      </c>
      <c r="J88" s="718" t="str">
        <f>IF(B88="","",TABLERO!DC88)</f>
        <v/>
      </c>
      <c r="K88" s="680" t="str">
        <f>IF(B88="","",TABLERO!DD88)</f>
        <v/>
      </c>
      <c r="L88" s="679" t="str">
        <f>IF(B88="","",IF(C88="M",TABLERO!$F$20,TABLERO!$F$19))</f>
        <v/>
      </c>
      <c r="M88" s="680" t="str">
        <f>IF(B88="","",TABLERO!DL88)</f>
        <v/>
      </c>
      <c r="N88" s="720" t="str">
        <f>IF(B88="","",'CUADRO (1)'!AZ88)</f>
        <v/>
      </c>
    </row>
    <row r="89" spans="1:14">
      <c r="A89" s="678" t="str">
        <f>TABLERO!B89&amp;IF(TABLERO!C89="","",","&amp;TABLERO!C89)&amp;IF(TABLERO!D89="","",","&amp;TABLERO!D89)</f>
        <v>59</v>
      </c>
      <c r="B89" s="738" t="str">
        <f>'CUADRO (1)'!AI89</f>
        <v/>
      </c>
      <c r="C89" s="679" t="str">
        <f>IF(B89="","",TABLERO!H89)</f>
        <v/>
      </c>
      <c r="D89" s="680" t="str">
        <f>IF(B89="","",'CUADRO (1)'!AJ89)</f>
        <v/>
      </c>
      <c r="E89" s="680" t="str">
        <f>IF(B89="","",TABLERO!CS89)</f>
        <v/>
      </c>
      <c r="F89" s="680" t="str">
        <f>IF(B89="","",TABLERO!CT89)</f>
        <v/>
      </c>
      <c r="G89" s="680" t="str">
        <f>IF(B89="","",TABLERO!CU89)</f>
        <v/>
      </c>
      <c r="H89" s="680" t="str">
        <f>IF(B89="","",TABLERO!CY89)</f>
        <v/>
      </c>
      <c r="I89" s="680" t="str">
        <f>IF(B89="","",TABLERO!CZ89)</f>
        <v/>
      </c>
      <c r="J89" s="718" t="str">
        <f>IF(B89="","",TABLERO!DC89)</f>
        <v/>
      </c>
      <c r="K89" s="680" t="str">
        <f>IF(B89="","",TABLERO!DD89)</f>
        <v/>
      </c>
      <c r="L89" s="679" t="str">
        <f>IF(B89="","",IF(C89="M",TABLERO!$F$20,TABLERO!$F$19))</f>
        <v/>
      </c>
      <c r="M89" s="680" t="str">
        <f>IF(B89="","",TABLERO!DL89)</f>
        <v/>
      </c>
      <c r="N89" s="720" t="str">
        <f>IF(B89="","",'CUADRO (1)'!AZ89)</f>
        <v/>
      </c>
    </row>
    <row r="90" spans="1:14">
      <c r="A90" s="678" t="str">
        <f>TABLERO!B90&amp;IF(TABLERO!C90="","",","&amp;TABLERO!C90)&amp;IF(TABLERO!D90="","",","&amp;TABLERO!D90)</f>
        <v>60</v>
      </c>
      <c r="B90" s="738" t="str">
        <f>'CUADRO (1)'!AI90</f>
        <v/>
      </c>
      <c r="C90" s="679" t="str">
        <f>IF(B90="","",TABLERO!H90)</f>
        <v/>
      </c>
      <c r="D90" s="680" t="str">
        <f>IF(B90="","",'CUADRO (1)'!AJ90)</f>
        <v/>
      </c>
      <c r="E90" s="680" t="str">
        <f>IF(B90="","",TABLERO!CS90)</f>
        <v/>
      </c>
      <c r="F90" s="680" t="str">
        <f>IF(B90="","",TABLERO!CT90)</f>
        <v/>
      </c>
      <c r="G90" s="680" t="str">
        <f>IF(B90="","",TABLERO!CU90)</f>
        <v/>
      </c>
      <c r="H90" s="680" t="str">
        <f>IF(B90="","",TABLERO!CY90)</f>
        <v/>
      </c>
      <c r="I90" s="680" t="str">
        <f>IF(B90="","",TABLERO!CZ90)</f>
        <v/>
      </c>
      <c r="J90" s="718" t="str">
        <f>IF(B90="","",TABLERO!DC90)</f>
        <v/>
      </c>
      <c r="K90" s="680" t="str">
        <f>IF(B90="","",TABLERO!DD90)</f>
        <v/>
      </c>
      <c r="L90" s="679" t="str">
        <f>IF(B90="","",IF(C90="M",TABLERO!$F$20,TABLERO!$F$19))</f>
        <v/>
      </c>
      <c r="M90" s="680" t="str">
        <f>IF(B90="","",TABLERO!DL90)</f>
        <v/>
      </c>
      <c r="N90" s="720" t="str">
        <f>IF(B90="","",'CUADRO (1)'!AZ90)</f>
        <v/>
      </c>
    </row>
    <row r="91" spans="1:14">
      <c r="A91" s="678" t="str">
        <f>TABLERO!B91&amp;IF(TABLERO!C91="","",","&amp;TABLERO!C91)&amp;IF(TABLERO!D91="","",","&amp;TABLERO!D91)</f>
        <v>61</v>
      </c>
      <c r="B91" s="738" t="str">
        <f>'CUADRO (1)'!AI91</f>
        <v/>
      </c>
      <c r="C91" s="679" t="str">
        <f>IF(B91="","",TABLERO!H91)</f>
        <v/>
      </c>
      <c r="D91" s="680" t="str">
        <f>IF(B91="","",'CUADRO (1)'!AJ91)</f>
        <v/>
      </c>
      <c r="E91" s="680" t="str">
        <f>IF(B91="","",TABLERO!CS91)</f>
        <v/>
      </c>
      <c r="F91" s="680" t="str">
        <f>IF(B91="","",TABLERO!CT91)</f>
        <v/>
      </c>
      <c r="G91" s="680" t="str">
        <f>IF(B91="","",TABLERO!CU91)</f>
        <v/>
      </c>
      <c r="H91" s="680" t="str">
        <f>IF(B91="","",TABLERO!CY91)</f>
        <v/>
      </c>
      <c r="I91" s="680" t="str">
        <f>IF(B91="","",TABLERO!CZ91)</f>
        <v/>
      </c>
      <c r="J91" s="718" t="str">
        <f>IF(B91="","",TABLERO!DC91)</f>
        <v/>
      </c>
      <c r="K91" s="680" t="str">
        <f>IF(B91="","",TABLERO!DD91)</f>
        <v/>
      </c>
      <c r="L91" s="679" t="str">
        <f>IF(B91="","",IF(C91="M",TABLERO!$F$20,TABLERO!$F$19))</f>
        <v/>
      </c>
      <c r="M91" s="680" t="str">
        <f>IF(B91="","",TABLERO!DL91)</f>
        <v/>
      </c>
      <c r="N91" s="720" t="str">
        <f>IF(B91="","",'CUADRO (1)'!AZ91)</f>
        <v/>
      </c>
    </row>
    <row r="92" spans="1:14">
      <c r="A92" s="678" t="str">
        <f>TABLERO!B92&amp;IF(TABLERO!C92="","",","&amp;TABLERO!C92)&amp;IF(TABLERO!D92="","",","&amp;TABLERO!D92)</f>
        <v>62</v>
      </c>
      <c r="B92" s="738" t="str">
        <f>'CUADRO (1)'!AI92</f>
        <v/>
      </c>
      <c r="C92" s="679" t="str">
        <f>IF(B92="","",TABLERO!H92)</f>
        <v/>
      </c>
      <c r="D92" s="680" t="str">
        <f>IF(B92="","",'CUADRO (1)'!AJ92)</f>
        <v/>
      </c>
      <c r="E92" s="680" t="str">
        <f>IF(B92="","",TABLERO!CS92)</f>
        <v/>
      </c>
      <c r="F92" s="680" t="str">
        <f>IF(B92="","",TABLERO!CT92)</f>
        <v/>
      </c>
      <c r="G92" s="680" t="str">
        <f>IF(B92="","",TABLERO!CU92)</f>
        <v/>
      </c>
      <c r="H92" s="680" t="str">
        <f>IF(B92="","",TABLERO!CY92)</f>
        <v/>
      </c>
      <c r="I92" s="680" t="str">
        <f>IF(B92="","",TABLERO!CZ92)</f>
        <v/>
      </c>
      <c r="J92" s="718" t="str">
        <f>IF(B92="","",TABLERO!DC92)</f>
        <v/>
      </c>
      <c r="K92" s="680" t="str">
        <f>IF(B92="","",TABLERO!DD92)</f>
        <v/>
      </c>
      <c r="L92" s="679" t="str">
        <f>IF(B92="","",IF(C92="M",TABLERO!$F$20,TABLERO!$F$19))</f>
        <v/>
      </c>
      <c r="M92" s="680" t="str">
        <f>IF(B92="","",TABLERO!DL92)</f>
        <v/>
      </c>
      <c r="N92" s="720" t="str">
        <f>IF(B92="","",'CUADRO (1)'!AZ92)</f>
        <v/>
      </c>
    </row>
    <row r="93" spans="1:14">
      <c r="A93" s="678" t="str">
        <f>TABLERO!B93&amp;IF(TABLERO!C93="","",","&amp;TABLERO!C93)&amp;IF(TABLERO!D93="","",","&amp;TABLERO!D93)</f>
        <v>63</v>
      </c>
      <c r="B93" s="738" t="str">
        <f>'CUADRO (1)'!AI93</f>
        <v/>
      </c>
      <c r="C93" s="679" t="str">
        <f>IF(B93="","",TABLERO!H93)</f>
        <v/>
      </c>
      <c r="D93" s="680" t="str">
        <f>IF(B93="","",'CUADRO (1)'!AJ93)</f>
        <v/>
      </c>
      <c r="E93" s="680" t="str">
        <f>IF(B93="","",TABLERO!CS93)</f>
        <v/>
      </c>
      <c r="F93" s="680" t="str">
        <f>IF(B93="","",TABLERO!CT93)</f>
        <v/>
      </c>
      <c r="G93" s="680" t="str">
        <f>IF(B93="","",TABLERO!CU93)</f>
        <v/>
      </c>
      <c r="H93" s="680" t="str">
        <f>IF(B93="","",TABLERO!CY93)</f>
        <v/>
      </c>
      <c r="I93" s="680" t="str">
        <f>IF(B93="","",TABLERO!CZ93)</f>
        <v/>
      </c>
      <c r="J93" s="718" t="str">
        <f>IF(B93="","",TABLERO!DC93)</f>
        <v/>
      </c>
      <c r="K93" s="680" t="str">
        <f>IF(B93="","",TABLERO!DD93)</f>
        <v/>
      </c>
      <c r="L93" s="679" t="str">
        <f>IF(B93="","",IF(C93="M",TABLERO!$F$20,TABLERO!$F$19))</f>
        <v/>
      </c>
      <c r="M93" s="680" t="str">
        <f>IF(B93="","",TABLERO!DL93)</f>
        <v/>
      </c>
      <c r="N93" s="720" t="str">
        <f>IF(B93="","",'CUADRO (1)'!AZ93)</f>
        <v/>
      </c>
    </row>
    <row r="94" spans="1:14">
      <c r="A94" s="678" t="str">
        <f>TABLERO!B94&amp;IF(TABLERO!C94="","",","&amp;TABLERO!C94)&amp;IF(TABLERO!D94="","",","&amp;TABLERO!D94)</f>
        <v>64</v>
      </c>
      <c r="B94" s="738" t="str">
        <f>'CUADRO (1)'!AI94</f>
        <v/>
      </c>
      <c r="C94" s="679" t="str">
        <f>IF(B94="","",TABLERO!H94)</f>
        <v/>
      </c>
      <c r="D94" s="680" t="str">
        <f>IF(B94="","",'CUADRO (1)'!AJ94)</f>
        <v/>
      </c>
      <c r="E94" s="680" t="str">
        <f>IF(B94="","",TABLERO!CS94)</f>
        <v/>
      </c>
      <c r="F94" s="680" t="str">
        <f>IF(B94="","",TABLERO!CT94)</f>
        <v/>
      </c>
      <c r="G94" s="680" t="str">
        <f>IF(B94="","",TABLERO!CU94)</f>
        <v/>
      </c>
      <c r="H94" s="680" t="str">
        <f>IF(B94="","",TABLERO!CY94)</f>
        <v/>
      </c>
      <c r="I94" s="680" t="str">
        <f>IF(B94="","",TABLERO!CZ94)</f>
        <v/>
      </c>
      <c r="J94" s="718" t="str">
        <f>IF(B94="","",TABLERO!DC94)</f>
        <v/>
      </c>
      <c r="K94" s="680" t="str">
        <f>IF(B94="","",TABLERO!DD94)</f>
        <v/>
      </c>
      <c r="L94" s="679" t="str">
        <f>IF(B94="","",IF(C94="M",TABLERO!$F$20,TABLERO!$F$19))</f>
        <v/>
      </c>
      <c r="M94" s="680" t="str">
        <f>IF(B94="","",TABLERO!DL94)</f>
        <v/>
      </c>
      <c r="N94" s="720" t="str">
        <f>IF(B94="","",'CUADRO (1)'!AZ94)</f>
        <v/>
      </c>
    </row>
    <row r="95" spans="1:14">
      <c r="A95" s="678" t="str">
        <f>TABLERO!B95&amp;IF(TABLERO!C95="","",","&amp;TABLERO!C95)&amp;IF(TABLERO!D95="","",","&amp;TABLERO!D95)</f>
        <v>65</v>
      </c>
      <c r="B95" s="738" t="str">
        <f>'CUADRO (1)'!AI95</f>
        <v/>
      </c>
      <c r="C95" s="679" t="str">
        <f>IF(B95="","",TABLERO!H95)</f>
        <v/>
      </c>
      <c r="D95" s="680" t="str">
        <f>IF(B95="","",'CUADRO (1)'!AJ95)</f>
        <v/>
      </c>
      <c r="E95" s="680" t="str">
        <f>IF(B95="","",TABLERO!CS95)</f>
        <v/>
      </c>
      <c r="F95" s="680" t="str">
        <f>IF(B95="","",TABLERO!CT95)</f>
        <v/>
      </c>
      <c r="G95" s="680" t="str">
        <f>IF(B95="","",TABLERO!CU95)</f>
        <v/>
      </c>
      <c r="H95" s="680" t="str">
        <f>IF(B95="","",TABLERO!CY95)</f>
        <v/>
      </c>
      <c r="I95" s="680" t="str">
        <f>IF(B95="","",TABLERO!CZ95)</f>
        <v/>
      </c>
      <c r="J95" s="718" t="str">
        <f>IF(B95="","",TABLERO!DC95)</f>
        <v/>
      </c>
      <c r="K95" s="680" t="str">
        <f>IF(B95="","",TABLERO!DD95)</f>
        <v/>
      </c>
      <c r="L95" s="679" t="str">
        <f>IF(B95="","",IF(C95="M",TABLERO!$F$20,TABLERO!$F$19))</f>
        <v/>
      </c>
      <c r="M95" s="680" t="str">
        <f>IF(B95="","",TABLERO!DL95)</f>
        <v/>
      </c>
      <c r="N95" s="720" t="str">
        <f>IF(B95="","",'CUADRO (1)'!AZ95)</f>
        <v/>
      </c>
    </row>
    <row r="96" spans="1:14">
      <c r="A96" s="678" t="str">
        <f>TABLERO!B96&amp;IF(TABLERO!C96="","",","&amp;TABLERO!C96)&amp;IF(TABLERO!D96="","",","&amp;TABLERO!D96)</f>
        <v>66</v>
      </c>
      <c r="B96" s="738" t="str">
        <f>'CUADRO (1)'!AI96</f>
        <v/>
      </c>
      <c r="C96" s="679" t="str">
        <f>IF(B96="","",TABLERO!H96)</f>
        <v/>
      </c>
      <c r="D96" s="680" t="str">
        <f>IF(B96="","",'CUADRO (1)'!AJ96)</f>
        <v/>
      </c>
      <c r="E96" s="680" t="str">
        <f>IF(B96="","",TABLERO!CS96)</f>
        <v/>
      </c>
      <c r="F96" s="680" t="str">
        <f>IF(B96="","",TABLERO!CT96)</f>
        <v/>
      </c>
      <c r="G96" s="680" t="str">
        <f>IF(B96="","",TABLERO!CU96)</f>
        <v/>
      </c>
      <c r="H96" s="680" t="str">
        <f>IF(B96="","",TABLERO!CY96)</f>
        <v/>
      </c>
      <c r="I96" s="680" t="str">
        <f>IF(B96="","",TABLERO!CZ96)</f>
        <v/>
      </c>
      <c r="J96" s="718" t="str">
        <f>IF(B96="","",TABLERO!DC96)</f>
        <v/>
      </c>
      <c r="K96" s="680" t="str">
        <f>IF(B96="","",TABLERO!DD96)</f>
        <v/>
      </c>
      <c r="L96" s="679" t="str">
        <f>IF(B96="","",IF(C96="M",TABLERO!$F$20,TABLERO!$F$19))</f>
        <v/>
      </c>
      <c r="M96" s="680" t="str">
        <f>IF(B96="","",TABLERO!DL96)</f>
        <v/>
      </c>
      <c r="N96" s="720" t="str">
        <f>IF(B96="","",'CUADRO (1)'!AZ96)</f>
        <v/>
      </c>
    </row>
    <row r="97" spans="1:14">
      <c r="A97" s="678" t="str">
        <f>TABLERO!B97&amp;IF(TABLERO!C97="","",","&amp;TABLERO!C97)&amp;IF(TABLERO!D97="","",","&amp;TABLERO!D97)</f>
        <v>67</v>
      </c>
      <c r="B97" s="738" t="str">
        <f>'CUADRO (1)'!AI97</f>
        <v/>
      </c>
      <c r="C97" s="679" t="str">
        <f>IF(B97="","",TABLERO!H97)</f>
        <v/>
      </c>
      <c r="D97" s="680" t="str">
        <f>IF(B97="","",'CUADRO (1)'!AJ97)</f>
        <v/>
      </c>
      <c r="E97" s="680" t="str">
        <f>IF(B97="","",TABLERO!CS97)</f>
        <v/>
      </c>
      <c r="F97" s="680" t="str">
        <f>IF(B97="","",TABLERO!CT97)</f>
        <v/>
      </c>
      <c r="G97" s="680" t="str">
        <f>IF(B97="","",TABLERO!CU97)</f>
        <v/>
      </c>
      <c r="H97" s="680" t="str">
        <f>IF(B97="","",TABLERO!CY97)</f>
        <v/>
      </c>
      <c r="I97" s="680" t="str">
        <f>IF(B97="","",TABLERO!CZ97)</f>
        <v/>
      </c>
      <c r="J97" s="718" t="str">
        <f>IF(B97="","",TABLERO!DC97)</f>
        <v/>
      </c>
      <c r="K97" s="680" t="str">
        <f>IF(B97="","",TABLERO!DD97)</f>
        <v/>
      </c>
      <c r="L97" s="679" t="str">
        <f>IF(B97="","",IF(C97="M",TABLERO!$F$20,TABLERO!$F$19))</f>
        <v/>
      </c>
      <c r="M97" s="680" t="str">
        <f>IF(B97="","",TABLERO!DL97)</f>
        <v/>
      </c>
      <c r="N97" s="720" t="str">
        <f>IF(B97="","",'CUADRO (1)'!AZ97)</f>
        <v/>
      </c>
    </row>
    <row r="98" spans="1:14">
      <c r="A98" s="678" t="str">
        <f>TABLERO!B98&amp;IF(TABLERO!C98="","",","&amp;TABLERO!C98)&amp;IF(TABLERO!D98="","",","&amp;TABLERO!D98)</f>
        <v>68</v>
      </c>
      <c r="B98" s="738" t="str">
        <f>'CUADRO (1)'!AI98</f>
        <v/>
      </c>
      <c r="C98" s="679" t="str">
        <f>IF(B98="","",TABLERO!H98)</f>
        <v/>
      </c>
      <c r="D98" s="680" t="str">
        <f>IF(B98="","",'CUADRO (1)'!AJ98)</f>
        <v/>
      </c>
      <c r="E98" s="680" t="str">
        <f>IF(B98="","",TABLERO!CS98)</f>
        <v/>
      </c>
      <c r="F98" s="680" t="str">
        <f>IF(B98="","",TABLERO!CT98)</f>
        <v/>
      </c>
      <c r="G98" s="680" t="str">
        <f>IF(B98="","",TABLERO!CU98)</f>
        <v/>
      </c>
      <c r="H98" s="680" t="str">
        <f>IF(B98="","",TABLERO!CY98)</f>
        <v/>
      </c>
      <c r="I98" s="680" t="str">
        <f>IF(B98="","",TABLERO!CZ98)</f>
        <v/>
      </c>
      <c r="J98" s="718" t="str">
        <f>IF(B98="","",TABLERO!DC98)</f>
        <v/>
      </c>
      <c r="K98" s="680" t="str">
        <f>IF(B98="","",TABLERO!DD98)</f>
        <v/>
      </c>
      <c r="L98" s="679" t="str">
        <f>IF(B98="","",IF(C98="M",TABLERO!$F$20,TABLERO!$F$19))</f>
        <v/>
      </c>
      <c r="M98" s="680" t="str">
        <f>IF(B98="","",TABLERO!DL98)</f>
        <v/>
      </c>
      <c r="N98" s="720" t="str">
        <f>IF(B98="","",'CUADRO (1)'!AZ98)</f>
        <v/>
      </c>
    </row>
    <row r="99" spans="1:14">
      <c r="A99" s="678" t="str">
        <f>TABLERO!B99&amp;IF(TABLERO!C99="","",","&amp;TABLERO!C99)&amp;IF(TABLERO!D99="","",","&amp;TABLERO!D99)</f>
        <v>69</v>
      </c>
      <c r="B99" s="738" t="str">
        <f>'CUADRO (1)'!AI99</f>
        <v/>
      </c>
      <c r="C99" s="679" t="str">
        <f>IF(B99="","",TABLERO!H99)</f>
        <v/>
      </c>
      <c r="D99" s="680" t="str">
        <f>IF(B99="","",'CUADRO (1)'!AJ99)</f>
        <v/>
      </c>
      <c r="E99" s="680" t="str">
        <f>IF(B99="","",TABLERO!CS99)</f>
        <v/>
      </c>
      <c r="F99" s="680" t="str">
        <f>IF(B99="","",TABLERO!CT99)</f>
        <v/>
      </c>
      <c r="G99" s="680" t="str">
        <f>IF(B99="","",TABLERO!CU99)</f>
        <v/>
      </c>
      <c r="H99" s="680" t="str">
        <f>IF(B99="","",TABLERO!CY99)</f>
        <v/>
      </c>
      <c r="I99" s="680" t="str">
        <f>IF(B99="","",TABLERO!CZ99)</f>
        <v/>
      </c>
      <c r="J99" s="718" t="str">
        <f>IF(B99="","",TABLERO!DC99)</f>
        <v/>
      </c>
      <c r="K99" s="680" t="str">
        <f>IF(B99="","",TABLERO!DD99)</f>
        <v/>
      </c>
      <c r="L99" s="679" t="str">
        <f>IF(B99="","",IF(C99="M",TABLERO!$F$20,TABLERO!$F$19))</f>
        <v/>
      </c>
      <c r="M99" s="680" t="str">
        <f>IF(B99="","",TABLERO!DL99)</f>
        <v/>
      </c>
      <c r="N99" s="720" t="str">
        <f>IF(B99="","",'CUADRO (1)'!AZ99)</f>
        <v/>
      </c>
    </row>
    <row r="100" spans="1:14">
      <c r="A100" s="678" t="str">
        <f>TABLERO!B100&amp;IF(TABLERO!C100="","",","&amp;TABLERO!C100)&amp;IF(TABLERO!D100="","",","&amp;TABLERO!D100)</f>
        <v>70</v>
      </c>
      <c r="B100" s="738" t="str">
        <f>'CUADRO (1)'!AI100</f>
        <v/>
      </c>
      <c r="C100" s="679" t="str">
        <f>IF(B100="","",TABLERO!H100)</f>
        <v/>
      </c>
      <c r="D100" s="680" t="str">
        <f>IF(B100="","",'CUADRO (1)'!AJ100)</f>
        <v/>
      </c>
      <c r="E100" s="680" t="str">
        <f>IF(B100="","",TABLERO!CS100)</f>
        <v/>
      </c>
      <c r="F100" s="680" t="str">
        <f>IF(B100="","",TABLERO!CT100)</f>
        <v/>
      </c>
      <c r="G100" s="680" t="str">
        <f>IF(B100="","",TABLERO!CU100)</f>
        <v/>
      </c>
      <c r="H100" s="680" t="str">
        <f>IF(B100="","",TABLERO!CY100)</f>
        <v/>
      </c>
      <c r="I100" s="680" t="str">
        <f>IF(B100="","",TABLERO!CZ100)</f>
        <v/>
      </c>
      <c r="J100" s="718" t="str">
        <f>IF(B100="","",TABLERO!DC100)</f>
        <v/>
      </c>
      <c r="K100" s="680" t="str">
        <f>IF(B100="","",TABLERO!DD100)</f>
        <v/>
      </c>
      <c r="L100" s="679" t="str">
        <f>IF(B100="","",IF(C100="M",TABLERO!$F$20,TABLERO!$F$19))</f>
        <v/>
      </c>
      <c r="M100" s="680" t="str">
        <f>IF(B100="","",TABLERO!DL100)</f>
        <v/>
      </c>
      <c r="N100" s="720" t="str">
        <f>IF(B100="","",'CUADRO (1)'!AZ100)</f>
        <v/>
      </c>
    </row>
    <row r="101" spans="1:14">
      <c r="A101" s="678" t="str">
        <f>TABLERO!B101&amp;IF(TABLERO!C101="","",","&amp;TABLERO!C101)&amp;IF(TABLERO!D101="","",","&amp;TABLERO!D101)</f>
        <v>71</v>
      </c>
      <c r="B101" s="738" t="str">
        <f>'CUADRO (1)'!AI101</f>
        <v/>
      </c>
      <c r="C101" s="679" t="str">
        <f>IF(B101="","",TABLERO!H101)</f>
        <v/>
      </c>
      <c r="D101" s="680" t="str">
        <f>IF(B101="","",'CUADRO (1)'!AJ101)</f>
        <v/>
      </c>
      <c r="E101" s="680" t="str">
        <f>IF(B101="","",TABLERO!CS101)</f>
        <v/>
      </c>
      <c r="F101" s="680" t="str">
        <f>IF(B101="","",TABLERO!CT101)</f>
        <v/>
      </c>
      <c r="G101" s="680" t="str">
        <f>IF(B101="","",TABLERO!CU101)</f>
        <v/>
      </c>
      <c r="H101" s="680" t="str">
        <f>IF(B101="","",TABLERO!CY101)</f>
        <v/>
      </c>
      <c r="I101" s="680" t="str">
        <f>IF(B101="","",TABLERO!CZ101)</f>
        <v/>
      </c>
      <c r="J101" s="718" t="str">
        <f>IF(B101="","",TABLERO!DC101)</f>
        <v/>
      </c>
      <c r="K101" s="680" t="str">
        <f>IF(B101="","",TABLERO!DD101)</f>
        <v/>
      </c>
      <c r="L101" s="679" t="str">
        <f>IF(B101="","",IF(C101="M",TABLERO!$F$20,TABLERO!$F$19))</f>
        <v/>
      </c>
      <c r="M101" s="680" t="str">
        <f>IF(B101="","",TABLERO!DL101)</f>
        <v/>
      </c>
      <c r="N101" s="720" t="str">
        <f>IF(B101="","",'CUADRO (1)'!AZ101)</f>
        <v/>
      </c>
    </row>
    <row r="102" spans="1:14">
      <c r="A102" s="678" t="str">
        <f>TABLERO!B102&amp;IF(TABLERO!C102="","",","&amp;TABLERO!C102)&amp;IF(TABLERO!D102="","",","&amp;TABLERO!D102)</f>
        <v>72</v>
      </c>
      <c r="B102" s="738" t="str">
        <f>'CUADRO (1)'!AI102</f>
        <v/>
      </c>
      <c r="C102" s="679" t="str">
        <f>IF(B102="","",TABLERO!H102)</f>
        <v/>
      </c>
      <c r="D102" s="680" t="str">
        <f>IF(B102="","",'CUADRO (1)'!AJ102)</f>
        <v/>
      </c>
      <c r="E102" s="680" t="str">
        <f>IF(B102="","",TABLERO!CS102)</f>
        <v/>
      </c>
      <c r="F102" s="680" t="str">
        <f>IF(B102="","",TABLERO!CT102)</f>
        <v/>
      </c>
      <c r="G102" s="680" t="str">
        <f>IF(B102="","",TABLERO!CU102)</f>
        <v/>
      </c>
      <c r="H102" s="680" t="str">
        <f>IF(B102="","",TABLERO!CY102)</f>
        <v/>
      </c>
      <c r="I102" s="680" t="str">
        <f>IF(B102="","",TABLERO!CZ102)</f>
        <v/>
      </c>
      <c r="J102" s="718" t="str">
        <f>IF(B102="","",TABLERO!DC102)</f>
        <v/>
      </c>
      <c r="K102" s="680" t="str">
        <f>IF(B102="","",TABLERO!DD102)</f>
        <v/>
      </c>
      <c r="L102" s="679" t="str">
        <f>IF(B102="","",IF(C102="M",TABLERO!$F$20,TABLERO!$F$19))</f>
        <v/>
      </c>
      <c r="M102" s="680" t="str">
        <f>IF(B102="","",TABLERO!DL102)</f>
        <v/>
      </c>
      <c r="N102" s="720" t="str">
        <f>IF(B102="","",'CUADRO (1)'!AZ102)</f>
        <v/>
      </c>
    </row>
    <row r="103" spans="1:14">
      <c r="A103" s="678" t="str">
        <f>TABLERO!B103&amp;IF(TABLERO!C103="","",","&amp;TABLERO!C103)&amp;IF(TABLERO!D103="","",","&amp;TABLERO!D103)</f>
        <v>73</v>
      </c>
      <c r="B103" s="738" t="str">
        <f>'CUADRO (1)'!AI103</f>
        <v/>
      </c>
      <c r="C103" s="679" t="str">
        <f>IF(B103="","",TABLERO!H103)</f>
        <v/>
      </c>
      <c r="D103" s="680" t="str">
        <f>IF(B103="","",'CUADRO (1)'!AJ103)</f>
        <v/>
      </c>
      <c r="E103" s="680" t="str">
        <f>IF(B103="","",TABLERO!CS103)</f>
        <v/>
      </c>
      <c r="F103" s="680" t="str">
        <f>IF(B103="","",TABLERO!CT103)</f>
        <v/>
      </c>
      <c r="G103" s="680" t="str">
        <f>IF(B103="","",TABLERO!CU103)</f>
        <v/>
      </c>
      <c r="H103" s="680" t="str">
        <f>IF(B103="","",TABLERO!CY103)</f>
        <v/>
      </c>
      <c r="I103" s="680" t="str">
        <f>IF(B103="","",TABLERO!CZ103)</f>
        <v/>
      </c>
      <c r="J103" s="718" t="str">
        <f>IF(B103="","",TABLERO!DC103)</f>
        <v/>
      </c>
      <c r="K103" s="680" t="str">
        <f>IF(B103="","",TABLERO!DD103)</f>
        <v/>
      </c>
      <c r="L103" s="679" t="str">
        <f>IF(B103="","",IF(C103="M",TABLERO!$F$20,TABLERO!$F$19))</f>
        <v/>
      </c>
      <c r="M103" s="680" t="str">
        <f>IF(B103="","",TABLERO!DL103)</f>
        <v/>
      </c>
      <c r="N103" s="720" t="str">
        <f>IF(B103="","",'CUADRO (1)'!AZ103)</f>
        <v/>
      </c>
    </row>
    <row r="104" spans="1:14">
      <c r="A104" s="678" t="str">
        <f>TABLERO!B104&amp;IF(TABLERO!C104="","",","&amp;TABLERO!C104)&amp;IF(TABLERO!D104="","",","&amp;TABLERO!D104)</f>
        <v>74</v>
      </c>
      <c r="B104" s="738" t="str">
        <f>'CUADRO (1)'!AI104</f>
        <v/>
      </c>
      <c r="C104" s="679" t="str">
        <f>IF(B104="","",TABLERO!H104)</f>
        <v/>
      </c>
      <c r="D104" s="680" t="str">
        <f>IF(B104="","",'CUADRO (1)'!AJ104)</f>
        <v/>
      </c>
      <c r="E104" s="680" t="str">
        <f>IF(B104="","",TABLERO!CS104)</f>
        <v/>
      </c>
      <c r="F104" s="680" t="str">
        <f>IF(B104="","",TABLERO!CT104)</f>
        <v/>
      </c>
      <c r="G104" s="680" t="str">
        <f>IF(B104="","",TABLERO!CU104)</f>
        <v/>
      </c>
      <c r="H104" s="680" t="str">
        <f>IF(B104="","",TABLERO!CY104)</f>
        <v/>
      </c>
      <c r="I104" s="680" t="str">
        <f>IF(B104="","",TABLERO!CZ104)</f>
        <v/>
      </c>
      <c r="J104" s="718" t="str">
        <f>IF(B104="","",TABLERO!DC104)</f>
        <v/>
      </c>
      <c r="K104" s="680" t="str">
        <f>IF(B104="","",TABLERO!DD104)</f>
        <v/>
      </c>
      <c r="L104" s="679" t="str">
        <f>IF(B104="","",IF(C104="M",TABLERO!$F$20,TABLERO!$F$19))</f>
        <v/>
      </c>
      <c r="M104" s="680" t="str">
        <f>IF(B104="","",TABLERO!DL104)</f>
        <v/>
      </c>
      <c r="N104" s="720" t="str">
        <f>IF(B104="","",'CUADRO (1)'!AZ104)</f>
        <v/>
      </c>
    </row>
    <row r="105" spans="1:14">
      <c r="A105" s="678" t="str">
        <f>TABLERO!B105&amp;IF(TABLERO!C105="","",","&amp;TABLERO!C105)&amp;IF(TABLERO!D105="","",","&amp;TABLERO!D105)</f>
        <v>75</v>
      </c>
      <c r="B105" s="738" t="str">
        <f>'CUADRO (1)'!AI105</f>
        <v/>
      </c>
      <c r="C105" s="679" t="str">
        <f>IF(B105="","",TABLERO!H105)</f>
        <v/>
      </c>
      <c r="D105" s="680" t="str">
        <f>IF(B105="","",'CUADRO (1)'!AJ105)</f>
        <v/>
      </c>
      <c r="E105" s="680" t="str">
        <f>IF(B105="","",TABLERO!CS105)</f>
        <v/>
      </c>
      <c r="F105" s="680" t="str">
        <f>IF(B105="","",TABLERO!CT105)</f>
        <v/>
      </c>
      <c r="G105" s="680" t="str">
        <f>IF(B105="","",TABLERO!CU105)</f>
        <v/>
      </c>
      <c r="H105" s="680" t="str">
        <f>IF(B105="","",TABLERO!CY105)</f>
        <v/>
      </c>
      <c r="I105" s="680" t="str">
        <f>IF(B105="","",TABLERO!CZ105)</f>
        <v/>
      </c>
      <c r="J105" s="718" t="str">
        <f>IF(B105="","",TABLERO!DC105)</f>
        <v/>
      </c>
      <c r="K105" s="680" t="str">
        <f>IF(B105="","",TABLERO!DD105)</f>
        <v/>
      </c>
      <c r="L105" s="679" t="str">
        <f>IF(B105="","",IF(C105="M",TABLERO!$F$20,TABLERO!$F$19))</f>
        <v/>
      </c>
      <c r="M105" s="680" t="str">
        <f>IF(B105="","",TABLERO!DL105)</f>
        <v/>
      </c>
      <c r="N105" s="720" t="str">
        <f>IF(B105="","",'CUADRO (1)'!AZ105)</f>
        <v/>
      </c>
    </row>
    <row r="106" spans="1:14">
      <c r="A106" s="678" t="str">
        <f>TABLERO!B106&amp;IF(TABLERO!C106="","",","&amp;TABLERO!C106)&amp;IF(TABLERO!D106="","",","&amp;TABLERO!D106)</f>
        <v>76</v>
      </c>
      <c r="B106" s="738" t="str">
        <f>'CUADRO (1)'!AI106</f>
        <v/>
      </c>
      <c r="C106" s="679" t="str">
        <f>IF(B106="","",TABLERO!H106)</f>
        <v/>
      </c>
      <c r="D106" s="680" t="str">
        <f>IF(B106="","",'CUADRO (1)'!AJ106)</f>
        <v/>
      </c>
      <c r="E106" s="680" t="str">
        <f>IF(B106="","",TABLERO!CS106)</f>
        <v/>
      </c>
      <c r="F106" s="680" t="str">
        <f>IF(B106="","",TABLERO!CT106)</f>
        <v/>
      </c>
      <c r="G106" s="680" t="str">
        <f>IF(B106="","",TABLERO!CU106)</f>
        <v/>
      </c>
      <c r="H106" s="680" t="str">
        <f>IF(B106="","",TABLERO!CY106)</f>
        <v/>
      </c>
      <c r="I106" s="680" t="str">
        <f>IF(B106="","",TABLERO!CZ106)</f>
        <v/>
      </c>
      <c r="J106" s="718" t="str">
        <f>IF(B106="","",TABLERO!DC106)</f>
        <v/>
      </c>
      <c r="K106" s="680" t="str">
        <f>IF(B106="","",TABLERO!DD106)</f>
        <v/>
      </c>
      <c r="L106" s="679" t="str">
        <f>IF(B106="","",IF(C106="M",TABLERO!$F$20,TABLERO!$F$19))</f>
        <v/>
      </c>
      <c r="M106" s="680" t="str">
        <f>IF(B106="","",TABLERO!DL106)</f>
        <v/>
      </c>
      <c r="N106" s="720" t="str">
        <f>IF(B106="","",'CUADRO (1)'!AZ106)</f>
        <v/>
      </c>
    </row>
    <row r="107" spans="1:14">
      <c r="A107" s="678" t="str">
        <f>TABLERO!B107&amp;IF(TABLERO!C107="","",","&amp;TABLERO!C107)&amp;IF(TABLERO!D107="","",","&amp;TABLERO!D107)</f>
        <v>77</v>
      </c>
      <c r="B107" s="738" t="str">
        <f>'CUADRO (1)'!AI107</f>
        <v/>
      </c>
      <c r="C107" s="679" t="str">
        <f>IF(B107="","",TABLERO!H107)</f>
        <v/>
      </c>
      <c r="D107" s="680" t="str">
        <f>IF(B107="","",'CUADRO (1)'!AJ107)</f>
        <v/>
      </c>
      <c r="E107" s="680" t="str">
        <f>IF(B107="","",TABLERO!CS107)</f>
        <v/>
      </c>
      <c r="F107" s="680" t="str">
        <f>IF(B107="","",TABLERO!CT107)</f>
        <v/>
      </c>
      <c r="G107" s="680" t="str">
        <f>IF(B107="","",TABLERO!CU107)</f>
        <v/>
      </c>
      <c r="H107" s="680" t="str">
        <f>IF(B107="","",TABLERO!CY107)</f>
        <v/>
      </c>
      <c r="I107" s="680" t="str">
        <f>IF(B107="","",TABLERO!CZ107)</f>
        <v/>
      </c>
      <c r="J107" s="718" t="str">
        <f>IF(B107="","",TABLERO!DC107)</f>
        <v/>
      </c>
      <c r="K107" s="680" t="str">
        <f>IF(B107="","",TABLERO!DD107)</f>
        <v/>
      </c>
      <c r="L107" s="679" t="str">
        <f>IF(B107="","",IF(C107="M",TABLERO!$F$20,TABLERO!$F$19))</f>
        <v/>
      </c>
      <c r="M107" s="680" t="str">
        <f>IF(B107="","",TABLERO!DL107)</f>
        <v/>
      </c>
      <c r="N107" s="720" t="str">
        <f>IF(B107="","",'CUADRO (1)'!AZ107)</f>
        <v/>
      </c>
    </row>
    <row r="108" spans="1:14">
      <c r="A108" s="678" t="str">
        <f>TABLERO!B108&amp;IF(TABLERO!C108="","",","&amp;TABLERO!C108)&amp;IF(TABLERO!D108="","",","&amp;TABLERO!D108)</f>
        <v>78</v>
      </c>
      <c r="B108" s="738" t="str">
        <f>'CUADRO (1)'!AI108</f>
        <v/>
      </c>
      <c r="C108" s="679" t="str">
        <f>IF(B108="","",TABLERO!H108)</f>
        <v/>
      </c>
      <c r="D108" s="680" t="str">
        <f>IF(B108="","",'CUADRO (1)'!AJ108)</f>
        <v/>
      </c>
      <c r="E108" s="680" t="str">
        <f>IF(B108="","",TABLERO!CS108)</f>
        <v/>
      </c>
      <c r="F108" s="680" t="str">
        <f>IF(B108="","",TABLERO!CT108)</f>
        <v/>
      </c>
      <c r="G108" s="680" t="str">
        <f>IF(B108="","",TABLERO!CU108)</f>
        <v/>
      </c>
      <c r="H108" s="680" t="str">
        <f>IF(B108="","",TABLERO!CY108)</f>
        <v/>
      </c>
      <c r="I108" s="680" t="str">
        <f>IF(B108="","",TABLERO!CZ108)</f>
        <v/>
      </c>
      <c r="J108" s="718" t="str">
        <f>IF(B108="","",TABLERO!DC108)</f>
        <v/>
      </c>
      <c r="K108" s="680" t="str">
        <f>IF(B108="","",TABLERO!DD108)</f>
        <v/>
      </c>
      <c r="L108" s="679" t="str">
        <f>IF(B108="","",IF(C108="M",TABLERO!$F$20,TABLERO!$F$19))</f>
        <v/>
      </c>
      <c r="M108" s="680" t="str">
        <f>IF(B108="","",TABLERO!DL108)</f>
        <v/>
      </c>
      <c r="N108" s="720" t="str">
        <f>IF(B108="","",'CUADRO (1)'!AZ108)</f>
        <v/>
      </c>
    </row>
    <row r="109" spans="1:14">
      <c r="A109" s="678" t="str">
        <f>TABLERO!B109&amp;IF(TABLERO!C109="","",","&amp;TABLERO!C109)&amp;IF(TABLERO!D109="","",","&amp;TABLERO!D109)</f>
        <v>79</v>
      </c>
      <c r="B109" s="738" t="str">
        <f>'CUADRO (1)'!AI109</f>
        <v/>
      </c>
      <c r="C109" s="679" t="str">
        <f>IF(B109="","",TABLERO!H109)</f>
        <v/>
      </c>
      <c r="D109" s="680" t="str">
        <f>IF(B109="","",'CUADRO (1)'!AJ109)</f>
        <v/>
      </c>
      <c r="E109" s="680" t="str">
        <f>IF(B109="","",TABLERO!CS109)</f>
        <v/>
      </c>
      <c r="F109" s="680" t="str">
        <f>IF(B109="","",TABLERO!CT109)</f>
        <v/>
      </c>
      <c r="G109" s="680" t="str">
        <f>IF(B109="","",TABLERO!CU109)</f>
        <v/>
      </c>
      <c r="H109" s="680" t="str">
        <f>IF(B109="","",TABLERO!CY109)</f>
        <v/>
      </c>
      <c r="I109" s="680" t="str">
        <f>IF(B109="","",TABLERO!CZ109)</f>
        <v/>
      </c>
      <c r="J109" s="718" t="str">
        <f>IF(B109="","",TABLERO!DC109)</f>
        <v/>
      </c>
      <c r="K109" s="680" t="str">
        <f>IF(B109="","",TABLERO!DD109)</f>
        <v/>
      </c>
      <c r="L109" s="679" t="str">
        <f>IF(B109="","",IF(C109="M",TABLERO!$F$20,TABLERO!$F$19))</f>
        <v/>
      </c>
      <c r="M109" s="680" t="str">
        <f>IF(B109="","",TABLERO!DL109)</f>
        <v/>
      </c>
      <c r="N109" s="720" t="str">
        <f>IF(B109="","",'CUADRO (1)'!AZ109)</f>
        <v/>
      </c>
    </row>
    <row r="110" spans="1:14">
      <c r="A110" s="678" t="str">
        <f>TABLERO!B110&amp;IF(TABLERO!C110="","",","&amp;TABLERO!C110)&amp;IF(TABLERO!D110="","",","&amp;TABLERO!D110)</f>
        <v>80</v>
      </c>
      <c r="B110" s="738" t="str">
        <f>'CUADRO (1)'!AI110</f>
        <v/>
      </c>
      <c r="C110" s="679" t="str">
        <f>IF(B110="","",TABLERO!H110)</f>
        <v/>
      </c>
      <c r="D110" s="680" t="str">
        <f>IF(B110="","",'CUADRO (1)'!AJ110)</f>
        <v/>
      </c>
      <c r="E110" s="680" t="str">
        <f>IF(B110="","",TABLERO!CS110)</f>
        <v/>
      </c>
      <c r="F110" s="680" t="str">
        <f>IF(B110="","",TABLERO!CT110)</f>
        <v/>
      </c>
      <c r="G110" s="680" t="str">
        <f>IF(B110="","",TABLERO!CU110)</f>
        <v/>
      </c>
      <c r="H110" s="680" t="str">
        <f>IF(B110="","",TABLERO!CY110)</f>
        <v/>
      </c>
      <c r="I110" s="680" t="str">
        <f>IF(B110="","",TABLERO!CZ110)</f>
        <v/>
      </c>
      <c r="J110" s="718" t="str">
        <f>IF(B110="","",TABLERO!DC110)</f>
        <v/>
      </c>
      <c r="K110" s="680" t="str">
        <f>IF(B110="","",TABLERO!DD110)</f>
        <v/>
      </c>
      <c r="L110" s="679" t="str">
        <f>IF(B110="","",IF(C110="M",TABLERO!$F$20,TABLERO!$F$19))</f>
        <v/>
      </c>
      <c r="M110" s="680" t="str">
        <f>IF(B110="","",TABLERO!DL110)</f>
        <v/>
      </c>
      <c r="N110" s="720" t="str">
        <f>IF(B110="","",'CUADRO (1)'!AZ110)</f>
        <v/>
      </c>
    </row>
    <row r="111" spans="1:14">
      <c r="A111" s="678" t="str">
        <f>TABLERO!B111&amp;IF(TABLERO!C111="","",","&amp;TABLERO!C111)&amp;IF(TABLERO!D111="","",","&amp;TABLERO!D111)</f>
        <v>81</v>
      </c>
      <c r="B111" s="738" t="str">
        <f>'CUADRO (1)'!AI111</f>
        <v/>
      </c>
      <c r="C111" s="679" t="str">
        <f>IF(B111="","",TABLERO!H111)</f>
        <v/>
      </c>
      <c r="D111" s="680" t="str">
        <f>IF(B111="","",'CUADRO (1)'!AJ111)</f>
        <v/>
      </c>
      <c r="E111" s="680" t="str">
        <f>IF(B111="","",TABLERO!CS111)</f>
        <v/>
      </c>
      <c r="F111" s="680" t="str">
        <f>IF(B111="","",TABLERO!CT111)</f>
        <v/>
      </c>
      <c r="G111" s="680" t="str">
        <f>IF(B111="","",TABLERO!CU111)</f>
        <v/>
      </c>
      <c r="H111" s="680" t="str">
        <f>IF(B111="","",TABLERO!CY111)</f>
        <v/>
      </c>
      <c r="I111" s="680" t="str">
        <f>IF(B111="","",TABLERO!CZ111)</f>
        <v/>
      </c>
      <c r="J111" s="718" t="str">
        <f>IF(B111="","",TABLERO!DC111)</f>
        <v/>
      </c>
      <c r="K111" s="680" t="str">
        <f>IF(B111="","",TABLERO!DD111)</f>
        <v/>
      </c>
      <c r="L111" s="679" t="str">
        <f>IF(B111="","",IF(C111="M",TABLERO!$F$20,TABLERO!$F$19))</f>
        <v/>
      </c>
      <c r="M111" s="680" t="str">
        <f>IF(B111="","",TABLERO!DL111)</f>
        <v/>
      </c>
      <c r="N111" s="720" t="str">
        <f>IF(B111="","",'CUADRO (1)'!AZ111)</f>
        <v/>
      </c>
    </row>
    <row r="112" spans="1:14">
      <c r="A112" s="678" t="str">
        <f>TABLERO!B112&amp;IF(TABLERO!C112="","",","&amp;TABLERO!C112)&amp;IF(TABLERO!D112="","",","&amp;TABLERO!D112)</f>
        <v>82</v>
      </c>
      <c r="B112" s="738" t="str">
        <f>'CUADRO (1)'!AI112</f>
        <v/>
      </c>
      <c r="C112" s="679" t="str">
        <f>IF(B112="","",TABLERO!H112)</f>
        <v/>
      </c>
      <c r="D112" s="680" t="str">
        <f>IF(B112="","",'CUADRO (1)'!AJ112)</f>
        <v/>
      </c>
      <c r="E112" s="680" t="str">
        <f>IF(B112="","",TABLERO!CS112)</f>
        <v/>
      </c>
      <c r="F112" s="680" t="str">
        <f>IF(B112="","",TABLERO!CT112)</f>
        <v/>
      </c>
      <c r="G112" s="680" t="str">
        <f>IF(B112="","",TABLERO!CU112)</f>
        <v/>
      </c>
      <c r="H112" s="680" t="str">
        <f>IF(B112="","",TABLERO!CY112)</f>
        <v/>
      </c>
      <c r="I112" s="680" t="str">
        <f>IF(B112="","",TABLERO!CZ112)</f>
        <v/>
      </c>
      <c r="J112" s="718" t="str">
        <f>IF(B112="","",TABLERO!DC112)</f>
        <v/>
      </c>
      <c r="K112" s="680" t="str">
        <f>IF(B112="","",TABLERO!DD112)</f>
        <v/>
      </c>
      <c r="L112" s="679" t="str">
        <f>IF(B112="","",IF(C112="M",TABLERO!$F$20,TABLERO!$F$19))</f>
        <v/>
      </c>
      <c r="M112" s="680" t="str">
        <f>IF(B112="","",TABLERO!DL112)</f>
        <v/>
      </c>
      <c r="N112" s="720" t="str">
        <f>IF(B112="","",'CUADRO (1)'!AZ112)</f>
        <v/>
      </c>
    </row>
    <row r="113" spans="1:14">
      <c r="A113" s="678" t="str">
        <f>TABLERO!B113&amp;IF(TABLERO!C113="","",","&amp;TABLERO!C113)&amp;IF(TABLERO!D113="","",","&amp;TABLERO!D113)</f>
        <v>83</v>
      </c>
      <c r="B113" s="738" t="str">
        <f>'CUADRO (1)'!AI113</f>
        <v/>
      </c>
      <c r="C113" s="679" t="str">
        <f>IF(B113="","",TABLERO!H113)</f>
        <v/>
      </c>
      <c r="D113" s="680" t="str">
        <f>IF(B113="","",'CUADRO (1)'!AJ113)</f>
        <v/>
      </c>
      <c r="E113" s="680" t="str">
        <f>IF(B113="","",TABLERO!CS113)</f>
        <v/>
      </c>
      <c r="F113" s="680" t="str">
        <f>IF(B113="","",TABLERO!CT113)</f>
        <v/>
      </c>
      <c r="G113" s="680" t="str">
        <f>IF(B113="","",TABLERO!CU113)</f>
        <v/>
      </c>
      <c r="H113" s="680" t="str">
        <f>IF(B113="","",TABLERO!CY113)</f>
        <v/>
      </c>
      <c r="I113" s="680" t="str">
        <f>IF(B113="","",TABLERO!CZ113)</f>
        <v/>
      </c>
      <c r="J113" s="718" t="str">
        <f>IF(B113="","",TABLERO!DC113)</f>
        <v/>
      </c>
      <c r="K113" s="680" t="str">
        <f>IF(B113="","",TABLERO!DD113)</f>
        <v/>
      </c>
      <c r="L113" s="679" t="str">
        <f>IF(B113="","",IF(C113="M",TABLERO!$F$20,TABLERO!$F$19))</f>
        <v/>
      </c>
      <c r="M113" s="680" t="str">
        <f>IF(B113="","",TABLERO!DL113)</f>
        <v/>
      </c>
      <c r="N113" s="720" t="str">
        <f>IF(B113="","",'CUADRO (1)'!AZ113)</f>
        <v/>
      </c>
    </row>
    <row r="114" spans="1:14">
      <c r="A114" s="678" t="str">
        <f>TABLERO!B114&amp;IF(TABLERO!C114="","",","&amp;TABLERO!C114)&amp;IF(TABLERO!D114="","",","&amp;TABLERO!D114)</f>
        <v>84</v>
      </c>
      <c r="B114" s="738" t="str">
        <f>'CUADRO (1)'!AI114</f>
        <v/>
      </c>
      <c r="C114" s="679" t="str">
        <f>IF(B114="","",TABLERO!H114)</f>
        <v/>
      </c>
      <c r="D114" s="680" t="str">
        <f>IF(B114="","",'CUADRO (1)'!AJ114)</f>
        <v/>
      </c>
      <c r="E114" s="680" t="str">
        <f>IF(B114="","",TABLERO!CS114)</f>
        <v/>
      </c>
      <c r="F114" s="680" t="str">
        <f>IF(B114="","",TABLERO!CT114)</f>
        <v/>
      </c>
      <c r="G114" s="680" t="str">
        <f>IF(B114="","",TABLERO!CU114)</f>
        <v/>
      </c>
      <c r="H114" s="680" t="str">
        <f>IF(B114="","",TABLERO!CY114)</f>
        <v/>
      </c>
      <c r="I114" s="680" t="str">
        <f>IF(B114="","",TABLERO!CZ114)</f>
        <v/>
      </c>
      <c r="J114" s="718" t="str">
        <f>IF(B114="","",TABLERO!DC114)</f>
        <v/>
      </c>
      <c r="K114" s="680" t="str">
        <f>IF(B114="","",TABLERO!DD114)</f>
        <v/>
      </c>
      <c r="L114" s="679" t="str">
        <f>IF(B114="","",IF(C114="M",TABLERO!$F$20,TABLERO!$F$19))</f>
        <v/>
      </c>
      <c r="M114" s="680" t="str">
        <f>IF(B114="","",TABLERO!DL114)</f>
        <v/>
      </c>
      <c r="N114" s="720" t="str">
        <f>IF(B114="","",'CUADRO (1)'!AZ114)</f>
        <v/>
      </c>
    </row>
    <row r="115" spans="1:14" ht="13.8" thickBot="1">
      <c r="A115" s="678"/>
      <c r="B115" s="738"/>
      <c r="C115" s="679"/>
      <c r="D115" s="680"/>
      <c r="E115" s="680"/>
      <c r="F115" s="680"/>
      <c r="G115" s="680"/>
      <c r="H115" s="680"/>
      <c r="I115" s="680"/>
      <c r="J115" s="718"/>
      <c r="K115" s="680"/>
      <c r="L115" s="679"/>
      <c r="M115" s="680"/>
      <c r="N115" s="720"/>
    </row>
    <row r="116" spans="1:14" hidden="1">
      <c r="A116" s="678">
        <f>IF(B116="","",'CUADRO (1)'!B116)</f>
        <v>0</v>
      </c>
      <c r="B116" s="738">
        <f>'CUADRO (1)'!AI116</f>
        <v>74754.415999999997</v>
      </c>
      <c r="C116" s="679" t="str">
        <f>IF(B116="","",TABLERO!H116)</f>
        <v>TB</v>
      </c>
      <c r="D116" s="680">
        <f>IF(B116="","",'CUADRO (1)'!AJ116)</f>
        <v>218.23558124598586</v>
      </c>
      <c r="E116" s="680">
        <f>IF(B116="","",TABLERO!CS116)</f>
        <v>1</v>
      </c>
      <c r="F116" s="680">
        <f>IF(B116="","",TABLERO!CT116)</f>
        <v>0.7</v>
      </c>
      <c r="G116" s="680">
        <f>IF(B116="","",TABLERO!CU116)</f>
        <v>0</v>
      </c>
      <c r="H116" s="680">
        <f>IF(B116="","",TABLERO!CY116)</f>
        <v>353.82514492572301</v>
      </c>
      <c r="I116" s="680">
        <f>IF(B116="","",TABLERO!CZ116)</f>
        <v>0</v>
      </c>
      <c r="J116" s="718">
        <f>IF(B116="","",TABLERO!DC116)</f>
        <v>600</v>
      </c>
      <c r="K116" s="680">
        <f>IF(B116="","",TABLERO!DD116)</f>
        <v>385</v>
      </c>
      <c r="L116" s="679">
        <f>IF(B116="","",IF(C116="M",TABLERO!$F$20,TABLERO!$F$18))</f>
        <v>100</v>
      </c>
      <c r="M116" s="680">
        <f>IF(B116="","",TABLERO!DL116)</f>
        <v>257.47760144800611</v>
      </c>
      <c r="N116" s="720" t="str">
        <f>IF(B116="","",'CUADRO (1)'!AZ116)</f>
        <v>3P-300A</v>
      </c>
    </row>
    <row r="117" spans="1:14" hidden="1">
      <c r="A117" s="678"/>
      <c r="B117" s="738"/>
      <c r="C117" s="679"/>
      <c r="D117" s="680"/>
      <c r="E117" s="680"/>
      <c r="F117" s="680"/>
      <c r="G117" s="680"/>
      <c r="H117" s="680"/>
      <c r="I117" s="680"/>
      <c r="J117" s="718"/>
      <c r="K117" s="680"/>
      <c r="L117" s="679"/>
      <c r="M117" s="680"/>
      <c r="N117" s="720"/>
    </row>
    <row r="118" spans="1:14" hidden="1">
      <c r="A118" s="678">
        <f>IF(B118="","",'CUADRO (1)'!B118)</f>
        <v>0</v>
      </c>
      <c r="B118" s="738">
        <f>'CUADRO (1)'!AI118</f>
        <v>74754.415999999997</v>
      </c>
      <c r="C118" s="679" t="str">
        <f>IF(B118="","",TABLERO!H118)</f>
        <v>TR</v>
      </c>
      <c r="D118" s="680">
        <f>IF(B118="","",'CUADRO (1)'!AJ118)</f>
        <v>218.23558124598586</v>
      </c>
      <c r="E118" s="680">
        <f>IF(B118="","",TABLERO!CS118)</f>
        <v>1</v>
      </c>
      <c r="F118" s="680">
        <f>IF(B118="","",TABLERO!CT118)</f>
        <v>0.8</v>
      </c>
      <c r="G118" s="680">
        <f>IF(B118="","",TABLERO!CU118)</f>
        <v>0</v>
      </c>
      <c r="H118" s="680">
        <f>IF(B118="","",TABLERO!CY118)</f>
        <v>272.79447655748231</v>
      </c>
      <c r="I118" s="680">
        <f>IF(B118="","",TABLERO!CZ118)</f>
        <v>0</v>
      </c>
      <c r="J118" s="718">
        <f>IF(B118="","",TABLERO!DC118)</f>
        <v>350</v>
      </c>
      <c r="K118" s="680">
        <f>IF(B118="","",TABLERO!DD118)</f>
        <v>280</v>
      </c>
      <c r="L118" s="679">
        <f>IF(B118="","",IF(C118="M",TABLERO!$F$20,TABLERO!$F$19))</f>
        <v>100</v>
      </c>
      <c r="M118" s="680">
        <f>IF(B118="","",TABLERO!DL118)</f>
        <v>295.5859169732002</v>
      </c>
      <c r="N118" s="720" t="str">
        <f>IF(B118="","",'CUADRO (1)'!AZ118)</f>
        <v>3P-300A</v>
      </c>
    </row>
    <row r="119" spans="1:14" hidden="1">
      <c r="A119" s="678"/>
      <c r="B119" s="738"/>
      <c r="C119" s="679"/>
      <c r="D119" s="680"/>
      <c r="E119" s="680"/>
      <c r="F119" s="680"/>
      <c r="G119" s="680"/>
      <c r="H119" s="680"/>
      <c r="I119" s="680"/>
      <c r="J119" s="718"/>
      <c r="K119" s="680"/>
      <c r="L119" s="679"/>
      <c r="M119" s="680"/>
      <c r="N119" s="720" t="str">
        <f>IF(B119="","",'CUADRO (1)'!AZ119)</f>
        <v/>
      </c>
    </row>
    <row r="120" spans="1:14" hidden="1">
      <c r="A120" s="678">
        <f>IF(B120="","",'CUADRO (1)'!B120)</f>
        <v>0</v>
      </c>
      <c r="B120" s="738">
        <f>'CUADRO (1)'!AI120</f>
        <v>74754.415999999997</v>
      </c>
      <c r="C120" s="679" t="str">
        <f>IF(B120="","",TABLERO!H120)</f>
        <v>TR</v>
      </c>
      <c r="D120" s="680">
        <f>IF(B120="","",'CUADRO (1)'!AJ120)</f>
        <v>100.02464140441019</v>
      </c>
      <c r="E120" s="680">
        <f>IF(B120="","",TABLERO!CS120)</f>
        <v>1</v>
      </c>
      <c r="F120" s="680">
        <f>IF(B120="","",TABLERO!CT120)</f>
        <v>1</v>
      </c>
      <c r="G120" s="680">
        <f>IF(B120="","",TABLERO!CU120)</f>
        <v>0</v>
      </c>
      <c r="H120" s="680">
        <f>IF(B120="","",TABLERO!CY120)</f>
        <v>100.02464140441019</v>
      </c>
      <c r="I120" s="680">
        <f>IF(B120="","",TABLERO!CZ120)</f>
        <v>0</v>
      </c>
      <c r="J120" s="718" t="str">
        <f>IF(B120="","",TABLERO!DC120)</f>
        <v>1/0</v>
      </c>
      <c r="K120" s="680">
        <f>IF(B120="","",TABLERO!DD120)</f>
        <v>135</v>
      </c>
      <c r="L120" s="679">
        <f>IF(B120="","",IF(C120="M",TABLERO!$F$20,TABLERO!$F$19))</f>
        <v>100</v>
      </c>
      <c r="M120" s="680">
        <f>IF(B120="","",TABLERO!DL120)</f>
        <v>135.47687861271677</v>
      </c>
      <c r="N120" s="720" t="str">
        <f>IF(B120="","",'CUADRO (1)'!AZ120)</f>
        <v>3P-150A</v>
      </c>
    </row>
    <row r="121" spans="1:14" hidden="1">
      <c r="A121" s="678"/>
      <c r="B121" s="738"/>
      <c r="C121" s="679"/>
      <c r="D121" s="680"/>
      <c r="E121" s="680"/>
      <c r="F121" s="680"/>
      <c r="G121" s="680"/>
      <c r="H121" s="680"/>
      <c r="I121" s="680"/>
      <c r="J121" s="718"/>
      <c r="K121" s="680"/>
      <c r="L121" s="679"/>
      <c r="M121" s="680"/>
      <c r="N121" s="720" t="str">
        <f>IF(B121="","",'CUADRO (1)'!AZ121)</f>
        <v/>
      </c>
    </row>
    <row r="122" spans="1:14" hidden="1">
      <c r="A122" s="678">
        <f>IF(B122="","",'CUADRO (1)'!B122)</f>
        <v>0</v>
      </c>
      <c r="B122" s="738">
        <f>'CUADRO (1)'!AI122</f>
        <v>74754.415999999997</v>
      </c>
      <c r="C122" s="679" t="str">
        <f>IF(B122="","",TABLERO!H122)</f>
        <v>PE</v>
      </c>
      <c r="D122" s="680">
        <f>IF(B122="","",'CUADRO (1)'!AJ122)</f>
        <v>218.23558124598586</v>
      </c>
      <c r="E122" s="680">
        <f>IF(B122="","",TABLERO!CS122)</f>
        <v>1</v>
      </c>
      <c r="F122" s="680">
        <f>IF(B122="","",TABLERO!CT122)</f>
        <v>0.7</v>
      </c>
      <c r="G122" s="680">
        <f>IF(B122="","",TABLERO!CU122)</f>
        <v>0</v>
      </c>
      <c r="H122" s="680">
        <f>IF(B122="","",TABLERO!CY122)</f>
        <v>311.76511606569409</v>
      </c>
      <c r="I122" s="680">
        <f>IF(B122="","",TABLERO!CZ122)</f>
        <v>0</v>
      </c>
      <c r="J122" s="718">
        <f>IF(B122="","",TABLERO!DC122)</f>
        <v>500</v>
      </c>
      <c r="K122" s="680">
        <f>IF(B122="","",TABLERO!DD122)</f>
        <v>350</v>
      </c>
      <c r="L122" s="679">
        <f>IF(B122="","",IF(C122="M",TABLERO!$F$20,TABLERO!$F$19))</f>
        <v>100</v>
      </c>
      <c r="M122" s="680">
        <f>IF(B122="","",TABLERO!DL122)</f>
        <v>233.54936649734336</v>
      </c>
      <c r="N122" s="720" t="str">
        <f>IF(B122="","",'CUADRO (1)'!AZ122)</f>
        <v>3P-250A</v>
      </c>
    </row>
    <row r="123" spans="1:14" hidden="1">
      <c r="A123" s="678"/>
      <c r="B123" s="738"/>
      <c r="C123" s="679"/>
      <c r="D123" s="680"/>
      <c r="E123" s="680"/>
      <c r="F123" s="680"/>
      <c r="G123" s="680"/>
      <c r="H123" s="680"/>
      <c r="I123" s="680"/>
      <c r="J123" s="718"/>
      <c r="K123" s="680"/>
      <c r="L123" s="679"/>
      <c r="M123" s="680"/>
      <c r="N123" s="720" t="str">
        <f>IF(B123="","",'CUADRO (1)'!AZ123)</f>
        <v/>
      </c>
    </row>
    <row r="124" spans="1:14" hidden="1">
      <c r="A124" s="678">
        <f>IF(B124="","",'CUADRO (1)'!B124)</f>
        <v>0</v>
      </c>
      <c r="B124" s="738">
        <f>'CUADRO (1)'!AI124</f>
        <v>74754.415999999997</v>
      </c>
      <c r="C124" s="679" t="str">
        <f>IF(B124="","",TABLERO!H124)</f>
        <v>PE</v>
      </c>
      <c r="D124" s="680">
        <f>IF(B124="","",'CUADRO (1)'!AJ124)</f>
        <v>218.23558124598586</v>
      </c>
      <c r="E124" s="680">
        <f>IF(B124="","",TABLERO!CS124)</f>
        <v>1</v>
      </c>
      <c r="F124" s="680">
        <f>IF(B124="","",TABLERO!CT124)</f>
        <v>0.7</v>
      </c>
      <c r="G124" s="680">
        <f>IF(B124="","",TABLERO!CU124)</f>
        <v>0</v>
      </c>
      <c r="H124" s="680">
        <f>IF(B124="","",TABLERO!CY124)</f>
        <v>311.76511606569409</v>
      </c>
      <c r="I124" s="680">
        <f>IF(B124="","",TABLERO!CZ124)</f>
        <v>0</v>
      </c>
      <c r="J124" s="718">
        <f>IF(B124="","",TABLERO!DC124)</f>
        <v>500</v>
      </c>
      <c r="K124" s="680">
        <f>IF(B124="","",TABLERO!DD124)</f>
        <v>350</v>
      </c>
      <c r="L124" s="679">
        <f>IF(B124="","",IF(C124="M",TABLERO!$F$20,TABLERO!$F$19))</f>
        <v>100</v>
      </c>
      <c r="M124" s="680">
        <f>IF(B124="","",TABLERO!DL124)</f>
        <v>233.54936649734336</v>
      </c>
      <c r="N124" s="720" t="str">
        <f>IF(B124="","",'CUADRO (1)'!AZ124)</f>
        <v>3P-250A</v>
      </c>
    </row>
    <row r="125" spans="1:14" hidden="1">
      <c r="A125" s="678"/>
      <c r="B125" s="738"/>
      <c r="C125" s="679"/>
      <c r="D125" s="680"/>
      <c r="E125" s="680"/>
      <c r="F125" s="680"/>
      <c r="G125" s="680"/>
      <c r="H125" s="680"/>
      <c r="I125" s="680"/>
      <c r="J125" s="718"/>
      <c r="K125" s="680"/>
      <c r="L125" s="679"/>
      <c r="M125" s="680"/>
      <c r="N125" s="720"/>
    </row>
    <row r="126" spans="1:14" hidden="1">
      <c r="A126" s="678">
        <f>IF(B126="","",'CUADRO (1)'!B126)</f>
        <v>0</v>
      </c>
      <c r="B126" s="738">
        <f>'CUADRO (1)'!AI126</f>
        <v>74754.415999999997</v>
      </c>
      <c r="C126" s="679" t="str">
        <f>IF(B126="","",TABLERO!H126)</f>
        <v>TR</v>
      </c>
      <c r="D126" s="680">
        <f>IF(B126="","",'CUADRO (1)'!AJ126)</f>
        <v>218.23558124598586</v>
      </c>
      <c r="E126" s="680">
        <f>IF(B126="","",TABLERO!CS126)</f>
        <v>1</v>
      </c>
      <c r="F126" s="680">
        <f>IF(B126="","",TABLERO!CT126)</f>
        <v>0.7</v>
      </c>
      <c r="G126" s="680">
        <f>IF(B126="","",TABLERO!CU126)</f>
        <v>0</v>
      </c>
      <c r="H126" s="680">
        <f>IF(B126="","",TABLERO!CY126)</f>
        <v>311.76511606569409</v>
      </c>
      <c r="I126" s="680">
        <f>IF(B126="","",TABLERO!CZ126)</f>
        <v>0</v>
      </c>
      <c r="J126" s="718">
        <f>IF(B126="","",TABLERO!DC126)</f>
        <v>500</v>
      </c>
      <c r="K126" s="680">
        <f>IF(B126="","",TABLERO!DD126)</f>
        <v>350</v>
      </c>
      <c r="L126" s="679">
        <f>IF(B126="","",IF(C126="M",TABLERO!$F$20,TABLERO!$F$19))</f>
        <v>100</v>
      </c>
      <c r="M126" s="680">
        <f>IF(B126="","",TABLERO!DL126)</f>
        <v>262.74303730951129</v>
      </c>
      <c r="N126" s="720" t="str">
        <f>IF(B126="","",'CUADRO (1)'!AZ126)</f>
        <v>3P-300A</v>
      </c>
    </row>
    <row r="127" spans="1:14" hidden="1">
      <c r="A127" s="678"/>
      <c r="B127" s="738"/>
      <c r="C127" s="679"/>
      <c r="D127" s="680"/>
      <c r="E127" s="680"/>
      <c r="F127" s="680"/>
      <c r="G127" s="680"/>
      <c r="H127" s="680"/>
      <c r="I127" s="680"/>
      <c r="J127" s="718"/>
      <c r="K127" s="680"/>
      <c r="L127" s="679"/>
      <c r="M127" s="680"/>
      <c r="N127" s="720"/>
    </row>
    <row r="128" spans="1:14" ht="13.8" hidden="1" thickBot="1">
      <c r="A128" s="678">
        <f>IF(B128="","",'CUADRO (1)'!B128)</f>
        <v>0</v>
      </c>
      <c r="B128" s="738">
        <f>'CUADRO (1)'!AI128</f>
        <v>74754.415999999997</v>
      </c>
      <c r="C128" s="679" t="str">
        <f>IF(B128="","",TABLERO!H128)</f>
        <v>TR</v>
      </c>
      <c r="D128" s="680">
        <f>IF(B128="","",'CUADRO (1)'!AJ128)</f>
        <v>218.23558124598586</v>
      </c>
      <c r="E128" s="680">
        <f>IF(B128="","",TABLERO!CS128)</f>
        <v>1</v>
      </c>
      <c r="F128" s="680">
        <f>IF(B128="","",TABLERO!CT128)</f>
        <v>0.7</v>
      </c>
      <c r="G128" s="680">
        <f>IF(B128="","",TABLERO!CU128)</f>
        <v>0</v>
      </c>
      <c r="H128" s="680">
        <f>IF(B128="","",TABLERO!CY128)</f>
        <v>311.76511606569409</v>
      </c>
      <c r="I128" s="680">
        <f>IF(B128="","",TABLERO!CZ128)</f>
        <v>0</v>
      </c>
      <c r="J128" s="718">
        <f>IF(B128="","",TABLERO!DC128)</f>
        <v>500</v>
      </c>
      <c r="K128" s="680">
        <f>IF(B128="","",TABLERO!DD128)</f>
        <v>350</v>
      </c>
      <c r="L128" s="679">
        <f>IF(B128="","",IF(C128="M",TABLERO!$F$20,TABLERO!$F$19))</f>
        <v>100</v>
      </c>
      <c r="M128" s="680">
        <f>IF(B128="","",TABLERO!DL128)</f>
        <v>262.74303730951129</v>
      </c>
      <c r="N128" s="720" t="str">
        <f>IF(B128="","",'CUADRO (1)'!AZ128)</f>
        <v>3P-300A</v>
      </c>
    </row>
    <row r="129" spans="1:14" ht="13.8" thickBot="1">
      <c r="A129" s="721"/>
      <c r="B129" s="739">
        <f>IF(OR(TABLERO!$M$18="UPS",TABLERO!$M$18="REG"),B126,IF(TABLERO!$M$18="TB",B116,IF(TABLERO!$M$18="TR",B118,IF(TABLERO!$M$18="PE",B122))))</f>
        <v>74754.415999999997</v>
      </c>
      <c r="C129" s="740" t="str">
        <f>IF(OR(TABLERO!$M$18="UPS",TABLERO!$M$18="REG"),C126,IF(TABLERO!$M$18="TB",C116,IF(TABLERO!$M$18="TR",C118,IF(TABLERO!$M$18="PE",C122))))</f>
        <v>TR</v>
      </c>
      <c r="D129" s="723">
        <f>IF(OR(TABLERO!$M$18="UPS",TABLERO!$M$18="REG"),D126,IF(TABLERO!$M$18="TB",D116,IF(TABLERO!$M$18="TR",D118,IF(TABLERO!$M$18="PE",D122))))</f>
        <v>218.23558124598586</v>
      </c>
      <c r="E129" s="723">
        <f>IF(OR(TABLERO!$M$18="UPS",TABLERO!$M$18="REG"),E126,IF(TABLERO!$M$18="TB",E116,IF(TABLERO!$M$18="TR",E118,IF(TABLERO!$M$18="PE",E122))))</f>
        <v>1</v>
      </c>
      <c r="F129" s="723">
        <f>IF(OR(TABLERO!$M$18="UPS",TABLERO!$M$18="REG"),F126,IF(TABLERO!$M$18="TB",F116,IF(TABLERO!$M$18="TR",F118,IF(TABLERO!$M$18="PE",F122))))</f>
        <v>0.8</v>
      </c>
      <c r="G129" s="723">
        <f>IF(OR(TABLERO!$M$18="UPS",TABLERO!$M$18="REG"),G126,IF(TABLERO!$M$18="TB",G116,IF(TABLERO!$M$18="TR",G118,IF(TABLERO!$M$18="PE",G122))))</f>
        <v>0</v>
      </c>
      <c r="H129" s="723">
        <f>IF(OR(TABLERO!$M$18="UPS",TABLERO!$M$18="REG"),H126,IF(TABLERO!$M$18="TB",H116,IF(TABLERO!$M$18="TR",H118,IF(TABLERO!$M$18="PE",H122))))</f>
        <v>272.79447655748231</v>
      </c>
      <c r="I129" s="723">
        <f>IF(OR(TABLERO!$M$18="UPS",TABLERO!$M$18="REG"),I126,IF(TABLERO!$M$18="TB",I116,IF(TABLERO!$M$18="TR",I118,IF(TABLERO!$M$18="PE",I122))))</f>
        <v>0</v>
      </c>
      <c r="J129" s="722">
        <f>IF(OR(TABLERO!$M$18="UPS",TABLERO!$M$18="REG"),J126,IF(TABLERO!$M$18="TB",J116,IF(TABLERO!$M$18="TR",J118,IF(TABLERO!$M$18="PE",J122))))</f>
        <v>350</v>
      </c>
      <c r="K129" s="723">
        <f>IF(OR(TABLERO!$M$18="UPS",TABLERO!$M$18="REG"),K126,IF(TABLERO!$M$18="TB",K116,IF(TABLERO!$M$18="TR",K118,IF(TABLERO!$M$18="PE",K122))))</f>
        <v>280</v>
      </c>
      <c r="L129" s="740">
        <f>IF(OR(TABLERO!$M$18="UPS",TABLERO!$M$18="REG"),L126,IF(TABLERO!$M$18="TB",L116,IF(TABLERO!$M$18="TR",L118,IF(TABLERO!$M$18="PE",L122))))</f>
        <v>100</v>
      </c>
      <c r="M129" s="723">
        <f>IF(OR(TABLERO!$M$18="UPS",TABLERO!$M$18="REG"),M126,IF(TABLERO!$M$18="TB",M116,IF(TABLERO!$M$18="TR",M118,IF(TABLERO!$M$18="PE",M122))))</f>
        <v>295.5859169732002</v>
      </c>
      <c r="N129" s="741" t="str">
        <f>IF(OR(TABLERO!$M$18="UPS",TABLERO!$M$18="REG"),N126,IF(TABLERO!$M$18="TB",N116,IF(TABLERO!$M$18="TR",N118,IF(TABLERO!$M$18="PE",N122))))</f>
        <v>3P-300A</v>
      </c>
    </row>
    <row r="130" spans="1:14">
      <c r="C130" s="615" t="s">
        <v>175</v>
      </c>
      <c r="D130" s="701">
        <f>TABLERO!$CY$141</f>
        <v>247.6776014480061</v>
      </c>
      <c r="E130" s="622" t="s">
        <v>32</v>
      </c>
    </row>
    <row r="132" spans="1:14">
      <c r="A132" s="593" t="s">
        <v>176</v>
      </c>
    </row>
  </sheetData>
  <sheetProtection algorithmName="SHA-512" hashValue="duWt0vKcHo6nQiIbHe1aZm1UQgo6Pi7fBevgtsgNrbs22oTMlQ+G40gs7NzaUA28je1HTzdp4ubAR4WqzucbCg==" saltValue="GCp+dUxYUaCnUPaBg1vJfQ==" spinCount="100000" sheet="1" formatCells="0" formatColumns="0" formatRows="0"/>
  <mergeCells count="13">
    <mergeCell ref="B21:D21"/>
    <mergeCell ref="B22:D22"/>
    <mergeCell ref="B23:D23"/>
    <mergeCell ref="F26:J27"/>
    <mergeCell ref="B24:D24"/>
    <mergeCell ref="B26:D26"/>
    <mergeCell ref="B27:D27"/>
    <mergeCell ref="B20:D20"/>
    <mergeCell ref="A15:N16"/>
    <mergeCell ref="M17:N17"/>
    <mergeCell ref="A17:B18"/>
    <mergeCell ref="C17:D18"/>
    <mergeCell ref="B19:D19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53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indexed="15"/>
    <pageSetUpPr fitToPage="1"/>
  </sheetPr>
  <dimension ref="A2:Q163"/>
  <sheetViews>
    <sheetView showGridLines="0" view="pageBreakPreview" zoomScale="85" zoomScaleNormal="85" zoomScaleSheetLayoutView="85" workbookViewId="0">
      <selection activeCell="F32" sqref="F3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 ht="13.2" customHeight="1">
      <c r="A15" s="1186" t="str">
        <f>"ALIMENTADOR PRINCIPAL Y PROTECCION"</f>
        <v>ALIMENTADOR PRINCIPAL Y PROTECCION</v>
      </c>
      <c r="B15" s="1186"/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  <c r="O15" s="1186"/>
      <c r="P15" s="957"/>
      <c r="Q15" s="957"/>
    </row>
    <row r="16" spans="1:17" ht="13.2" customHeight="1">
      <c r="A16" s="1186"/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  <c r="O16" s="1186"/>
      <c r="P16" s="957"/>
      <c r="Q16" s="957"/>
    </row>
    <row r="17" spans="1:17" ht="11.25" customHeight="1">
      <c r="A17" s="1188" t="s">
        <v>93</v>
      </c>
      <c r="B17" s="1188"/>
      <c r="C17" s="1187" t="str">
        <f>RESUMEN!B15</f>
        <v>G</v>
      </c>
      <c r="D17" s="1187"/>
      <c r="H17" s="659"/>
      <c r="I17" s="660"/>
      <c r="J17" s="660"/>
      <c r="K17" s="660"/>
      <c r="L17" s="660"/>
      <c r="P17" s="1196" t="s">
        <v>126</v>
      </c>
      <c r="Q17" s="1197"/>
    </row>
    <row r="18" spans="1:17" ht="13.5" customHeight="1">
      <c r="A18" s="1188"/>
      <c r="B18" s="1188"/>
      <c r="C18" s="1187"/>
      <c r="D18" s="1187"/>
      <c r="J18" s="661"/>
      <c r="K18" s="661"/>
      <c r="L18" s="1217" t="s">
        <v>153</v>
      </c>
      <c r="M18" s="1217"/>
      <c r="P18" s="663" t="s">
        <v>32</v>
      </c>
      <c r="Q18" s="664" t="s">
        <v>42</v>
      </c>
    </row>
    <row r="19" spans="1:17">
      <c r="A19" s="662" t="s">
        <v>1</v>
      </c>
      <c r="B19" s="1215" t="str">
        <f>RESUMEN!B17</f>
        <v>ZONA DE CARGA</v>
      </c>
      <c r="C19" s="1215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15" t="str">
        <f>RESUMEN!B18</f>
        <v>TAB-G</v>
      </c>
      <c r="C20" s="1215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15" t="str">
        <f>RESUMEN!B19</f>
        <v>220 / 127 VCA</v>
      </c>
      <c r="C21" s="1215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15">
        <f>RESUMEN!B20</f>
        <v>3</v>
      </c>
      <c r="C22" s="1215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15">
        <f>RESUMEN!B21</f>
        <v>4</v>
      </c>
      <c r="C23" s="1215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15">
        <f>RESUMEN!B22</f>
        <v>60</v>
      </c>
      <c r="C24" s="1215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15" t="str">
        <f>RESUMEN!B26</f>
        <v xml:space="preserve"> LA400M141B</v>
      </c>
      <c r="C26" s="1215"/>
      <c r="D26" s="662" t="s">
        <v>125</v>
      </c>
      <c r="E26" s="660">
        <f>TABLERO!F13</f>
        <v>30</v>
      </c>
      <c r="F26" s="659" t="s">
        <v>30</v>
      </c>
      <c r="G26" s="1198" t="str">
        <f>IF(TABLERO!F5=0,"",TABLERO!F5)</f>
        <v>BODEGA</v>
      </c>
      <c r="H26" s="1198"/>
      <c r="I26" s="1198"/>
      <c r="J26" s="1198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15" t="str">
        <f>RESUMEN!B27</f>
        <v>SQUARED</v>
      </c>
      <c r="C27" s="1215"/>
      <c r="D27" s="662" t="s">
        <v>17</v>
      </c>
      <c r="E27" s="660">
        <f>TABLERO!F14</f>
        <v>0.9</v>
      </c>
      <c r="F27" s="660"/>
      <c r="G27" s="1199"/>
      <c r="H27" s="1199"/>
      <c r="I27" s="1199"/>
      <c r="J27" s="1199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91" t="str">
        <f>"CARGAS CONTINUAS EN K"&amp;'CUADRO (1)'!AH29</f>
        <v>CARGAS CONTINUAS EN K</v>
      </c>
      <c r="E28" s="1192"/>
      <c r="F28" s="1192"/>
      <c r="G28" s="1192"/>
      <c r="H28" s="1216"/>
      <c r="I28" s="1191" t="str">
        <f>"CARGAS NO CONTINUAS EN K"&amp;'CUADRO (1)'!AH29</f>
        <v>CARGAS NO CONTINUAS EN K</v>
      </c>
      <c r="J28" s="1192"/>
      <c r="K28" s="1192"/>
      <c r="L28" s="1192"/>
      <c r="M28" s="1216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9" t="str">
        <f>IF('CUADRO (1)'!AI30="","",TABLERO!W30)</f>
        <v/>
      </c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TABLERO!B31&amp;IF(TABLERO!C31="","",","&amp;TABLERO!C31)&amp;IF(TABLERO!D31="","",","&amp;TABLERO!D31)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TABLERO!B32&amp;IF(TABLERO!C32="","",","&amp;TABLERO!C32)&amp;IF(TABLERO!D32="","",","&amp;TABLERO!D32)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TABLERO!B33&amp;IF(TABLERO!C33="","",","&amp;TABLERO!C33)&amp;IF(TABLERO!D33="","",","&amp;TABLERO!D33)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TABLERO!B34&amp;IF(TABLERO!C34="","",","&amp;TABLERO!C34)&amp;IF(TABLERO!D34="","",","&amp;TABLERO!D34)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TABLERO!B35&amp;IF(TABLERO!C35="","",","&amp;TABLERO!C35)&amp;IF(TABLERO!D35="","",","&amp;TABLERO!D35)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TABLERO!B36&amp;IF(TABLERO!C36="","",","&amp;TABLERO!C36)&amp;IF(TABLERO!D36="","",","&amp;TABLERO!D36)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TABLERO!B37&amp;IF(TABLERO!C37="","",","&amp;TABLERO!C37)&amp;IF(TABLERO!D37="","",","&amp;TABLERO!D37)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TABLERO!B38&amp;IF(TABLERO!C38="","",","&amp;TABLERO!C38)&amp;IF(TABLERO!D38="","",","&amp;TABLERO!D38)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TABLERO!B39&amp;IF(TABLERO!C39="","",","&amp;TABLERO!C39)&amp;IF(TABLERO!D39="","",","&amp;TABLERO!D39)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TABLERO!B40&amp;IF(TABLERO!C40="","",","&amp;TABLERO!C40)&amp;IF(TABLERO!D40="","",","&amp;TABLERO!D40)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TABLERO!B41&amp;IF(TABLERO!C41="","",","&amp;TABLERO!C41)&amp;IF(TABLERO!D41="","",","&amp;TABLERO!D41)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TABLERO!B42&amp;IF(TABLERO!C42="","",","&amp;TABLERO!C42)&amp;IF(TABLERO!D42="","",","&amp;TABLERO!D42)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TABLERO!B43&amp;IF(TABLERO!C43="","",","&amp;TABLERO!C43)&amp;IF(TABLERO!D43="","",","&amp;TABLERO!D43)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TABLERO!B44&amp;IF(TABLERO!C44="","",","&amp;TABLERO!C44)&amp;IF(TABLERO!D44="","",","&amp;TABLERO!D44)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TABLERO!B45&amp;IF(TABLERO!C45="","",","&amp;TABLERO!C45)&amp;IF(TABLERO!D45="","",","&amp;TABLERO!D45)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TABLERO!B46&amp;IF(TABLERO!C46="","",","&amp;TABLERO!C46)&amp;IF(TABLERO!D46="","",","&amp;TABLERO!D46)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TABLERO!B47&amp;IF(TABLERO!C47="","",","&amp;TABLERO!C47)&amp;IF(TABLERO!D47="","",","&amp;TABLERO!D47)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TABLERO!B48&amp;IF(TABLERO!C48="","",","&amp;TABLERO!C48)&amp;IF(TABLERO!D48="","",","&amp;TABLERO!D48)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TABLERO!B49&amp;IF(TABLERO!C49="","",","&amp;TABLERO!C49)&amp;IF(TABLERO!D49="","",","&amp;TABLERO!D49)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TABLERO!B50&amp;IF(TABLERO!C50="","",","&amp;TABLERO!C50)&amp;IF(TABLERO!D50="","",","&amp;TABLERO!D50)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TABLERO!B51&amp;IF(TABLERO!C51="","",","&amp;TABLERO!C51)&amp;IF(TABLERO!D51="","",","&amp;TABLERO!D51)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TABLERO!B52&amp;IF(TABLERO!C52="","",","&amp;TABLERO!C52)&amp;IF(TABLERO!D52="","",","&amp;TABLERO!D52)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TABLERO!B53&amp;IF(TABLERO!C53="","",","&amp;TABLERO!C53)&amp;IF(TABLERO!D53="","",","&amp;TABLERO!D53)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TABLERO!B54&amp;IF(TABLERO!C54="","",","&amp;TABLERO!C54)&amp;IF(TABLERO!D54="","",","&amp;TABLERO!D54)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TABLERO!B55&amp;IF(TABLERO!C55="","",","&amp;TABLERO!C55)&amp;IF(TABLERO!D55="","",","&amp;TABLERO!D55)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TABLERO!B56&amp;IF(TABLERO!C56="","",","&amp;TABLERO!C56)&amp;IF(TABLERO!D56="","",","&amp;TABLERO!D56)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TABLERO!B57&amp;IF(TABLERO!C57="","",","&amp;TABLERO!C57)&amp;IF(TABLERO!D57="","",","&amp;TABLERO!D57)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TABLERO!B58&amp;IF(TABLERO!C58="","",","&amp;TABLERO!C58)&amp;IF(TABLERO!D58="","",","&amp;TABLERO!D58)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TABLERO!B59&amp;IF(TABLERO!C59="","",","&amp;TABLERO!C59)&amp;IF(TABLERO!D59="","",","&amp;TABLERO!D59)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>
      <c r="A60" s="678" t="str">
        <f>TABLERO!B60&amp;IF(TABLERO!C60="","",","&amp;TABLERO!C60)&amp;IF(TABLERO!D60="","",","&amp;TABLERO!D60)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>
      <c r="A61" s="678" t="str">
        <f>TABLERO!B61&amp;IF(TABLERO!C61="","",","&amp;TABLERO!C61)&amp;IF(TABLERO!D61="","",","&amp;TABLERO!D61)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>
      <c r="A62" s="678" t="str">
        <f>TABLERO!B62&amp;IF(TABLERO!C62="","",","&amp;TABLERO!C62)&amp;IF(TABLERO!D62="","",","&amp;TABLERO!D62)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>
      <c r="A63" s="678" t="str">
        <f>TABLERO!B63&amp;IF(TABLERO!C63="","",","&amp;TABLERO!C63)&amp;IF(TABLERO!D63="","",","&amp;TABLERO!D63)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>
      <c r="A64" s="678" t="str">
        <f>TABLERO!B64&amp;IF(TABLERO!C64="","",","&amp;TABLERO!C64)&amp;IF(TABLERO!D64="","",","&amp;TABLERO!D64)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>
      <c r="A65" s="678" t="str">
        <f>TABLERO!B65&amp;IF(TABLERO!C65="","",","&amp;TABLERO!C65)&amp;IF(TABLERO!D65="","",","&amp;TABLERO!D65)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>
      <c r="A66" s="678" t="str">
        <f>TABLERO!B66&amp;IF(TABLERO!C66="","",","&amp;TABLERO!C66)&amp;IF(TABLERO!D66="","",","&amp;TABLERO!D66)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>
      <c r="A67" s="678" t="str">
        <f>TABLERO!B67&amp;IF(TABLERO!C67="","",","&amp;TABLERO!C67)&amp;IF(TABLERO!D67="","",","&amp;TABLERO!D67)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>
      <c r="A68" s="678" t="str">
        <f>TABLERO!B68&amp;IF(TABLERO!C68="","",","&amp;TABLERO!C68)&amp;IF(TABLERO!D68="","",","&amp;TABLERO!D68)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>
      <c r="A69" s="678" t="str">
        <f>TABLERO!B69&amp;IF(TABLERO!C69="","",","&amp;TABLERO!C69)&amp;IF(TABLERO!D69="","",","&amp;TABLERO!D69)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>
      <c r="A70" s="678" t="str">
        <f>TABLERO!B70&amp;IF(TABLERO!C70="","",","&amp;TABLERO!C70)&amp;IF(TABLERO!D70="","",","&amp;TABLERO!D70)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>
      <c r="A71" s="678" t="str">
        <f>TABLERO!B71&amp;IF(TABLERO!C71="","",","&amp;TABLERO!C71)&amp;IF(TABLERO!D71="","",","&amp;TABLERO!D71)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>
      <c r="A72" s="678" t="str">
        <f>TABLERO!B72&amp;IF(TABLERO!C72="","",","&amp;TABLERO!C72)&amp;IF(TABLERO!D72="","",","&amp;TABLERO!D72)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>
      <c r="A73" s="678" t="str">
        <f>TABLERO!B73&amp;IF(TABLERO!C73="","",","&amp;TABLERO!C73)&amp;IF(TABLERO!D73="","",","&amp;TABLERO!D73)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>
      <c r="A74" s="678" t="str">
        <f>TABLERO!B74&amp;IF(TABLERO!C74="","",","&amp;TABLERO!C74)&amp;IF(TABLERO!D74="","",","&amp;TABLERO!D74)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>
      <c r="A75" s="678" t="str">
        <f>TABLERO!B75&amp;IF(TABLERO!C75="","",","&amp;TABLERO!C75)&amp;IF(TABLERO!D75="","",","&amp;TABLERO!D75)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>
      <c r="A76" s="678" t="str">
        <f>TABLERO!B76&amp;IF(TABLERO!C76="","",","&amp;TABLERO!C76)&amp;IF(TABLERO!D76="","",","&amp;TABLERO!D76)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>
      <c r="A77" s="678" t="str">
        <f>TABLERO!B77&amp;IF(TABLERO!C77="","",","&amp;TABLERO!C77)&amp;IF(TABLERO!D77="","",","&amp;TABLERO!D77)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>
      <c r="A78" s="678" t="str">
        <f>TABLERO!B78&amp;IF(TABLERO!C78="","",","&amp;TABLERO!C78)&amp;IF(TABLERO!D78="","",","&amp;TABLERO!D78)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>
      <c r="A79" s="678" t="str">
        <f>TABLERO!B79&amp;IF(TABLERO!C79="","",","&amp;TABLERO!C79)&amp;IF(TABLERO!D79="","",","&amp;TABLERO!D79)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>
      <c r="A80" s="678" t="str">
        <f>TABLERO!B80&amp;IF(TABLERO!C80="","",","&amp;TABLERO!C80)&amp;IF(TABLERO!D80="","",","&amp;TABLERO!D80)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>
      <c r="A81" s="678" t="str">
        <f>TABLERO!B81&amp;IF(TABLERO!C81="","",","&amp;TABLERO!C81)&amp;IF(TABLERO!D81="","",","&amp;TABLERO!D81)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>
      <c r="A82" s="678" t="str">
        <f>TABLERO!B82&amp;IF(TABLERO!C82="","",","&amp;TABLERO!C82)&amp;IF(TABLERO!D82="","",","&amp;TABLERO!D82)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>
      <c r="A83" s="678" t="str">
        <f>TABLERO!B83&amp;IF(TABLERO!C83="","",","&amp;TABLERO!C83)&amp;IF(TABLERO!D83="","",","&amp;TABLERO!D83)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>
      <c r="A84" s="678" t="str">
        <f>TABLERO!B84&amp;IF(TABLERO!C84="","",","&amp;TABLERO!C84)&amp;IF(TABLERO!D84="","",","&amp;TABLERO!D84)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>
      <c r="A85" s="678" t="str">
        <f>TABLERO!B85&amp;IF(TABLERO!C85="","",","&amp;TABLERO!C85)&amp;IF(TABLERO!D85="","",","&amp;TABLERO!D85)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>
      <c r="A86" s="678" t="str">
        <f>TABLERO!B86&amp;IF(TABLERO!C86="","",","&amp;TABLERO!C86)&amp;IF(TABLERO!D86="","",","&amp;TABLERO!D86)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>
      <c r="A87" s="678" t="str">
        <f>TABLERO!B87&amp;IF(TABLERO!C87="","",","&amp;TABLERO!C87)&amp;IF(TABLERO!D87="","",","&amp;TABLERO!D87)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>
      <c r="A88" s="678" t="str">
        <f>TABLERO!B88&amp;IF(TABLERO!C88="","",","&amp;TABLERO!C88)&amp;IF(TABLERO!D88="","",","&amp;TABLERO!D88)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>
      <c r="A89" s="678" t="str">
        <f>TABLERO!B89&amp;IF(TABLERO!C89="","",","&amp;TABLERO!C89)&amp;IF(TABLERO!D89="","",","&amp;TABLERO!D89)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>
      <c r="A90" s="678" t="str">
        <f>TABLERO!B90&amp;IF(TABLERO!C90="","",","&amp;TABLERO!C90)&amp;IF(TABLERO!D90="","",","&amp;TABLERO!D90)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>
      <c r="A91" s="678" t="str">
        <f>TABLERO!B91&amp;IF(TABLERO!C91="","",","&amp;TABLERO!C91)&amp;IF(TABLERO!D91="","",","&amp;TABLERO!D91)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>
      <c r="A92" s="678" t="str">
        <f>TABLERO!B92&amp;IF(TABLERO!C92="","",","&amp;TABLERO!C92)&amp;IF(TABLERO!D92="","",","&amp;TABLERO!D92)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>
      <c r="A93" s="678" t="str">
        <f>TABLERO!B93&amp;IF(TABLERO!C93="","",","&amp;TABLERO!C93)&amp;IF(TABLERO!D93="","",","&amp;TABLERO!D93)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>
      <c r="A94" s="678" t="str">
        <f>TABLERO!B94&amp;IF(TABLERO!C94="","",","&amp;TABLERO!C94)&amp;IF(TABLERO!D94="","",","&amp;TABLERO!D94)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>
      <c r="A95" s="678" t="str">
        <f>TABLERO!B95&amp;IF(TABLERO!C95="","",","&amp;TABLERO!C95)&amp;IF(TABLERO!D95="","",","&amp;TABLERO!D95)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>
      <c r="A96" s="678" t="str">
        <f>TABLERO!B96&amp;IF(TABLERO!C96="","",","&amp;TABLERO!C96)&amp;IF(TABLERO!D96="","",","&amp;TABLERO!D96)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>
      <c r="A97" s="678" t="str">
        <f>TABLERO!B97&amp;IF(TABLERO!C97="","",","&amp;TABLERO!C97)&amp;IF(TABLERO!D97="","",","&amp;TABLERO!D97)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>
      <c r="A98" s="678" t="str">
        <f>TABLERO!B98&amp;IF(TABLERO!C98="","",","&amp;TABLERO!C98)&amp;IF(TABLERO!D98="","",","&amp;TABLERO!D98)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>
      <c r="A99" s="678" t="str">
        <f>TABLERO!B99&amp;IF(TABLERO!C99="","",","&amp;TABLERO!C99)&amp;IF(TABLERO!D99="","",","&amp;TABLERO!D99)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>
      <c r="A100" s="678" t="str">
        <f>TABLERO!B100&amp;IF(TABLERO!C100="","",","&amp;TABLERO!C100)&amp;IF(TABLERO!D100="","",","&amp;TABLERO!D100)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>
      <c r="A101" s="678" t="str">
        <f>TABLERO!B101&amp;IF(TABLERO!C101="","",","&amp;TABLERO!C101)&amp;IF(TABLERO!D101="","",","&amp;TABLERO!D101)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>
      <c r="A102" s="678" t="str">
        <f>TABLERO!B102&amp;IF(TABLERO!C102="","",","&amp;TABLERO!C102)&amp;IF(TABLERO!D102="","",","&amp;TABLERO!D102)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>
      <c r="A103" s="678" t="str">
        <f>TABLERO!B103&amp;IF(TABLERO!C103="","",","&amp;TABLERO!C103)&amp;IF(TABLERO!D103="","",","&amp;TABLERO!D103)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>
      <c r="A104" s="678" t="str">
        <f>TABLERO!B104&amp;IF(TABLERO!C104="","",","&amp;TABLERO!C104)&amp;IF(TABLERO!D104="","",","&amp;TABLERO!D104)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>
      <c r="A105" s="678" t="str">
        <f>TABLERO!B105&amp;IF(TABLERO!C105="","",","&amp;TABLERO!C105)&amp;IF(TABLERO!D105="","",","&amp;TABLERO!D105)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>
      <c r="A106" s="678" t="str">
        <f>TABLERO!B106&amp;IF(TABLERO!C106="","",","&amp;TABLERO!C106)&amp;IF(TABLERO!D106="","",","&amp;TABLERO!D106)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>
      <c r="A107" s="678" t="str">
        <f>TABLERO!B107&amp;IF(TABLERO!C107="","",","&amp;TABLERO!C107)&amp;IF(TABLERO!D107="","",","&amp;TABLERO!D107)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>
      <c r="A108" s="678" t="str">
        <f>TABLERO!B108&amp;IF(TABLERO!C108="","",","&amp;TABLERO!C108)&amp;IF(TABLERO!D108="","",","&amp;TABLERO!D108)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>
      <c r="A109" s="678" t="str">
        <f>TABLERO!B109&amp;IF(TABLERO!C109="","",","&amp;TABLERO!C109)&amp;IF(TABLERO!D109="","",","&amp;TABLERO!D109)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>
      <c r="A110" s="678" t="str">
        <f>TABLERO!B110&amp;IF(TABLERO!C110="","",","&amp;TABLERO!C110)&amp;IF(TABLERO!D110="","",","&amp;TABLERO!D110)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>
      <c r="A111" s="678" t="str">
        <f>TABLERO!B111&amp;IF(TABLERO!C111="","",","&amp;TABLERO!C111)&amp;IF(TABLERO!D111="","",","&amp;TABLERO!D111)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>
      <c r="A112" s="678" t="str">
        <f>TABLERO!B112&amp;IF(TABLERO!C112="","",","&amp;TABLERO!C112)&amp;IF(TABLERO!D112="","",","&amp;TABLERO!D112)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>
      <c r="A113" s="678" t="str">
        <f>TABLERO!B113&amp;IF(TABLERO!C113="","",","&amp;TABLERO!C113)&amp;IF(TABLERO!D113="","",","&amp;TABLERO!D113)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>
      <c r="A114" s="678" t="str">
        <f>TABLERO!B114&amp;IF(TABLERO!C114="","",","&amp;TABLERO!C114)&amp;IF(TABLERO!D114="","",","&amp;TABLERO!D114)</f>
        <v>84</v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9" t="s">
        <v>158</v>
      </c>
      <c r="B116" s="1210"/>
      <c r="C116" s="1211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9" t="s">
        <v>153</v>
      </c>
      <c r="B117" s="1210"/>
      <c r="C117" s="1211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9" t="s">
        <v>92</v>
      </c>
      <c r="B118" s="1210"/>
      <c r="C118" s="1211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0"/>
      <c r="M119" s="1200"/>
    </row>
    <row r="120" spans="1:17" ht="13.8" thickBot="1">
      <c r="D120" s="1201" t="s">
        <v>159</v>
      </c>
      <c r="E120" s="1202"/>
      <c r="F120" s="1202"/>
      <c r="G120" s="1202"/>
      <c r="H120" s="1202"/>
      <c r="I120" s="1203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20</v>
      </c>
      <c r="Q121" s="593"/>
    </row>
    <row r="122" spans="1:17">
      <c r="D122" s="1204" t="s">
        <v>52</v>
      </c>
      <c r="E122" s="1178"/>
      <c r="F122" s="1178"/>
      <c r="G122" s="1205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04" t="s">
        <v>160</v>
      </c>
      <c r="E123" s="1178"/>
      <c r="F123" s="1178"/>
      <c r="G123" s="1205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06"/>
      <c r="E124" s="1207"/>
      <c r="F124" s="1207"/>
      <c r="G124" s="1208"/>
      <c r="H124" s="694"/>
      <c r="I124" s="696"/>
      <c r="Q124" s="593"/>
    </row>
    <row r="125" spans="1:17" ht="13.8" thickBot="1">
      <c r="D125" s="1212" t="s">
        <v>170</v>
      </c>
      <c r="E125" s="1213"/>
      <c r="F125" s="1213"/>
      <c r="G125" s="1214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IF(TABLERO!M18="TR","DETERMINACION DE LA CORRIENTE PARA EL CALCULO DE LA CAPACIDAD DEL TRANSFORMADOR",IF(TABLERO!M18="PE","DETERMINACION DE LA CORRIENTE PARA EL CALCULO DE LA CAPACIDAD DEL GENERADOR","DETERMINACION DE LA CORRIENTE PARA EL CALCULO DEL ALIMENTADOR"))</f>
        <v>DETERMINACION DE LA CORRIENTE PARA EL CALCULO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32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32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32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32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32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32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32</v>
      </c>
    </row>
    <row r="143" spans="2:12">
      <c r="D143" s="593"/>
    </row>
    <row r="144" spans="2:12">
      <c r="B144" s="593" t="str">
        <f>"DETERMINACION DE LA CORRIENTE PARA LA SELECCIÓN DE LA PROTECCION"</f>
        <v>DETERMINACION DE LA CORRIENTE PARA LA SELECCIÓN DE LA PROTECCION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"Itot ="</f>
        <v>Itot =</v>
      </c>
      <c r="C146" s="593" t="str">
        <f>"PROT. MOT MAY + Inom. DE LOS MOT - MOT. MAYOR + 125% In CARGAS CONTINUAS + In CARGAS NO CONTINUAS + In OTROS TABLEROS"</f>
        <v>PROT. MOT MAY + Inom. DE LOS MOT - MOT. MAYOR + 125% In CARGAS CONTINUAS + In CARGAS NO CONTINUAS + In OTROS TABLEROS</v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1185"/>
      <c r="C147" s="1185"/>
      <c r="D147" s="1185"/>
      <c r="E147" s="1185"/>
      <c r="F147" s="1185"/>
      <c r="G147" s="1185"/>
      <c r="H147" s="700"/>
      <c r="I147" s="611"/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"Inom. DE LOS MOTORES - In del Mot. Mayor"</f>
        <v>Inom. DE LOS MOTORES - In del Mot. Mayor</v>
      </c>
      <c r="H149" s="700">
        <f>TABLERO!DL130</f>
        <v>66.8</v>
      </c>
      <c r="I149" s="611" t="s">
        <v>32</v>
      </c>
      <c r="J149" s="615"/>
      <c r="K149" s="701"/>
      <c r="L149" s="593"/>
    </row>
    <row r="150" spans="2:12">
      <c r="D150" s="593"/>
      <c r="G150" s="615" t="str">
        <f>"PROT. DEL MOT. MAYOR"</f>
        <v>PROT. DEL MOT. MAYOR</v>
      </c>
      <c r="H150" s="700">
        <f>O118</f>
        <v>70</v>
      </c>
      <c r="I150" s="611" t="s">
        <v>32</v>
      </c>
      <c r="J150" s="615"/>
      <c r="K150" s="593"/>
      <c r="L150" s="593"/>
    </row>
    <row r="151" spans="2:12">
      <c r="D151" s="593"/>
      <c r="G151" s="615" t="str">
        <f>"125% DE LA In DE LAS CARGAS CONTINUAS "</f>
        <v xml:space="preserve">125% DE LA In DE LAS CARGAS CONTINUAS </v>
      </c>
      <c r="H151" s="700">
        <f>I122*1.25</f>
        <v>126.26262626262627</v>
      </c>
      <c r="I151" s="611" t="s">
        <v>32</v>
      </c>
      <c r="J151" s="615"/>
      <c r="K151" s="701"/>
      <c r="L151" s="593"/>
    </row>
    <row r="152" spans="2:12">
      <c r="D152" s="593"/>
      <c r="G152" s="615" t="str">
        <f>"In DE LAS CARGAS NO CONTINUAS"</f>
        <v>In DE LAS CARGAS NO CONTINUAS</v>
      </c>
      <c r="H152" s="700">
        <f>I123</f>
        <v>58.784375547381323</v>
      </c>
      <c r="I152" s="611" t="s">
        <v>32</v>
      </c>
      <c r="J152" s="615"/>
      <c r="K152" s="593"/>
      <c r="L152" s="593"/>
    </row>
    <row r="153" spans="2:12">
      <c r="D153" s="593"/>
      <c r="G153" s="615" t="str">
        <f>"In OTROS TABLEROS"</f>
        <v>In OTROS TABLEROS</v>
      </c>
      <c r="H153" s="700">
        <f>Q118</f>
        <v>0</v>
      </c>
      <c r="I153" s="611" t="s">
        <v>32</v>
      </c>
      <c r="J153" s="615"/>
      <c r="K153" s="701"/>
      <c r="L153" s="593"/>
    </row>
    <row r="154" spans="2:12">
      <c r="D154" s="593"/>
      <c r="G154" s="593"/>
      <c r="H154" s="612" t="str">
        <f>"---------------------"</f>
        <v>---------------------</v>
      </c>
      <c r="I154" s="611"/>
    </row>
    <row r="155" spans="2:12">
      <c r="D155" s="593"/>
      <c r="G155" s="615" t="str">
        <f>"Itot ="</f>
        <v>Itot =</v>
      </c>
      <c r="H155" s="702">
        <f>SUM(H149:H154)</f>
        <v>321.84700181000761</v>
      </c>
      <c r="I155" s="611" t="s">
        <v>32</v>
      </c>
    </row>
    <row r="156" spans="2:12">
      <c r="D156" s="593"/>
      <c r="G156" s="615" t="str">
        <f>"FD ="</f>
        <v>FD =</v>
      </c>
      <c r="H156" s="702">
        <f>TABLERO!O17</f>
        <v>0.8</v>
      </c>
      <c r="I156" s="611"/>
    </row>
    <row r="157" spans="2:12">
      <c r="D157" s="593"/>
      <c r="G157" s="615" t="str">
        <f>"% DISP.DE LA PROT="</f>
        <v>% DISP.DE LA PROT=</v>
      </c>
      <c r="H157" s="615">
        <f>TABLERO!F18</f>
        <v>100</v>
      </c>
      <c r="I157" s="611" t="str">
        <f>IF(TABLERO!M18&lt;&gt;"TB","","%")</f>
        <v/>
      </c>
    </row>
    <row r="158" spans="2:12">
      <c r="D158" s="593"/>
      <c r="G158" s="611" t="str">
        <f>"Itot ="</f>
        <v>Itot =</v>
      </c>
      <c r="H158" s="700">
        <f>H155*H156*(H157/100)</f>
        <v>257.47760144800611</v>
      </c>
      <c r="I158" s="611" t="s">
        <v>32</v>
      </c>
    </row>
    <row r="160" spans="2:12">
      <c r="G160" s="702" t="str">
        <f>"SELECCIÓN DE PROTECCION="</f>
        <v>SELECCIÓN DE PROTECCION=</v>
      </c>
      <c r="H160" s="627">
        <f>TABLERO!BW116</f>
        <v>300</v>
      </c>
      <c r="I160" s="622" t="s">
        <v>32</v>
      </c>
    </row>
    <row r="161" spans="2:9">
      <c r="G161" s="702"/>
      <c r="H161" s="627"/>
      <c r="I161" s="622"/>
    </row>
    <row r="162" spans="2:9">
      <c r="B162" s="593" t="str">
        <f>IF(TABLERO!$M$18="TAB","CONDUCTOR DEL ELECTRODO DE PUESTA A TIERRA DE LA ACOMETIDA","")</f>
        <v/>
      </c>
      <c r="G162" s="702"/>
      <c r="H162" s="627" t="str">
        <f>IF(TABLERO!$M$18="TAB",TABLERO!CB119,"")</f>
        <v/>
      </c>
      <c r="I162" s="622"/>
    </row>
    <row r="163" spans="2:9">
      <c r="B163" s="593" t="str">
        <f>IF(TABLERO!$M$18="TB","SI APLICA, TABLA 250-66 NOM-001-SEDE 2012.","")</f>
        <v/>
      </c>
      <c r="G163" s="702"/>
      <c r="H163" s="627"/>
      <c r="I163" s="622"/>
    </row>
  </sheetData>
  <sheetProtection algorithmName="SHA-512" hashValue="VuyLrq1+jMRpxURoDmqo8OlTlL7LoZUHfdQ1tYjKYpn+djYdSG8FqfZQ+CQv78mq9BINC+xOfEA2lwjQDWi4vA==" saltValue="Rmc5tbKf8eK6uutk1fKBOQ==" spinCount="100000" sheet="1" formatCells="0" formatColumns="0" formatRows="0"/>
  <mergeCells count="26">
    <mergeCell ref="A15:O16"/>
    <mergeCell ref="P17:Q17"/>
    <mergeCell ref="B20:C20"/>
    <mergeCell ref="B21:C21"/>
    <mergeCell ref="B22:C22"/>
    <mergeCell ref="B23:C23"/>
    <mergeCell ref="A17:B18"/>
    <mergeCell ref="C17:D18"/>
    <mergeCell ref="L18:M18"/>
    <mergeCell ref="B19:C19"/>
    <mergeCell ref="B24:C24"/>
    <mergeCell ref="B26:C26"/>
    <mergeCell ref="G26:J27"/>
    <mergeCell ref="B27:C27"/>
    <mergeCell ref="D28:H28"/>
    <mergeCell ref="I28:M28"/>
    <mergeCell ref="A116:C116"/>
    <mergeCell ref="A117:C117"/>
    <mergeCell ref="D125:G125"/>
    <mergeCell ref="B147:G147"/>
    <mergeCell ref="A118:C118"/>
    <mergeCell ref="L119:M119"/>
    <mergeCell ref="D120:I120"/>
    <mergeCell ref="D122:G122"/>
    <mergeCell ref="D123:G123"/>
    <mergeCell ref="D124:G124"/>
  </mergeCells>
  <conditionalFormatting sqref="H158 H147 K149 K151 K153 H149:H153">
    <cfRule type="cellIs" dxfId="1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37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">
    <tabColor indexed="21"/>
    <pageSetUpPr fitToPage="1"/>
  </sheetPr>
  <dimension ref="A2:R129"/>
  <sheetViews>
    <sheetView showGridLines="0" view="pageBreakPreview" zoomScale="80" zoomScaleNormal="100" zoomScaleSheetLayoutView="80" workbookViewId="0">
      <selection activeCell="C37" sqref="C37"/>
    </sheetView>
  </sheetViews>
  <sheetFormatPr baseColWidth="10" defaultColWidth="11.44140625" defaultRowHeight="13.2"/>
  <cols>
    <col min="1" max="1" width="13.5546875" style="593" customWidth="1"/>
    <col min="2" max="7" width="11.44140625" style="593"/>
    <col min="8" max="9" width="11.44140625" style="703"/>
    <col min="10" max="13" width="11.44140625" style="655"/>
    <col min="14" max="14" width="11.44140625" style="593"/>
    <col min="15" max="16" width="11.44140625" style="655"/>
    <col min="17" max="17" width="11.44140625" style="593"/>
    <col min="18" max="18" width="14.6640625" style="593" customWidth="1"/>
    <col min="19" max="16384" width="11.44140625" style="593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186" t="s">
        <v>138</v>
      </c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  <c r="O15" s="1186"/>
      <c r="P15" s="1186"/>
    </row>
    <row r="16" spans="2:16"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  <c r="O16" s="1186"/>
      <c r="P16" s="1186"/>
    </row>
    <row r="17" spans="1:18" ht="11.25" customHeight="1">
      <c r="A17" s="1188" t="s">
        <v>93</v>
      </c>
      <c r="B17" s="1188"/>
      <c r="C17" s="1187" t="str">
        <f>RESUMEN!B15</f>
        <v>G</v>
      </c>
      <c r="D17" s="1187"/>
      <c r="H17" s="704"/>
      <c r="I17" s="705"/>
      <c r="J17" s="660"/>
      <c r="K17" s="660"/>
      <c r="L17" s="660"/>
      <c r="M17" s="660"/>
      <c r="N17" s="660"/>
      <c r="O17" s="660"/>
      <c r="P17" s="660"/>
    </row>
    <row r="18" spans="1:18" ht="13.5" customHeight="1">
      <c r="A18" s="1188"/>
      <c r="B18" s="1188"/>
      <c r="C18" s="1187"/>
      <c r="D18" s="1187"/>
      <c r="H18" s="706"/>
      <c r="I18" s="705"/>
      <c r="J18" s="660"/>
      <c r="K18" s="660"/>
      <c r="L18" s="660"/>
      <c r="M18" s="660"/>
      <c r="N18" s="660"/>
      <c r="O18" s="660"/>
      <c r="P18" s="660"/>
    </row>
    <row r="19" spans="1:18">
      <c r="A19" s="662" t="s">
        <v>1</v>
      </c>
      <c r="B19" s="1215" t="str">
        <f>IF(RESUMEN!B17=0,"",RESUMEN!B17)</f>
        <v>ZONA DE CARGA</v>
      </c>
      <c r="C19" s="1215"/>
      <c r="D19" s="1215"/>
      <c r="H19" s="707"/>
      <c r="I19" s="704"/>
      <c r="J19" s="659"/>
      <c r="K19" s="659"/>
      <c r="L19" s="659"/>
      <c r="M19" s="659"/>
      <c r="N19" s="660"/>
      <c r="O19" s="659"/>
      <c r="P19" s="659"/>
    </row>
    <row r="20" spans="1:18">
      <c r="A20" s="662" t="s">
        <v>2</v>
      </c>
      <c r="B20" s="1215" t="str">
        <f>IF(RESUMEN!B18=0,"",RESUMEN!B18)</f>
        <v>TAB-G</v>
      </c>
      <c r="C20" s="1215"/>
      <c r="D20" s="1215"/>
      <c r="H20" s="707"/>
      <c r="I20" s="704"/>
      <c r="J20" s="659"/>
      <c r="K20" s="704"/>
      <c r="L20" s="659" t="s">
        <v>139</v>
      </c>
      <c r="M20" s="659"/>
      <c r="N20" s="660"/>
      <c r="O20" s="659"/>
      <c r="P20" s="659"/>
    </row>
    <row r="21" spans="1:18">
      <c r="A21" s="662" t="s">
        <v>94</v>
      </c>
      <c r="B21" s="1215" t="str">
        <f>RESUMEN!B19</f>
        <v>220 / 127 VCA</v>
      </c>
      <c r="C21" s="1215"/>
      <c r="D21" s="1215"/>
      <c r="H21" s="707"/>
      <c r="I21" s="704"/>
      <c r="J21" s="659"/>
      <c r="K21" s="708">
        <v>1</v>
      </c>
      <c r="L21" s="659" t="s">
        <v>526</v>
      </c>
      <c r="M21" s="659"/>
      <c r="N21" s="660"/>
      <c r="O21" s="659"/>
      <c r="P21" s="659"/>
    </row>
    <row r="22" spans="1:18">
      <c r="A22" s="662" t="s">
        <v>3</v>
      </c>
      <c r="B22" s="1215">
        <f>RESUMEN!B20</f>
        <v>3</v>
      </c>
      <c r="C22" s="1215"/>
      <c r="D22" s="1215"/>
      <c r="H22" s="707"/>
      <c r="I22" s="708"/>
      <c r="J22" s="659"/>
      <c r="K22" s="708">
        <v>2</v>
      </c>
      <c r="L22" s="659" t="s">
        <v>512</v>
      </c>
      <c r="M22" s="659"/>
      <c r="N22" s="660"/>
      <c r="O22" s="659"/>
      <c r="P22" s="659"/>
    </row>
    <row r="23" spans="1:18">
      <c r="A23" s="662" t="s">
        <v>4</v>
      </c>
      <c r="B23" s="1215">
        <f>RESUMEN!B21</f>
        <v>4</v>
      </c>
      <c r="C23" s="1215"/>
      <c r="D23" s="1215"/>
      <c r="H23" s="707"/>
      <c r="I23" s="708"/>
      <c r="J23" s="659"/>
      <c r="K23" s="708">
        <v>3</v>
      </c>
      <c r="L23" s="659" t="s">
        <v>513</v>
      </c>
      <c r="M23" s="659"/>
      <c r="N23" s="660"/>
      <c r="O23" s="659"/>
      <c r="P23" s="659"/>
    </row>
    <row r="24" spans="1:18">
      <c r="A24" s="662" t="s">
        <v>81</v>
      </c>
      <c r="B24" s="1215">
        <f>RESUMEN!B22</f>
        <v>60</v>
      </c>
      <c r="C24" s="1215"/>
      <c r="D24" s="1215"/>
      <c r="H24" s="707"/>
      <c r="I24" s="708"/>
      <c r="J24" s="659"/>
      <c r="K24" s="708">
        <v>4</v>
      </c>
      <c r="L24" s="659" t="s">
        <v>514</v>
      </c>
      <c r="M24" s="659"/>
      <c r="N24" s="660"/>
      <c r="O24" s="659"/>
      <c r="P24" s="659"/>
    </row>
    <row r="25" spans="1:18">
      <c r="A25" s="662" t="s">
        <v>120</v>
      </c>
      <c r="B25" s="659"/>
      <c r="C25" s="659"/>
      <c r="D25" s="659"/>
      <c r="E25" s="1180" t="str">
        <f>IF(TABLERO!F5=0,"",TABLERO!F5)</f>
        <v>BODEGA</v>
      </c>
      <c r="F25" s="1180"/>
      <c r="G25" s="1180"/>
      <c r="H25" s="1180"/>
      <c r="I25" s="1180"/>
      <c r="J25" s="1180"/>
      <c r="K25" s="708">
        <v>5</v>
      </c>
      <c r="L25" s="659" t="s">
        <v>515</v>
      </c>
      <c r="M25" s="659"/>
      <c r="N25" s="660"/>
      <c r="O25" s="659"/>
      <c r="P25" s="659"/>
    </row>
    <row r="26" spans="1:18" ht="12.75" customHeight="1">
      <c r="A26" s="662" t="s">
        <v>95</v>
      </c>
      <c r="B26" s="1215" t="str">
        <f>IF(RESUMEN!B26=0,"",RESUMEN!B26)</f>
        <v xml:space="preserve"> LA400M141B</v>
      </c>
      <c r="C26" s="1215"/>
      <c r="D26" s="1215"/>
      <c r="E26" s="1180"/>
      <c r="F26" s="1180"/>
      <c r="G26" s="1180"/>
      <c r="H26" s="1180"/>
      <c r="I26" s="1180"/>
      <c r="J26" s="1180"/>
      <c r="K26" s="708">
        <v>6</v>
      </c>
      <c r="L26" s="659" t="s">
        <v>516</v>
      </c>
    </row>
    <row r="27" spans="1:18" ht="13.5" customHeight="1" thickBot="1">
      <c r="A27" s="662" t="s">
        <v>50</v>
      </c>
      <c r="B27" s="1220" t="str">
        <f>IF(RESUMEN!B27=0,"",RESUMEN!B27)</f>
        <v>SQUARED</v>
      </c>
      <c r="C27" s="1220"/>
      <c r="D27" s="1220"/>
      <c r="E27" s="1194"/>
      <c r="F27" s="1194"/>
      <c r="G27" s="1194"/>
      <c r="H27" s="1194"/>
      <c r="I27" s="1194"/>
      <c r="J27" s="1194"/>
      <c r="K27" s="708">
        <v>7</v>
      </c>
      <c r="L27" s="659" t="s">
        <v>525</v>
      </c>
    </row>
    <row r="28" spans="1:18">
      <c r="A28" s="709"/>
      <c r="B28" s="710" t="s">
        <v>130</v>
      </c>
      <c r="C28" s="710" t="s">
        <v>11</v>
      </c>
      <c r="D28" s="710" t="s">
        <v>9</v>
      </c>
      <c r="E28" s="667" t="s">
        <v>140</v>
      </c>
      <c r="F28" s="667" t="s">
        <v>141</v>
      </c>
      <c r="G28" s="667" t="s">
        <v>14</v>
      </c>
      <c r="H28" s="711" t="s">
        <v>29</v>
      </c>
      <c r="I28" s="711" t="s">
        <v>33</v>
      </c>
      <c r="J28" s="667" t="s">
        <v>142</v>
      </c>
      <c r="K28" s="667" t="s">
        <v>39</v>
      </c>
      <c r="L28" s="667" t="s">
        <v>143</v>
      </c>
      <c r="M28" s="667" t="s">
        <v>10</v>
      </c>
      <c r="N28" s="1218" t="s">
        <v>144</v>
      </c>
      <c r="O28" s="1219"/>
      <c r="P28" s="1191" t="s">
        <v>21</v>
      </c>
      <c r="Q28" s="1192"/>
      <c r="R28" s="1193"/>
    </row>
    <row r="29" spans="1:18" ht="13.8" thickBot="1">
      <c r="A29" s="712" t="s">
        <v>5</v>
      </c>
      <c r="B29" s="713" t="s">
        <v>145</v>
      </c>
      <c r="C29" s="713" t="s">
        <v>146</v>
      </c>
      <c r="D29" s="713" t="s">
        <v>119</v>
      </c>
      <c r="E29" s="670" t="s">
        <v>22</v>
      </c>
      <c r="F29" s="670" t="s">
        <v>147</v>
      </c>
      <c r="G29" s="670" t="s">
        <v>293</v>
      </c>
      <c r="H29" s="714" t="s">
        <v>36</v>
      </c>
      <c r="I29" s="714" t="s">
        <v>36</v>
      </c>
      <c r="J29" s="670" t="s">
        <v>148</v>
      </c>
      <c r="K29" s="670" t="s">
        <v>149</v>
      </c>
      <c r="L29" s="670" t="s">
        <v>37</v>
      </c>
      <c r="M29" s="670" t="s">
        <v>106</v>
      </c>
      <c r="N29" s="671" t="s">
        <v>15</v>
      </c>
      <c r="O29" s="671" t="s">
        <v>39</v>
      </c>
      <c r="P29" s="671" t="s">
        <v>150</v>
      </c>
      <c r="Q29" s="671" t="s">
        <v>151</v>
      </c>
      <c r="R29" s="715" t="s">
        <v>27</v>
      </c>
    </row>
    <row r="30" spans="1:18">
      <c r="A30" s="674"/>
      <c r="B30" s="716"/>
      <c r="C30" s="716"/>
      <c r="D30" s="716"/>
      <c r="E30" s="675"/>
      <c r="F30" s="675"/>
      <c r="G30" s="675"/>
      <c r="H30" s="717"/>
      <c r="I30" s="717"/>
      <c r="J30" s="675"/>
      <c r="K30" s="675"/>
      <c r="L30" s="675"/>
      <c r="M30" s="675"/>
      <c r="N30" s="675"/>
      <c r="O30" s="675"/>
      <c r="P30" s="675"/>
      <c r="Q30" s="675"/>
      <c r="R30" s="677"/>
    </row>
    <row r="31" spans="1:18">
      <c r="A31" s="678" t="str">
        <f>TABLERO!B31&amp;IF(TABLERO!C31="","",","&amp;TABLERO!C31)&amp;IF(TABLERO!D31="","",","&amp;TABLERO!D31)</f>
        <v>1,3,5</v>
      </c>
      <c r="B31" s="718">
        <f>IF(F31="","",TABLERO!M31)</f>
        <v>1</v>
      </c>
      <c r="C31" s="679" t="str">
        <f>IF(F31="","",TABLERO!I31)</f>
        <v>CU</v>
      </c>
      <c r="D31" s="680">
        <f>IF(F31="","",TABLERO!K31)</f>
        <v>120</v>
      </c>
      <c r="E31" s="718">
        <f>IF(F31="","",TABLERO!N31)</f>
        <v>1</v>
      </c>
      <c r="F31" s="718">
        <f>TABLERO!BX31</f>
        <v>2</v>
      </c>
      <c r="G31" s="680">
        <f>IF(TABLERO!BU31=0,"",TABLERO!BU31)</f>
        <v>36.211829275413088</v>
      </c>
      <c r="H31" s="719">
        <f>IF(TABLERO!DO31=0,"",TABLERO!DO31)</f>
        <v>0.66</v>
      </c>
      <c r="I31" s="719">
        <f>IF(TABLERO!DP31=0,"",TABLERO!DP31)</f>
        <v>0.187</v>
      </c>
      <c r="J31" s="680">
        <f>IF(TABLERO!DQ31=0,"",TABLERO!DQ31)</f>
        <v>10.5</v>
      </c>
      <c r="K31" s="680">
        <f>IF(TABLERO!DR31=0,"",TABLERO!DR31)</f>
        <v>86.590350000000001</v>
      </c>
      <c r="L31" s="680">
        <f>IF(TABLERO!DS31=0,"",TABLERO!DS31)</f>
        <v>5.0782082016176906</v>
      </c>
      <c r="M31" s="680">
        <f>IF(TABLERO!BZ31=0,"",TABLERO!BZ31)</f>
        <v>2.3082764552807684</v>
      </c>
      <c r="N31" s="679">
        <f>IF(TABLERO!CA31=0,"",TABLERO!CA31)</f>
        <v>6</v>
      </c>
      <c r="O31" s="680">
        <f>IF(TABLERO!DT31=0,"",TABLERO!DT31)</f>
        <v>13.3</v>
      </c>
      <c r="P31" s="680">
        <f>IF(TABLERO!DU31=0,"",TABLERO!DU31)</f>
        <v>359.66140000000001</v>
      </c>
      <c r="Q31" s="718">
        <f>IF(F31="","",TABLERO!O31)</f>
        <v>1</v>
      </c>
      <c r="R31" s="720" t="str">
        <f>IF(TABLERO!CB31=0,"",TABLERO!CB31)</f>
        <v>T-35 mm</v>
      </c>
    </row>
    <row r="32" spans="1:18">
      <c r="A32" s="678" t="str">
        <f>TABLERO!B32&amp;IF(TABLERO!C32="","",","&amp;TABLERO!C32)&amp;IF(TABLERO!D32="","",","&amp;TABLERO!D32)</f>
        <v>2,4,6</v>
      </c>
      <c r="B32" s="718">
        <f>IF(F32="","",TABLERO!M32)</f>
        <v>1</v>
      </c>
      <c r="C32" s="679" t="str">
        <f>IF(F32="","",TABLERO!I32)</f>
        <v>CU</v>
      </c>
      <c r="D32" s="680">
        <f>IF(F32="","",TABLERO!K32)</f>
        <v>40</v>
      </c>
      <c r="E32" s="718">
        <f>IF(F32="","",TABLERO!N32)</f>
        <v>1</v>
      </c>
      <c r="F32" s="718">
        <f>TABLERO!BX32</f>
        <v>4</v>
      </c>
      <c r="G32" s="680">
        <f>IF(TABLERO!BU32=0,"",TABLERO!BU32)</f>
        <v>28.703217142523496</v>
      </c>
      <c r="H32" s="719">
        <f>IF(TABLERO!DO32=0,"",TABLERO!DO32)</f>
        <v>1.02</v>
      </c>
      <c r="I32" s="719">
        <f>IF(TABLERO!DP32=0,"",TABLERO!DP32)</f>
        <v>0.19700000000000001</v>
      </c>
      <c r="J32" s="680">
        <f>IF(TABLERO!DQ32=0,"",TABLERO!DQ32)</f>
        <v>9</v>
      </c>
      <c r="K32" s="680">
        <f>IF(TABLERO!DR32=0,"",TABLERO!DR32)</f>
        <v>63.617400000000004</v>
      </c>
      <c r="L32" s="680">
        <f>IF(TABLERO!DS32=0,"",TABLERO!DS32)</f>
        <v>1.9939500767543368</v>
      </c>
      <c r="M32" s="680">
        <f>IF(TABLERO!BZ32=0,"",TABLERO!BZ32)</f>
        <v>0.90634094397924403</v>
      </c>
      <c r="N32" s="679">
        <f>IF(TABLERO!CA32=0,"",TABLERO!CA32)</f>
        <v>6</v>
      </c>
      <c r="O32" s="680">
        <f>IF(TABLERO!DT32=0,"",TABLERO!DT32)</f>
        <v>13.3</v>
      </c>
      <c r="P32" s="680">
        <f>IF(TABLERO!DU32=0,"",TABLERO!DU32)</f>
        <v>267.76960000000003</v>
      </c>
      <c r="Q32" s="718">
        <f>IF(F32="","",TABLERO!O32)</f>
        <v>1</v>
      </c>
      <c r="R32" s="720" t="str">
        <f>IF(TABLERO!CB32=0,"",TABLERO!CB32)</f>
        <v>T-35 mm</v>
      </c>
    </row>
    <row r="33" spans="1:18">
      <c r="A33" s="678" t="str">
        <f>TABLERO!B33&amp;IF(TABLERO!C33="","",","&amp;TABLERO!C33)&amp;IF(TABLERO!D33="","",","&amp;TABLERO!D33)</f>
        <v>7,9,11</v>
      </c>
      <c r="B33" s="718">
        <f>IF(F33="","",TABLERO!M33)</f>
        <v>1</v>
      </c>
      <c r="C33" s="679" t="str">
        <f>IF(F33="","",TABLERO!I33)</f>
        <v>AL</v>
      </c>
      <c r="D33" s="680">
        <f>IF(F33="","",TABLERO!K33)</f>
        <v>120</v>
      </c>
      <c r="E33" s="718">
        <f>IF(F33="","",TABLERO!N33)</f>
        <v>1</v>
      </c>
      <c r="F33" s="718" t="str">
        <f>TABLERO!BX33</f>
        <v>4/0</v>
      </c>
      <c r="G33" s="680">
        <f>IF(TABLERO!BU33=0,"",TABLERO!BU33)</f>
        <v>87.581012436503769</v>
      </c>
      <c r="H33" s="719">
        <f>IF(TABLERO!DO33=0,"",TABLERO!DO33)</f>
        <v>0.33</v>
      </c>
      <c r="I33" s="719">
        <f>IF(TABLERO!DP33=0,"",TABLERO!DP33)</f>
        <v>0.16700000000000001</v>
      </c>
      <c r="J33" s="680">
        <f>IF(TABLERO!DQ33=0,"",TABLERO!DQ33)</f>
        <v>16.21</v>
      </c>
      <c r="K33" s="680">
        <f>IF(TABLERO!DR33=0,"",TABLERO!DR33)</f>
        <v>206.37492414000002</v>
      </c>
      <c r="L33" s="680">
        <f>IF(TABLERO!DS33=0,"",TABLERO!DS33)</f>
        <v>6.7235202246750774</v>
      </c>
      <c r="M33" s="680">
        <f>IF(TABLERO!BZ33=0,"",TABLERO!BZ33)</f>
        <v>3.0561455566704896</v>
      </c>
      <c r="N33" s="679">
        <f>IF(TABLERO!CA33=0,"",TABLERO!CA33)</f>
        <v>2</v>
      </c>
      <c r="O33" s="680">
        <f>IF(TABLERO!DT33=0,"",TABLERO!DT33)</f>
        <v>33.6</v>
      </c>
      <c r="P33" s="680">
        <f>IF(TABLERO!DU33=0,"",TABLERO!DU33)</f>
        <v>859.0996965600001</v>
      </c>
      <c r="Q33" s="718">
        <f>IF(F33="","",TABLERO!O33)</f>
        <v>1</v>
      </c>
      <c r="R33" s="720" t="str">
        <f>IF(TABLERO!CB33=0,"",TABLERO!CB33)</f>
        <v>MC-STABILOY</v>
      </c>
    </row>
    <row r="34" spans="1:18">
      <c r="A34" s="678" t="str">
        <f>TABLERO!B34&amp;IF(TABLERO!C34="","",","&amp;TABLERO!C34)&amp;IF(TABLERO!D34="","",","&amp;TABLERO!D34)</f>
        <v>8,10,12</v>
      </c>
      <c r="B34" s="718">
        <f>IF(F34="","",TABLERO!M34)</f>
        <v>1</v>
      </c>
      <c r="C34" s="679" t="str">
        <f>IF(F34="","",TABLERO!I34)</f>
        <v>AL</v>
      </c>
      <c r="D34" s="680">
        <f>IF(F34="","",TABLERO!K34)</f>
        <v>80</v>
      </c>
      <c r="E34" s="718">
        <f>IF(F34="","",TABLERO!N34)</f>
        <v>1</v>
      </c>
      <c r="F34" s="718">
        <f>TABLERO!BX34</f>
        <v>2</v>
      </c>
      <c r="G34" s="680">
        <f>IF(TABLERO!BU34=0,"",TABLERO!BU34)</f>
        <v>46.2</v>
      </c>
      <c r="H34" s="719">
        <f>IF(TABLERO!DO34=0,"",TABLERO!DO34)</f>
        <v>1.05</v>
      </c>
      <c r="I34" s="719">
        <f>IF(TABLERO!DP34=0,"",TABLERO!DP34)</f>
        <v>0.187</v>
      </c>
      <c r="J34" s="680">
        <f>IF(TABLERO!DQ34=0,"",TABLERO!DQ34)</f>
        <v>9.6999999999999993</v>
      </c>
      <c r="K34" s="680">
        <f>IF(TABLERO!DR34=0,"",TABLERO!DR34)</f>
        <v>73.898285999999985</v>
      </c>
      <c r="L34" s="680">
        <f>IF(TABLERO!DS34=0,"",TABLERO!DS34)</f>
        <v>6.5635960780143021</v>
      </c>
      <c r="M34" s="680">
        <f>IF(TABLERO!BZ34=0,"",TABLERO!BZ34)</f>
        <v>2.9834527627337737</v>
      </c>
      <c r="N34" s="679">
        <f>IF(TABLERO!CA34=0,"",TABLERO!CA34)</f>
        <v>6</v>
      </c>
      <c r="O34" s="680">
        <f>IF(TABLERO!DT34=0,"",TABLERO!DT34)</f>
        <v>13.3</v>
      </c>
      <c r="P34" s="680">
        <f>IF(TABLERO!DU34=0,"",TABLERO!DU34)</f>
        <v>234.99485799999997</v>
      </c>
      <c r="Q34" s="718">
        <f>IF(F34="","",TABLERO!O34)</f>
        <v>1</v>
      </c>
      <c r="R34" s="720" t="str">
        <f>IF(TABLERO!CB34=0,"",TABLERO!CB34)</f>
        <v>MC-STABILOY</v>
      </c>
    </row>
    <row r="35" spans="1:18">
      <c r="A35" s="678" t="str">
        <f>TABLERO!B35&amp;IF(TABLERO!C35="","",","&amp;TABLERO!C35)&amp;IF(TABLERO!D35="","",","&amp;TABLERO!D35)</f>
        <v>13,15,17</v>
      </c>
      <c r="B35" s="718">
        <f>IF(F35="","",TABLERO!M35)</f>
        <v>1</v>
      </c>
      <c r="C35" s="679" t="str">
        <f>IF(F35="","",TABLERO!I35)</f>
        <v>CU</v>
      </c>
      <c r="D35" s="680">
        <f>IF(F35="","",TABLERO!K35)</f>
        <v>43</v>
      </c>
      <c r="E35" s="718">
        <f>IF(F35="","",TABLERO!N35)</f>
        <v>1</v>
      </c>
      <c r="F35" s="718">
        <f>TABLERO!BX35</f>
        <v>10</v>
      </c>
      <c r="G35" s="680">
        <f>IF(TABLERO!BU35=0,"",TABLERO!BU35)</f>
        <v>16.7</v>
      </c>
      <c r="H35" s="719">
        <f>IF(TABLERO!DO35=0,"",TABLERO!DO35)</f>
        <v>3.9</v>
      </c>
      <c r="I35" s="719">
        <f>IF(TABLERO!DP35=0,"",TABLERO!DP35)</f>
        <v>0.20699999999999999</v>
      </c>
      <c r="J35" s="680">
        <f>IF(TABLERO!DQ35=0,"",TABLERO!DQ35)</f>
        <v>4.5999999999999996</v>
      </c>
      <c r="K35" s="680">
        <f>IF(TABLERO!DR35=0,"",TABLERO!DR35)</f>
        <v>16.619063999999998</v>
      </c>
      <c r="L35" s="680">
        <f>IF(TABLERO!DS35=0,"",TABLERO!DS35)</f>
        <v>4.4726115482412094</v>
      </c>
      <c r="M35" s="680">
        <f>IF(TABLERO!BZ35=0,"",TABLERO!BZ35)</f>
        <v>2.0330052492005497</v>
      </c>
      <c r="N35" s="679">
        <f>IF(TABLERO!CA35=0,"",TABLERO!CA35)</f>
        <v>10</v>
      </c>
      <c r="O35" s="680">
        <f>IF(TABLERO!DT35=0,"",TABLERO!DT35)</f>
        <v>5.26</v>
      </c>
      <c r="P35" s="680">
        <f>IF(TABLERO!DU35=0,"",TABLERO!DU35)</f>
        <v>78</v>
      </c>
      <c r="Q35" s="718">
        <f>IF(F35="","",TABLERO!O35)</f>
        <v>1</v>
      </c>
      <c r="R35" s="720" t="str">
        <f>IF(TABLERO!CB35=0,"",TABLERO!CB35)</f>
        <v>T-16 mm</v>
      </c>
    </row>
    <row r="36" spans="1:18">
      <c r="A36" s="678" t="str">
        <f>TABLERO!B36&amp;IF(TABLERO!C36="","",","&amp;TABLERO!C36)&amp;IF(TABLERO!D36="","",","&amp;TABLERO!D36)</f>
        <v>14,16,18</v>
      </c>
      <c r="B36" s="718">
        <f>IF(F36="","",TABLERO!M36)</f>
        <v>1</v>
      </c>
      <c r="C36" s="679" t="str">
        <f>IF(F36="","",TABLERO!I36)</f>
        <v>CU</v>
      </c>
      <c r="D36" s="680">
        <f>IF(F36="","",TABLERO!K36)</f>
        <v>46</v>
      </c>
      <c r="E36" s="718">
        <f>IF(F36="","",TABLERO!N36)</f>
        <v>1</v>
      </c>
      <c r="F36" s="718">
        <f>TABLERO!BX36</f>
        <v>10</v>
      </c>
      <c r="G36" s="680">
        <f>IF(TABLERO!BU36=0,"",TABLERO!BU36)</f>
        <v>16.7</v>
      </c>
      <c r="H36" s="719">
        <f>IF(TABLERO!DO36=0,"",TABLERO!DO36)</f>
        <v>3.9</v>
      </c>
      <c r="I36" s="719">
        <f>IF(TABLERO!DP36=0,"",TABLERO!DP36)</f>
        <v>0.20699999999999999</v>
      </c>
      <c r="J36" s="680">
        <f>IF(TABLERO!DQ36=0,"",TABLERO!DQ36)</f>
        <v>4.5999999999999996</v>
      </c>
      <c r="K36" s="680">
        <f>IF(TABLERO!DR36=0,"",TABLERO!DR36)</f>
        <v>16.619063999999998</v>
      </c>
      <c r="L36" s="680">
        <f>IF(TABLERO!DS36=0,"",TABLERO!DS36)</f>
        <v>4.7846542143975732</v>
      </c>
      <c r="M36" s="680">
        <f>IF(TABLERO!BZ36=0,"",TABLERO!BZ36)</f>
        <v>2.17484282472617</v>
      </c>
      <c r="N36" s="679">
        <f>IF(TABLERO!CA36=0,"",TABLERO!CA36)</f>
        <v>10</v>
      </c>
      <c r="O36" s="680">
        <f>IF(TABLERO!DT36=0,"",TABLERO!DT36)</f>
        <v>5.26</v>
      </c>
      <c r="P36" s="680">
        <f>IF(TABLERO!DU36=0,"",TABLERO!DU36)</f>
        <v>78</v>
      </c>
      <c r="Q36" s="718">
        <f>IF(F36="","",TABLERO!O36)</f>
        <v>1</v>
      </c>
      <c r="R36" s="720" t="str">
        <f>IF(TABLERO!CB36=0,"",TABLERO!CB36)</f>
        <v>T-16 mm</v>
      </c>
    </row>
    <row r="37" spans="1:18">
      <c r="A37" s="678" t="str">
        <f>TABLERO!B37&amp;IF(TABLERO!C37="","",","&amp;TABLERO!C37)&amp;IF(TABLERO!D37="","",","&amp;TABLERO!D37)</f>
        <v>19,21,23</v>
      </c>
      <c r="B37" s="718">
        <f>IF(F37="","",TABLERO!M37)</f>
        <v>1</v>
      </c>
      <c r="C37" s="679" t="str">
        <f>IF(F37="","",TABLERO!I37)</f>
        <v>CU</v>
      </c>
      <c r="D37" s="680">
        <f>IF(F37="","",TABLERO!K37)</f>
        <v>49</v>
      </c>
      <c r="E37" s="718">
        <f>IF(F37="","",TABLERO!N37)</f>
        <v>1</v>
      </c>
      <c r="F37" s="718">
        <f>TABLERO!BX37</f>
        <v>10</v>
      </c>
      <c r="G37" s="680">
        <f>IF(TABLERO!BU37=0,"",TABLERO!BU37)</f>
        <v>16.7</v>
      </c>
      <c r="H37" s="719">
        <f>IF(TABLERO!DO37=0,"",TABLERO!DO37)</f>
        <v>3.9</v>
      </c>
      <c r="I37" s="719">
        <f>IF(TABLERO!DP37=0,"",TABLERO!DP37)</f>
        <v>0.20699999999999999</v>
      </c>
      <c r="J37" s="680">
        <f>IF(TABLERO!DQ37=0,"",TABLERO!DQ37)</f>
        <v>4.5999999999999996</v>
      </c>
      <c r="K37" s="680">
        <f>IF(TABLERO!DR37=0,"",TABLERO!DR37)</f>
        <v>16.619063999999998</v>
      </c>
      <c r="L37" s="680">
        <f>IF(TABLERO!DS37=0,"",TABLERO!DS37)</f>
        <v>5.0966968805539361</v>
      </c>
      <c r="M37" s="680">
        <f>IF(TABLERO!BZ37=0,"",TABLERO!BZ37)</f>
        <v>2.3166804002517893</v>
      </c>
      <c r="N37" s="679">
        <f>IF(TABLERO!CA37=0,"",TABLERO!CA37)</f>
        <v>10</v>
      </c>
      <c r="O37" s="680">
        <f>IF(TABLERO!DT37=0,"",TABLERO!DT37)</f>
        <v>5.26</v>
      </c>
      <c r="P37" s="680">
        <f>IF(TABLERO!DU37=0,"",TABLERO!DU37)</f>
        <v>78</v>
      </c>
      <c r="Q37" s="718">
        <f>IF(F37="","",TABLERO!O37)</f>
        <v>1</v>
      </c>
      <c r="R37" s="720" t="str">
        <f>IF(TABLERO!CB37=0,"",TABLERO!CB37)</f>
        <v>T-16 mm</v>
      </c>
    </row>
    <row r="38" spans="1:18">
      <c r="A38" s="678" t="str">
        <f>TABLERO!B38&amp;IF(TABLERO!C38="","",","&amp;TABLERO!C38)&amp;IF(TABLERO!D38="","",","&amp;TABLERO!D38)</f>
        <v>24,26,28</v>
      </c>
      <c r="B38" s="718">
        <f>IF(F38="","",TABLERO!M38)</f>
        <v>1</v>
      </c>
      <c r="C38" s="679" t="str">
        <f>IF(F38="","",TABLERO!I38)</f>
        <v>CU</v>
      </c>
      <c r="D38" s="680">
        <f>IF(F38="","",TABLERO!K38)</f>
        <v>52</v>
      </c>
      <c r="E38" s="718">
        <f>IF(F38="","",TABLERO!N38)</f>
        <v>1</v>
      </c>
      <c r="F38" s="718">
        <f>TABLERO!BX38</f>
        <v>10</v>
      </c>
      <c r="G38" s="680">
        <f>IF(TABLERO!BU38=0,"",TABLERO!BU38)</f>
        <v>16.7</v>
      </c>
      <c r="H38" s="719">
        <f>IF(TABLERO!DO38=0,"",TABLERO!DO38)</f>
        <v>3.9</v>
      </c>
      <c r="I38" s="719">
        <f>IF(TABLERO!DP38=0,"",TABLERO!DP38)</f>
        <v>0.20699999999999999</v>
      </c>
      <c r="J38" s="680">
        <f>IF(TABLERO!DQ38=0,"",TABLERO!DQ38)</f>
        <v>4.5999999999999996</v>
      </c>
      <c r="K38" s="680">
        <f>IF(TABLERO!DR38=0,"",TABLERO!DR38)</f>
        <v>16.619063999999998</v>
      </c>
      <c r="L38" s="680">
        <f>IF(TABLERO!DS38=0,"",TABLERO!DS38)</f>
        <v>5.4087395467102999</v>
      </c>
      <c r="M38" s="680">
        <f>IF(TABLERO!BZ38=0,"",TABLERO!BZ38)</f>
        <v>2.4585179757774087</v>
      </c>
      <c r="N38" s="679">
        <f>IF(TABLERO!CA38=0,"",TABLERO!CA38)</f>
        <v>10</v>
      </c>
      <c r="O38" s="680">
        <f>IF(TABLERO!DT38=0,"",TABLERO!DT38)</f>
        <v>5.26</v>
      </c>
      <c r="P38" s="680">
        <f>IF(TABLERO!DU38=0,"",TABLERO!DU38)</f>
        <v>78</v>
      </c>
      <c r="Q38" s="718">
        <f>IF(F38="","",TABLERO!O38)</f>
        <v>1</v>
      </c>
      <c r="R38" s="720" t="str">
        <f>IF(TABLERO!CB38=0,"",TABLERO!CB38)</f>
        <v>T-16 mm</v>
      </c>
    </row>
    <row r="39" spans="1:18">
      <c r="A39" s="678" t="str">
        <f>TABLERO!B39&amp;IF(TABLERO!C39="","",","&amp;TABLERO!C39)&amp;IF(TABLERO!D39="","",","&amp;TABLERO!D39)</f>
        <v>25,27,29</v>
      </c>
      <c r="B39" s="718">
        <f>IF(F39="","",TABLERO!M39)</f>
        <v>1</v>
      </c>
      <c r="C39" s="679" t="str">
        <f>IF(F39="","",TABLERO!I39)</f>
        <v>CU</v>
      </c>
      <c r="D39" s="680">
        <f>IF(F39="","",TABLERO!K39)</f>
        <v>25</v>
      </c>
      <c r="E39" s="718">
        <f>IF(F39="","",TABLERO!N39)</f>
        <v>1</v>
      </c>
      <c r="F39" s="718">
        <f>TABLERO!BX39</f>
        <v>10</v>
      </c>
      <c r="G39" s="680">
        <f>IF(TABLERO!BU39=0,"",TABLERO!BU39)</f>
        <v>7.2984177030419799</v>
      </c>
      <c r="H39" s="719">
        <f>IF(TABLERO!DO39=0,"",TABLERO!DO39)</f>
        <v>3.9</v>
      </c>
      <c r="I39" s="719">
        <f>IF(TABLERO!DP39=0,"",TABLERO!DP39)</f>
        <v>0.20699999999999999</v>
      </c>
      <c r="J39" s="680">
        <f>IF(TABLERO!DQ39=0,"",TABLERO!DQ39)</f>
        <v>4.5999999999999996</v>
      </c>
      <c r="K39" s="680">
        <f>IF(TABLERO!DR39=0,"",TABLERO!DR39)</f>
        <v>16.619063999999998</v>
      </c>
      <c r="L39" s="680">
        <f>IF(TABLERO!DS39=0,"",TABLERO!DS39)</f>
        <v>1.1364359874151806</v>
      </c>
      <c r="M39" s="680">
        <f>IF(TABLERO!BZ39=0,"",TABLERO!BZ39)</f>
        <v>0.51656181246144572</v>
      </c>
      <c r="N39" s="679">
        <f>IF(TABLERO!CA39=0,"",TABLERO!CA39)</f>
        <v>10</v>
      </c>
      <c r="O39" s="680">
        <f>IF(TABLERO!DT39=0,"",TABLERO!DT39)</f>
        <v>5.26</v>
      </c>
      <c r="P39" s="680">
        <f>IF(TABLERO!DU39=0,"",TABLERO!DU39)</f>
        <v>78</v>
      </c>
      <c r="Q39" s="718">
        <f>IF(F39="","",TABLERO!O39)</f>
        <v>1</v>
      </c>
      <c r="R39" s="720" t="str">
        <f>IF(TABLERO!CB39=0,"",TABLERO!CB39)</f>
        <v>T-16 mm</v>
      </c>
    </row>
    <row r="40" spans="1:18">
      <c r="A40" s="678" t="str">
        <f>TABLERO!B40&amp;IF(TABLERO!C40="","",","&amp;TABLERO!C40)&amp;IF(TABLERO!D40="","",","&amp;TABLERO!D40)</f>
        <v/>
      </c>
      <c r="B40" s="718" t="str">
        <f>IF(F40="","",TABLERO!M40)</f>
        <v/>
      </c>
      <c r="C40" s="679" t="str">
        <f>IF(F40="","",TABLERO!I40)</f>
        <v/>
      </c>
      <c r="D40" s="680" t="str">
        <f>IF(F40="","",TABLERO!K40)</f>
        <v/>
      </c>
      <c r="E40" s="718" t="str">
        <f>IF(F40="","",TABLERO!N40)</f>
        <v/>
      </c>
      <c r="F40" s="718" t="str">
        <f>TABLERO!BX40</f>
        <v/>
      </c>
      <c r="G40" s="680" t="str">
        <f>IF(TABLERO!BU40=0,"",TABLERO!BU40)</f>
        <v/>
      </c>
      <c r="H40" s="719" t="str">
        <f>IF(TABLERO!DO40=0,"",TABLERO!DO40)</f>
        <v/>
      </c>
      <c r="I40" s="719" t="str">
        <f>IF(TABLERO!DP40=0,"",TABLERO!DP40)</f>
        <v/>
      </c>
      <c r="J40" s="680" t="str">
        <f>IF(TABLERO!DQ40=0,"",TABLERO!DQ40)</f>
        <v/>
      </c>
      <c r="K40" s="680" t="str">
        <f>IF(TABLERO!DR40=0,"",TABLERO!DR40)</f>
        <v/>
      </c>
      <c r="L40" s="680" t="str">
        <f>IF(TABLERO!DS40=0,"",TABLERO!DS40)</f>
        <v/>
      </c>
      <c r="M40" s="680" t="str">
        <f>IF(TABLERO!BZ40=0,"",TABLERO!BZ40)</f>
        <v/>
      </c>
      <c r="N40" s="679" t="str">
        <f>IF(TABLERO!CA40=0,"",TABLERO!CA40)</f>
        <v/>
      </c>
      <c r="O40" s="680" t="str">
        <f>IF(TABLERO!DT40=0,"",TABLERO!DT40)</f>
        <v/>
      </c>
      <c r="P40" s="680" t="str">
        <f>IF(TABLERO!DU40=0,"",TABLERO!DU40)</f>
        <v/>
      </c>
      <c r="Q40" s="718" t="str">
        <f>IF(F40="","",TABLERO!O40)</f>
        <v/>
      </c>
      <c r="R40" s="720" t="str">
        <f>IF(TABLERO!CB40=0,"",TABLERO!CB40)</f>
        <v/>
      </c>
    </row>
    <row r="41" spans="1:18">
      <c r="A41" s="678" t="str">
        <f>TABLERO!B41&amp;IF(TABLERO!C41="","",","&amp;TABLERO!C41)&amp;IF(TABLERO!D41="","",","&amp;TABLERO!D41)</f>
        <v/>
      </c>
      <c r="B41" s="718" t="str">
        <f>IF(F41="","",TABLERO!M41)</f>
        <v/>
      </c>
      <c r="C41" s="679" t="str">
        <f>IF(F41="","",TABLERO!I41)</f>
        <v/>
      </c>
      <c r="D41" s="680" t="str">
        <f>IF(F41="","",TABLERO!K41)</f>
        <v/>
      </c>
      <c r="E41" s="718" t="str">
        <f>IF(F41="","",TABLERO!N41)</f>
        <v/>
      </c>
      <c r="F41" s="718" t="str">
        <f>TABLERO!BX41</f>
        <v/>
      </c>
      <c r="G41" s="680" t="str">
        <f>IF(TABLERO!BU41=0,"",TABLERO!BU41)</f>
        <v/>
      </c>
      <c r="H41" s="719" t="str">
        <f>IF(TABLERO!DO41=0,"",TABLERO!DO41)</f>
        <v/>
      </c>
      <c r="I41" s="719" t="str">
        <f>IF(TABLERO!DP41=0,"",TABLERO!DP41)</f>
        <v/>
      </c>
      <c r="J41" s="680" t="str">
        <f>IF(TABLERO!DQ41=0,"",TABLERO!DQ41)</f>
        <v/>
      </c>
      <c r="K41" s="680" t="str">
        <f>IF(TABLERO!DR41=0,"",TABLERO!DR41)</f>
        <v/>
      </c>
      <c r="L41" s="680" t="str">
        <f>IF(TABLERO!DS41=0,"",TABLERO!DS41)</f>
        <v/>
      </c>
      <c r="M41" s="680" t="str">
        <f>IF(TABLERO!BZ41=0,"",TABLERO!BZ41)</f>
        <v/>
      </c>
      <c r="N41" s="679" t="str">
        <f>IF(TABLERO!CA41=0,"",TABLERO!CA41)</f>
        <v/>
      </c>
      <c r="O41" s="680" t="str">
        <f>IF(TABLERO!DT41=0,"",TABLERO!DT41)</f>
        <v/>
      </c>
      <c r="P41" s="680" t="str">
        <f>IF(TABLERO!DU41=0,"",TABLERO!DU41)</f>
        <v/>
      </c>
      <c r="Q41" s="718" t="str">
        <f>IF(F41="","",TABLERO!O41)</f>
        <v/>
      </c>
      <c r="R41" s="720" t="str">
        <f>IF(TABLERO!CB41=0,"",TABLERO!CB41)</f>
        <v/>
      </c>
    </row>
    <row r="42" spans="1:18">
      <c r="A42" s="678" t="str">
        <f>TABLERO!B42&amp;IF(TABLERO!C42="","",","&amp;TABLERO!C42)&amp;IF(TABLERO!D42="","",","&amp;TABLERO!D42)</f>
        <v/>
      </c>
      <c r="B42" s="718" t="str">
        <f>IF(F42="","",TABLERO!M42)</f>
        <v/>
      </c>
      <c r="C42" s="679" t="str">
        <f>IF(F42="","",TABLERO!I42)</f>
        <v/>
      </c>
      <c r="D42" s="680" t="str">
        <f>IF(F42="","",TABLERO!K42)</f>
        <v/>
      </c>
      <c r="E42" s="718" t="str">
        <f>IF(F42="","",TABLERO!N42)</f>
        <v/>
      </c>
      <c r="F42" s="718" t="str">
        <f>TABLERO!BX42</f>
        <v/>
      </c>
      <c r="G42" s="680" t="str">
        <f>IF(TABLERO!BU42=0,"",TABLERO!BU42)</f>
        <v/>
      </c>
      <c r="H42" s="719" t="str">
        <f>IF(TABLERO!DO42=0,"",TABLERO!DO42)</f>
        <v/>
      </c>
      <c r="I42" s="719" t="str">
        <f>IF(TABLERO!DP42=0,"",TABLERO!DP42)</f>
        <v/>
      </c>
      <c r="J42" s="680" t="str">
        <f>IF(TABLERO!DQ42=0,"",TABLERO!DQ42)</f>
        <v/>
      </c>
      <c r="K42" s="680" t="str">
        <f>IF(TABLERO!DR42=0,"",TABLERO!DR42)</f>
        <v/>
      </c>
      <c r="L42" s="680" t="str">
        <f>IF(TABLERO!DS42=0,"",TABLERO!DS42)</f>
        <v/>
      </c>
      <c r="M42" s="680" t="str">
        <f>IF(TABLERO!BZ42=0,"",TABLERO!BZ42)</f>
        <v/>
      </c>
      <c r="N42" s="679" t="str">
        <f>IF(TABLERO!CA42=0,"",TABLERO!CA42)</f>
        <v/>
      </c>
      <c r="O42" s="680" t="str">
        <f>IF(TABLERO!DT42=0,"",TABLERO!DT42)</f>
        <v/>
      </c>
      <c r="P42" s="680" t="str">
        <f>IF(TABLERO!DU42=0,"",TABLERO!DU42)</f>
        <v/>
      </c>
      <c r="Q42" s="718" t="str">
        <f>IF(F42="","",TABLERO!O42)</f>
        <v/>
      </c>
      <c r="R42" s="720" t="str">
        <f>IF(TABLERO!CB42=0,"",TABLERO!CB42)</f>
        <v/>
      </c>
    </row>
    <row r="43" spans="1:18">
      <c r="A43" s="678" t="str">
        <f>TABLERO!B43&amp;IF(TABLERO!C43="","",","&amp;TABLERO!C43)&amp;IF(TABLERO!D43="","",","&amp;TABLERO!D43)</f>
        <v/>
      </c>
      <c r="B43" s="718" t="str">
        <f>IF(F43="","",TABLERO!M43)</f>
        <v/>
      </c>
      <c r="C43" s="679" t="str">
        <f>IF(F43="","",TABLERO!I43)</f>
        <v/>
      </c>
      <c r="D43" s="680" t="str">
        <f>IF(F43="","",TABLERO!K43)</f>
        <v/>
      </c>
      <c r="E43" s="718" t="str">
        <f>IF(F43="","",TABLERO!N43)</f>
        <v/>
      </c>
      <c r="F43" s="718" t="str">
        <f>TABLERO!BX43</f>
        <v/>
      </c>
      <c r="G43" s="680" t="str">
        <f>IF(TABLERO!BU43=0,"",TABLERO!BU43)</f>
        <v/>
      </c>
      <c r="H43" s="719" t="str">
        <f>IF(TABLERO!DO43=0,"",TABLERO!DO43)</f>
        <v/>
      </c>
      <c r="I43" s="719" t="str">
        <f>IF(TABLERO!DP43=0,"",TABLERO!DP43)</f>
        <v/>
      </c>
      <c r="J43" s="680" t="str">
        <f>IF(TABLERO!DQ43=0,"",TABLERO!DQ43)</f>
        <v/>
      </c>
      <c r="K43" s="680" t="str">
        <f>IF(TABLERO!DR43=0,"",TABLERO!DR43)</f>
        <v/>
      </c>
      <c r="L43" s="680" t="str">
        <f>IF(TABLERO!DS43=0,"",TABLERO!DS43)</f>
        <v/>
      </c>
      <c r="M43" s="680" t="str">
        <f>IF(TABLERO!BZ43=0,"",TABLERO!BZ43)</f>
        <v/>
      </c>
      <c r="N43" s="679" t="str">
        <f>IF(TABLERO!CA43=0,"",TABLERO!CA43)</f>
        <v/>
      </c>
      <c r="O43" s="680" t="str">
        <f>IF(TABLERO!DT43=0,"",TABLERO!DT43)</f>
        <v/>
      </c>
      <c r="P43" s="680" t="str">
        <f>IF(TABLERO!DU43=0,"",TABLERO!DU43)</f>
        <v/>
      </c>
      <c r="Q43" s="718" t="str">
        <f>IF(F43="","",TABLERO!O43)</f>
        <v/>
      </c>
      <c r="R43" s="720" t="str">
        <f>IF(TABLERO!CB43=0,"",TABLERO!CB43)</f>
        <v/>
      </c>
    </row>
    <row r="44" spans="1:18">
      <c r="A44" s="678" t="str">
        <f>TABLERO!B44&amp;IF(TABLERO!C44="","",","&amp;TABLERO!C44)&amp;IF(TABLERO!D44="","",","&amp;TABLERO!D44)</f>
        <v/>
      </c>
      <c r="B44" s="718" t="str">
        <f>IF(F44="","",TABLERO!M44)</f>
        <v/>
      </c>
      <c r="C44" s="679" t="str">
        <f>IF(F44="","",TABLERO!I44)</f>
        <v/>
      </c>
      <c r="D44" s="680" t="str">
        <f>IF(F44="","",TABLERO!K44)</f>
        <v/>
      </c>
      <c r="E44" s="718" t="str">
        <f>IF(F44="","",TABLERO!N44)</f>
        <v/>
      </c>
      <c r="F44" s="718" t="str">
        <f>TABLERO!BX44</f>
        <v/>
      </c>
      <c r="G44" s="680" t="str">
        <f>IF(TABLERO!BU44=0,"",TABLERO!BU44)</f>
        <v/>
      </c>
      <c r="H44" s="719" t="str">
        <f>IF(TABLERO!DO44=0,"",TABLERO!DO44)</f>
        <v/>
      </c>
      <c r="I44" s="719" t="str">
        <f>IF(TABLERO!DP44=0,"",TABLERO!DP44)</f>
        <v/>
      </c>
      <c r="J44" s="680" t="str">
        <f>IF(TABLERO!DQ44=0,"",TABLERO!DQ44)</f>
        <v/>
      </c>
      <c r="K44" s="680" t="str">
        <f>IF(TABLERO!DR44=0,"",TABLERO!DR44)</f>
        <v/>
      </c>
      <c r="L44" s="680" t="str">
        <f>IF(TABLERO!DS44=0,"",TABLERO!DS44)</f>
        <v/>
      </c>
      <c r="M44" s="680" t="str">
        <f>IF(TABLERO!BZ44=0,"",TABLERO!BZ44)</f>
        <v/>
      </c>
      <c r="N44" s="679" t="str">
        <f>IF(TABLERO!CA44=0,"",TABLERO!CA44)</f>
        <v/>
      </c>
      <c r="O44" s="680" t="str">
        <f>IF(TABLERO!DT44=0,"",TABLERO!DT44)</f>
        <v/>
      </c>
      <c r="P44" s="680" t="str">
        <f>IF(TABLERO!DU44=0,"",TABLERO!DU44)</f>
        <v/>
      </c>
      <c r="Q44" s="718" t="str">
        <f>IF(F44="","",TABLERO!O44)</f>
        <v/>
      </c>
      <c r="R44" s="720" t="str">
        <f>IF(TABLERO!CB44=0,"",TABLERO!CB44)</f>
        <v/>
      </c>
    </row>
    <row r="45" spans="1:18">
      <c r="A45" s="678" t="str">
        <f>TABLERO!B45&amp;IF(TABLERO!C45="","",","&amp;TABLERO!C45)&amp;IF(TABLERO!D45="","",","&amp;TABLERO!D45)</f>
        <v/>
      </c>
      <c r="B45" s="718" t="str">
        <f>IF(F45="","",TABLERO!M45)</f>
        <v/>
      </c>
      <c r="C45" s="679" t="str">
        <f>IF(F45="","",TABLERO!I45)</f>
        <v/>
      </c>
      <c r="D45" s="680" t="str">
        <f>IF(F45="","",TABLERO!K45)</f>
        <v/>
      </c>
      <c r="E45" s="718" t="str">
        <f>IF(F45="","",TABLERO!N45)</f>
        <v/>
      </c>
      <c r="F45" s="718" t="str">
        <f>TABLERO!BX45</f>
        <v/>
      </c>
      <c r="G45" s="680" t="str">
        <f>IF(TABLERO!BU45=0,"",TABLERO!BU45)</f>
        <v/>
      </c>
      <c r="H45" s="719" t="str">
        <f>IF(TABLERO!DO45=0,"",TABLERO!DO45)</f>
        <v/>
      </c>
      <c r="I45" s="719" t="str">
        <f>IF(TABLERO!DP45=0,"",TABLERO!DP45)</f>
        <v/>
      </c>
      <c r="J45" s="680" t="str">
        <f>IF(TABLERO!DQ45=0,"",TABLERO!DQ45)</f>
        <v/>
      </c>
      <c r="K45" s="680" t="str">
        <f>IF(TABLERO!DR45=0,"",TABLERO!DR45)</f>
        <v/>
      </c>
      <c r="L45" s="680" t="str">
        <f>IF(TABLERO!DS45=0,"",TABLERO!DS45)</f>
        <v/>
      </c>
      <c r="M45" s="680" t="str">
        <f>IF(TABLERO!BZ45=0,"",TABLERO!BZ45)</f>
        <v/>
      </c>
      <c r="N45" s="679" t="str">
        <f>IF(TABLERO!CA45=0,"",TABLERO!CA45)</f>
        <v/>
      </c>
      <c r="O45" s="680" t="str">
        <f>IF(TABLERO!DT45=0,"",TABLERO!DT45)</f>
        <v/>
      </c>
      <c r="P45" s="680" t="str">
        <f>IF(TABLERO!DU45=0,"",TABLERO!DU45)</f>
        <v/>
      </c>
      <c r="Q45" s="718" t="str">
        <f>IF(F45="","",TABLERO!O45)</f>
        <v/>
      </c>
      <c r="R45" s="720" t="str">
        <f>IF(TABLERO!CB45=0,"",TABLERO!CB45)</f>
        <v/>
      </c>
    </row>
    <row r="46" spans="1:18">
      <c r="A46" s="678" t="str">
        <f>TABLERO!B46&amp;IF(TABLERO!C46="","",","&amp;TABLERO!C46)&amp;IF(TABLERO!D46="","",","&amp;TABLERO!D46)</f>
        <v/>
      </c>
      <c r="B46" s="718" t="str">
        <f>IF(F46="","",TABLERO!M46)</f>
        <v/>
      </c>
      <c r="C46" s="679" t="str">
        <f>IF(F46="","",TABLERO!I46)</f>
        <v/>
      </c>
      <c r="D46" s="680" t="str">
        <f>IF(F46="","",TABLERO!K46)</f>
        <v/>
      </c>
      <c r="E46" s="718" t="str">
        <f>IF(F46="","",TABLERO!N46)</f>
        <v/>
      </c>
      <c r="F46" s="718" t="str">
        <f>TABLERO!BX46</f>
        <v/>
      </c>
      <c r="G46" s="680" t="str">
        <f>IF(TABLERO!BU46=0,"",TABLERO!BU46)</f>
        <v/>
      </c>
      <c r="H46" s="719" t="str">
        <f>IF(TABLERO!DO46=0,"",TABLERO!DO46)</f>
        <v/>
      </c>
      <c r="I46" s="719" t="str">
        <f>IF(TABLERO!DP46=0,"",TABLERO!DP46)</f>
        <v/>
      </c>
      <c r="J46" s="680" t="str">
        <f>IF(TABLERO!DQ46=0,"",TABLERO!DQ46)</f>
        <v/>
      </c>
      <c r="K46" s="680" t="str">
        <f>IF(TABLERO!DR46=0,"",TABLERO!DR46)</f>
        <v/>
      </c>
      <c r="L46" s="680" t="str">
        <f>IF(TABLERO!DS46=0,"",TABLERO!DS46)</f>
        <v/>
      </c>
      <c r="M46" s="680" t="str">
        <f>IF(TABLERO!BZ46=0,"",TABLERO!BZ46)</f>
        <v/>
      </c>
      <c r="N46" s="679" t="str">
        <f>IF(TABLERO!CA46=0,"",TABLERO!CA46)</f>
        <v/>
      </c>
      <c r="O46" s="680" t="str">
        <f>IF(TABLERO!DT46=0,"",TABLERO!DT46)</f>
        <v/>
      </c>
      <c r="P46" s="680" t="str">
        <f>IF(TABLERO!DU46=0,"",TABLERO!DU46)</f>
        <v/>
      </c>
      <c r="Q46" s="718" t="str">
        <f>IF(F46="","",TABLERO!O46)</f>
        <v/>
      </c>
      <c r="R46" s="720" t="str">
        <f>IF(TABLERO!CB46=0,"",TABLERO!CB46)</f>
        <v/>
      </c>
    </row>
    <row r="47" spans="1:18">
      <c r="A47" s="678" t="str">
        <f>TABLERO!B47&amp;IF(TABLERO!C47="","",","&amp;TABLERO!C47)&amp;IF(TABLERO!D47="","",","&amp;TABLERO!D47)</f>
        <v/>
      </c>
      <c r="B47" s="718" t="str">
        <f>IF(F47="","",TABLERO!M47)</f>
        <v/>
      </c>
      <c r="C47" s="679" t="str">
        <f>IF(F47="","",TABLERO!I47)</f>
        <v/>
      </c>
      <c r="D47" s="680" t="str">
        <f>IF(F47="","",TABLERO!K47)</f>
        <v/>
      </c>
      <c r="E47" s="718" t="str">
        <f>IF(F47="","",TABLERO!N47)</f>
        <v/>
      </c>
      <c r="F47" s="718" t="str">
        <f>TABLERO!BX47</f>
        <v/>
      </c>
      <c r="G47" s="680" t="str">
        <f>IF(TABLERO!BU47=0,"",TABLERO!BU47)</f>
        <v/>
      </c>
      <c r="H47" s="719" t="str">
        <f>IF(TABLERO!DO47=0,"",TABLERO!DO47)</f>
        <v/>
      </c>
      <c r="I47" s="719" t="str">
        <f>IF(TABLERO!DP47=0,"",TABLERO!DP47)</f>
        <v/>
      </c>
      <c r="J47" s="680" t="str">
        <f>IF(TABLERO!DQ47=0,"",TABLERO!DQ47)</f>
        <v/>
      </c>
      <c r="K47" s="680" t="str">
        <f>IF(TABLERO!DR47=0,"",TABLERO!DR47)</f>
        <v/>
      </c>
      <c r="L47" s="680" t="str">
        <f>IF(TABLERO!DS47=0,"",TABLERO!DS47)</f>
        <v/>
      </c>
      <c r="M47" s="680" t="str">
        <f>IF(TABLERO!BZ47=0,"",TABLERO!BZ47)</f>
        <v/>
      </c>
      <c r="N47" s="679" t="str">
        <f>IF(TABLERO!CA47=0,"",TABLERO!CA47)</f>
        <v/>
      </c>
      <c r="O47" s="680" t="str">
        <f>IF(TABLERO!DT47=0,"",TABLERO!DT47)</f>
        <v/>
      </c>
      <c r="P47" s="680" t="str">
        <f>IF(TABLERO!DU47=0,"",TABLERO!DU47)</f>
        <v/>
      </c>
      <c r="Q47" s="718" t="str">
        <f>IF(F47="","",TABLERO!O47)</f>
        <v/>
      </c>
      <c r="R47" s="720" t="str">
        <f>IF(TABLERO!CB47=0,"",TABLERO!CB47)</f>
        <v/>
      </c>
    </row>
    <row r="48" spans="1:18">
      <c r="A48" s="678" t="str">
        <f>TABLERO!B48&amp;IF(TABLERO!C48="","",","&amp;TABLERO!C48)&amp;IF(TABLERO!D48="","",","&amp;TABLERO!D48)</f>
        <v/>
      </c>
      <c r="B48" s="718" t="str">
        <f>IF(F48="","",TABLERO!M48)</f>
        <v/>
      </c>
      <c r="C48" s="679" t="str">
        <f>IF(F48="","",TABLERO!I48)</f>
        <v/>
      </c>
      <c r="D48" s="680" t="str">
        <f>IF(F48="","",TABLERO!K48)</f>
        <v/>
      </c>
      <c r="E48" s="718" t="str">
        <f>IF(F48="","",TABLERO!N48)</f>
        <v/>
      </c>
      <c r="F48" s="718" t="str">
        <f>TABLERO!BX48</f>
        <v/>
      </c>
      <c r="G48" s="680" t="str">
        <f>IF(TABLERO!BU48=0,"",TABLERO!BU48)</f>
        <v/>
      </c>
      <c r="H48" s="719" t="str">
        <f>IF(TABLERO!DO48=0,"",TABLERO!DO48)</f>
        <v/>
      </c>
      <c r="I48" s="719" t="str">
        <f>IF(TABLERO!DP48=0,"",TABLERO!DP48)</f>
        <v/>
      </c>
      <c r="J48" s="680" t="str">
        <f>IF(TABLERO!DQ48=0,"",TABLERO!DQ48)</f>
        <v/>
      </c>
      <c r="K48" s="680" t="str">
        <f>IF(TABLERO!DR48=0,"",TABLERO!DR48)</f>
        <v/>
      </c>
      <c r="L48" s="680" t="str">
        <f>IF(TABLERO!DS48=0,"",TABLERO!DS48)</f>
        <v/>
      </c>
      <c r="M48" s="680" t="str">
        <f>IF(TABLERO!BZ48=0,"",TABLERO!BZ48)</f>
        <v/>
      </c>
      <c r="N48" s="679" t="str">
        <f>IF(TABLERO!CA48=0,"",TABLERO!CA48)</f>
        <v/>
      </c>
      <c r="O48" s="680" t="str">
        <f>IF(TABLERO!DT48=0,"",TABLERO!DT48)</f>
        <v/>
      </c>
      <c r="P48" s="680" t="str">
        <f>IF(TABLERO!DU48=0,"",TABLERO!DU48)</f>
        <v/>
      </c>
      <c r="Q48" s="718" t="str">
        <f>IF(F48="","",TABLERO!O48)</f>
        <v/>
      </c>
      <c r="R48" s="720" t="str">
        <f>IF(TABLERO!CB48=0,"",TABLERO!CB48)</f>
        <v/>
      </c>
    </row>
    <row r="49" spans="1:18">
      <c r="A49" s="678" t="str">
        <f>TABLERO!B49&amp;IF(TABLERO!C49="","",","&amp;TABLERO!C49)&amp;IF(TABLERO!D49="","",","&amp;TABLERO!D49)</f>
        <v/>
      </c>
      <c r="B49" s="718" t="str">
        <f>IF(F49="","",TABLERO!M49)</f>
        <v/>
      </c>
      <c r="C49" s="679" t="str">
        <f>IF(F49="","",TABLERO!I49)</f>
        <v/>
      </c>
      <c r="D49" s="680" t="str">
        <f>IF(F49="","",TABLERO!K49)</f>
        <v/>
      </c>
      <c r="E49" s="718" t="str">
        <f>IF(F49="","",TABLERO!N49)</f>
        <v/>
      </c>
      <c r="F49" s="718" t="str">
        <f>TABLERO!BX49</f>
        <v/>
      </c>
      <c r="G49" s="680" t="str">
        <f>IF(TABLERO!BU49=0,"",TABLERO!BU49)</f>
        <v/>
      </c>
      <c r="H49" s="719" t="str">
        <f>IF(TABLERO!DO49=0,"",TABLERO!DO49)</f>
        <v/>
      </c>
      <c r="I49" s="719" t="str">
        <f>IF(TABLERO!DP49=0,"",TABLERO!DP49)</f>
        <v/>
      </c>
      <c r="J49" s="680" t="str">
        <f>IF(TABLERO!DQ49=0,"",TABLERO!DQ49)</f>
        <v/>
      </c>
      <c r="K49" s="680" t="str">
        <f>IF(TABLERO!DR49=0,"",TABLERO!DR49)</f>
        <v/>
      </c>
      <c r="L49" s="680" t="str">
        <f>IF(TABLERO!DS49=0,"",TABLERO!DS49)</f>
        <v/>
      </c>
      <c r="M49" s="680" t="str">
        <f>IF(TABLERO!BZ49=0,"",TABLERO!BZ49)</f>
        <v/>
      </c>
      <c r="N49" s="679" t="str">
        <f>IF(TABLERO!CA49=0,"",TABLERO!CA49)</f>
        <v/>
      </c>
      <c r="O49" s="680" t="str">
        <f>IF(TABLERO!DT49=0,"",TABLERO!DT49)</f>
        <v/>
      </c>
      <c r="P49" s="680" t="str">
        <f>IF(TABLERO!DU49=0,"",TABLERO!DU49)</f>
        <v/>
      </c>
      <c r="Q49" s="718" t="str">
        <f>IF(F49="","",TABLERO!O49)</f>
        <v/>
      </c>
      <c r="R49" s="720" t="str">
        <f>IF(TABLERO!CB49=0,"",TABLERO!CB49)</f>
        <v/>
      </c>
    </row>
    <row r="50" spans="1:18">
      <c r="A50" s="678" t="str">
        <f>TABLERO!B50&amp;IF(TABLERO!C50="","",","&amp;TABLERO!C50)&amp;IF(TABLERO!D50="","",","&amp;TABLERO!D50)</f>
        <v/>
      </c>
      <c r="B50" s="718" t="str">
        <f>IF(F50="","",TABLERO!M50)</f>
        <v/>
      </c>
      <c r="C50" s="679" t="str">
        <f>IF(F50="","",TABLERO!I50)</f>
        <v/>
      </c>
      <c r="D50" s="680" t="str">
        <f>IF(F50="","",TABLERO!K50)</f>
        <v/>
      </c>
      <c r="E50" s="718" t="str">
        <f>IF(F50="","",TABLERO!N50)</f>
        <v/>
      </c>
      <c r="F50" s="718" t="str">
        <f>TABLERO!BX50</f>
        <v/>
      </c>
      <c r="G50" s="680" t="str">
        <f>IF(TABLERO!BU50=0,"",TABLERO!BU50)</f>
        <v/>
      </c>
      <c r="H50" s="719" t="str">
        <f>IF(TABLERO!DO50=0,"",TABLERO!DO50)</f>
        <v/>
      </c>
      <c r="I50" s="719" t="str">
        <f>IF(TABLERO!DP50=0,"",TABLERO!DP50)</f>
        <v/>
      </c>
      <c r="J50" s="680" t="str">
        <f>IF(TABLERO!DQ50=0,"",TABLERO!DQ50)</f>
        <v/>
      </c>
      <c r="K50" s="680" t="str">
        <f>IF(TABLERO!DR50=0,"",TABLERO!DR50)</f>
        <v/>
      </c>
      <c r="L50" s="680" t="str">
        <f>IF(TABLERO!DS50=0,"",TABLERO!DS50)</f>
        <v/>
      </c>
      <c r="M50" s="680" t="str">
        <f>IF(TABLERO!BZ50=0,"",TABLERO!BZ50)</f>
        <v/>
      </c>
      <c r="N50" s="679" t="str">
        <f>IF(TABLERO!CA50=0,"",TABLERO!CA50)</f>
        <v/>
      </c>
      <c r="O50" s="680" t="str">
        <f>IF(TABLERO!DT50=0,"",TABLERO!DT50)</f>
        <v/>
      </c>
      <c r="P50" s="680" t="str">
        <f>IF(TABLERO!DU50=0,"",TABLERO!DU50)</f>
        <v/>
      </c>
      <c r="Q50" s="718" t="str">
        <f>IF(F50="","",TABLERO!O50)</f>
        <v/>
      </c>
      <c r="R50" s="720" t="str">
        <f>IF(TABLERO!CB50=0,"",TABLERO!CB50)</f>
        <v/>
      </c>
    </row>
    <row r="51" spans="1:18">
      <c r="A51" s="678" t="str">
        <f>TABLERO!B51&amp;IF(TABLERO!C51="","",","&amp;TABLERO!C51)&amp;IF(TABLERO!D51="","",","&amp;TABLERO!D51)</f>
        <v/>
      </c>
      <c r="B51" s="718" t="str">
        <f>IF(F51="","",TABLERO!M51)</f>
        <v/>
      </c>
      <c r="C51" s="679" t="str">
        <f>IF(F51="","",TABLERO!I51)</f>
        <v/>
      </c>
      <c r="D51" s="680" t="str">
        <f>IF(F51="","",TABLERO!K51)</f>
        <v/>
      </c>
      <c r="E51" s="718" t="str">
        <f>IF(F51="","",TABLERO!N51)</f>
        <v/>
      </c>
      <c r="F51" s="718" t="str">
        <f>TABLERO!BX51</f>
        <v/>
      </c>
      <c r="G51" s="680" t="str">
        <f>IF(TABLERO!BU51=0,"",TABLERO!BU51)</f>
        <v/>
      </c>
      <c r="H51" s="719" t="str">
        <f>IF(TABLERO!DO51=0,"",TABLERO!DO51)</f>
        <v/>
      </c>
      <c r="I51" s="719" t="str">
        <f>IF(TABLERO!DP51=0,"",TABLERO!DP51)</f>
        <v/>
      </c>
      <c r="J51" s="680" t="str">
        <f>IF(TABLERO!DQ51=0,"",TABLERO!DQ51)</f>
        <v/>
      </c>
      <c r="K51" s="680" t="str">
        <f>IF(TABLERO!DR51=0,"",TABLERO!DR51)</f>
        <v/>
      </c>
      <c r="L51" s="680" t="str">
        <f>IF(TABLERO!DS51=0,"",TABLERO!DS51)</f>
        <v/>
      </c>
      <c r="M51" s="680" t="str">
        <f>IF(TABLERO!BZ51=0,"",TABLERO!BZ51)</f>
        <v/>
      </c>
      <c r="N51" s="679" t="str">
        <f>IF(TABLERO!CA51=0,"",TABLERO!CA51)</f>
        <v/>
      </c>
      <c r="O51" s="680" t="str">
        <f>IF(TABLERO!DT51=0,"",TABLERO!DT51)</f>
        <v/>
      </c>
      <c r="P51" s="680" t="str">
        <f>IF(TABLERO!DU51=0,"",TABLERO!DU51)</f>
        <v/>
      </c>
      <c r="Q51" s="718" t="str">
        <f>IF(F51="","",TABLERO!O51)</f>
        <v/>
      </c>
      <c r="R51" s="720" t="str">
        <f>IF(TABLERO!CB51=0,"",TABLERO!CB51)</f>
        <v/>
      </c>
    </row>
    <row r="52" spans="1:18">
      <c r="A52" s="678" t="str">
        <f>TABLERO!B52&amp;IF(TABLERO!C52="","",","&amp;TABLERO!C52)&amp;IF(TABLERO!D52="","",","&amp;TABLERO!D52)</f>
        <v/>
      </c>
      <c r="B52" s="718" t="str">
        <f>IF(F52="","",TABLERO!M52)</f>
        <v/>
      </c>
      <c r="C52" s="679" t="str">
        <f>IF(F52="","",TABLERO!I52)</f>
        <v/>
      </c>
      <c r="D52" s="680" t="str">
        <f>IF(F52="","",TABLERO!K52)</f>
        <v/>
      </c>
      <c r="E52" s="718" t="str">
        <f>IF(F52="","",TABLERO!N52)</f>
        <v/>
      </c>
      <c r="F52" s="718" t="str">
        <f>TABLERO!BX52</f>
        <v/>
      </c>
      <c r="G52" s="680" t="str">
        <f>IF(TABLERO!BU52=0,"",TABLERO!BU52)</f>
        <v/>
      </c>
      <c r="H52" s="719" t="str">
        <f>IF(TABLERO!DO52=0,"",TABLERO!DO52)</f>
        <v/>
      </c>
      <c r="I52" s="719" t="str">
        <f>IF(TABLERO!DP52=0,"",TABLERO!DP52)</f>
        <v/>
      </c>
      <c r="J52" s="680" t="str">
        <f>IF(TABLERO!DQ52=0,"",TABLERO!DQ52)</f>
        <v/>
      </c>
      <c r="K52" s="680" t="str">
        <f>IF(TABLERO!DR52=0,"",TABLERO!DR52)</f>
        <v/>
      </c>
      <c r="L52" s="680" t="str">
        <f>IF(TABLERO!DS52=0,"",TABLERO!DS52)</f>
        <v/>
      </c>
      <c r="M52" s="680" t="str">
        <f>IF(TABLERO!BZ52=0,"",TABLERO!BZ52)</f>
        <v/>
      </c>
      <c r="N52" s="679" t="str">
        <f>IF(TABLERO!CA52=0,"",TABLERO!CA52)</f>
        <v/>
      </c>
      <c r="O52" s="680" t="str">
        <f>IF(TABLERO!DT52=0,"",TABLERO!DT52)</f>
        <v/>
      </c>
      <c r="P52" s="680" t="str">
        <f>IF(TABLERO!DU52=0,"",TABLERO!DU52)</f>
        <v/>
      </c>
      <c r="Q52" s="718" t="str">
        <f>IF(F52="","",TABLERO!O52)</f>
        <v/>
      </c>
      <c r="R52" s="720" t="str">
        <f>IF(TABLERO!CB52=0,"",TABLERO!CB52)</f>
        <v/>
      </c>
    </row>
    <row r="53" spans="1:18">
      <c r="A53" s="678" t="str">
        <f>TABLERO!B53&amp;IF(TABLERO!C53="","",","&amp;TABLERO!C53)&amp;IF(TABLERO!D53="","",","&amp;TABLERO!D53)</f>
        <v/>
      </c>
      <c r="B53" s="718" t="str">
        <f>IF(F53="","",TABLERO!M53)</f>
        <v/>
      </c>
      <c r="C53" s="679" t="str">
        <f>IF(F53="","",TABLERO!I53)</f>
        <v/>
      </c>
      <c r="D53" s="680" t="str">
        <f>IF(F53="","",TABLERO!K53)</f>
        <v/>
      </c>
      <c r="E53" s="718" t="str">
        <f>IF(F53="","",TABLERO!N53)</f>
        <v/>
      </c>
      <c r="F53" s="718" t="str">
        <f>TABLERO!BX53</f>
        <v/>
      </c>
      <c r="G53" s="680" t="str">
        <f>IF(TABLERO!BU53=0,"",TABLERO!BU53)</f>
        <v/>
      </c>
      <c r="H53" s="719" t="str">
        <f>IF(TABLERO!DO53=0,"",TABLERO!DO53)</f>
        <v/>
      </c>
      <c r="I53" s="719" t="str">
        <f>IF(TABLERO!DP53=0,"",TABLERO!DP53)</f>
        <v/>
      </c>
      <c r="J53" s="680" t="str">
        <f>IF(TABLERO!DQ53=0,"",TABLERO!DQ53)</f>
        <v/>
      </c>
      <c r="K53" s="680" t="str">
        <f>IF(TABLERO!DR53=0,"",TABLERO!DR53)</f>
        <v/>
      </c>
      <c r="L53" s="680" t="str">
        <f>IF(TABLERO!DS53=0,"",TABLERO!DS53)</f>
        <v/>
      </c>
      <c r="M53" s="680" t="str">
        <f>IF(TABLERO!BZ53=0,"",TABLERO!BZ53)</f>
        <v/>
      </c>
      <c r="N53" s="679" t="str">
        <f>IF(TABLERO!CA53=0,"",TABLERO!CA53)</f>
        <v/>
      </c>
      <c r="O53" s="680" t="str">
        <f>IF(TABLERO!DT53=0,"",TABLERO!DT53)</f>
        <v/>
      </c>
      <c r="P53" s="680" t="str">
        <f>IF(TABLERO!DU53=0,"",TABLERO!DU53)</f>
        <v/>
      </c>
      <c r="Q53" s="718" t="str">
        <f>IF(F53="","",TABLERO!O53)</f>
        <v/>
      </c>
      <c r="R53" s="720" t="str">
        <f>IF(TABLERO!CB53=0,"",TABLERO!CB53)</f>
        <v/>
      </c>
    </row>
    <row r="54" spans="1:18">
      <c r="A54" s="678" t="str">
        <f>TABLERO!B54&amp;IF(TABLERO!C54="","",","&amp;TABLERO!C54)&amp;IF(TABLERO!D54="","",","&amp;TABLERO!D54)</f>
        <v/>
      </c>
      <c r="B54" s="718" t="str">
        <f>IF(F54="","",TABLERO!M54)</f>
        <v/>
      </c>
      <c r="C54" s="679" t="str">
        <f>IF(F54="","",TABLERO!I54)</f>
        <v/>
      </c>
      <c r="D54" s="680" t="str">
        <f>IF(F54="","",TABLERO!K54)</f>
        <v/>
      </c>
      <c r="E54" s="718" t="str">
        <f>IF(F54="","",TABLERO!N54)</f>
        <v/>
      </c>
      <c r="F54" s="718" t="str">
        <f>TABLERO!BX54</f>
        <v/>
      </c>
      <c r="G54" s="680" t="str">
        <f>IF(TABLERO!BU54=0,"",TABLERO!BU54)</f>
        <v/>
      </c>
      <c r="H54" s="719" t="str">
        <f>IF(TABLERO!DO54=0,"",TABLERO!DO54)</f>
        <v/>
      </c>
      <c r="I54" s="719" t="str">
        <f>IF(TABLERO!DP54=0,"",TABLERO!DP54)</f>
        <v/>
      </c>
      <c r="J54" s="680" t="str">
        <f>IF(TABLERO!DQ54=0,"",TABLERO!DQ54)</f>
        <v/>
      </c>
      <c r="K54" s="680" t="str">
        <f>IF(TABLERO!DR54=0,"",TABLERO!DR54)</f>
        <v/>
      </c>
      <c r="L54" s="680" t="str">
        <f>IF(TABLERO!DS54=0,"",TABLERO!DS54)</f>
        <v/>
      </c>
      <c r="M54" s="680" t="str">
        <f>IF(TABLERO!BZ54=0,"",TABLERO!BZ54)</f>
        <v/>
      </c>
      <c r="N54" s="679" t="str">
        <f>IF(TABLERO!CA54=0,"",TABLERO!CA54)</f>
        <v/>
      </c>
      <c r="O54" s="680" t="str">
        <f>IF(TABLERO!DT54=0,"",TABLERO!DT54)</f>
        <v/>
      </c>
      <c r="P54" s="680" t="str">
        <f>IF(TABLERO!DU54=0,"",TABLERO!DU54)</f>
        <v/>
      </c>
      <c r="Q54" s="718" t="str">
        <f>IF(F54="","",TABLERO!O54)</f>
        <v/>
      </c>
      <c r="R54" s="720" t="str">
        <f>IF(TABLERO!CB54=0,"",TABLERO!CB54)</f>
        <v/>
      </c>
    </row>
    <row r="55" spans="1:18">
      <c r="A55" s="678" t="str">
        <f>TABLERO!B55&amp;IF(TABLERO!C55="","",","&amp;TABLERO!C55)&amp;IF(TABLERO!D55="","",","&amp;TABLERO!D55)</f>
        <v/>
      </c>
      <c r="B55" s="718" t="str">
        <f>IF(F55="","",TABLERO!M55)</f>
        <v/>
      </c>
      <c r="C55" s="679" t="str">
        <f>IF(F55="","",TABLERO!I55)</f>
        <v/>
      </c>
      <c r="D55" s="680" t="str">
        <f>IF(F55="","",TABLERO!K55)</f>
        <v/>
      </c>
      <c r="E55" s="718" t="str">
        <f>IF(F55="","",TABLERO!N55)</f>
        <v/>
      </c>
      <c r="F55" s="718" t="str">
        <f>TABLERO!BX55</f>
        <v/>
      </c>
      <c r="G55" s="680" t="str">
        <f>IF(TABLERO!BU55=0,"",TABLERO!BU55)</f>
        <v/>
      </c>
      <c r="H55" s="719" t="str">
        <f>IF(TABLERO!DO55=0,"",TABLERO!DO55)</f>
        <v/>
      </c>
      <c r="I55" s="719" t="str">
        <f>IF(TABLERO!DP55=0,"",TABLERO!DP55)</f>
        <v/>
      </c>
      <c r="J55" s="680" t="str">
        <f>IF(TABLERO!DQ55=0,"",TABLERO!DQ55)</f>
        <v/>
      </c>
      <c r="K55" s="680" t="str">
        <f>IF(TABLERO!DR55=0,"",TABLERO!DR55)</f>
        <v/>
      </c>
      <c r="L55" s="680" t="str">
        <f>IF(TABLERO!DS55=0,"",TABLERO!DS55)</f>
        <v/>
      </c>
      <c r="M55" s="680" t="str">
        <f>IF(TABLERO!BZ55=0,"",TABLERO!BZ55)</f>
        <v/>
      </c>
      <c r="N55" s="679" t="str">
        <f>IF(TABLERO!CA55=0,"",TABLERO!CA55)</f>
        <v/>
      </c>
      <c r="O55" s="680" t="str">
        <f>IF(TABLERO!DT55=0,"",TABLERO!DT55)</f>
        <v/>
      </c>
      <c r="P55" s="680" t="str">
        <f>IF(TABLERO!DU55=0,"",TABLERO!DU55)</f>
        <v/>
      </c>
      <c r="Q55" s="718" t="str">
        <f>IF(F55="","",TABLERO!O55)</f>
        <v/>
      </c>
      <c r="R55" s="720" t="str">
        <f>IF(TABLERO!CB55=0,"",TABLERO!CB55)</f>
        <v/>
      </c>
    </row>
    <row r="56" spans="1:18">
      <c r="A56" s="678" t="str">
        <f>TABLERO!B56&amp;IF(TABLERO!C56="","",","&amp;TABLERO!C56)&amp;IF(TABLERO!D56="","",","&amp;TABLERO!D56)</f>
        <v/>
      </c>
      <c r="B56" s="718" t="str">
        <f>IF(F56="","",TABLERO!M56)</f>
        <v/>
      </c>
      <c r="C56" s="679" t="str">
        <f>IF(F56="","",TABLERO!I56)</f>
        <v/>
      </c>
      <c r="D56" s="680" t="str">
        <f>IF(F56="","",TABLERO!K56)</f>
        <v/>
      </c>
      <c r="E56" s="718" t="str">
        <f>IF(F56="","",TABLERO!N56)</f>
        <v/>
      </c>
      <c r="F56" s="718" t="str">
        <f>TABLERO!BX56</f>
        <v/>
      </c>
      <c r="G56" s="680" t="str">
        <f>IF(TABLERO!BU56=0,"",TABLERO!BU56)</f>
        <v/>
      </c>
      <c r="H56" s="719" t="str">
        <f>IF(TABLERO!DO56=0,"",TABLERO!DO56)</f>
        <v/>
      </c>
      <c r="I56" s="719" t="str">
        <f>IF(TABLERO!DP56=0,"",TABLERO!DP56)</f>
        <v/>
      </c>
      <c r="J56" s="680" t="str">
        <f>IF(TABLERO!DQ56=0,"",TABLERO!DQ56)</f>
        <v/>
      </c>
      <c r="K56" s="680" t="str">
        <f>IF(TABLERO!DR56=0,"",TABLERO!DR56)</f>
        <v/>
      </c>
      <c r="L56" s="680" t="str">
        <f>IF(TABLERO!DS56=0,"",TABLERO!DS56)</f>
        <v/>
      </c>
      <c r="M56" s="680" t="str">
        <f>IF(TABLERO!BZ56=0,"",TABLERO!BZ56)</f>
        <v/>
      </c>
      <c r="N56" s="679" t="str">
        <f>IF(TABLERO!CA56=0,"",TABLERO!CA56)</f>
        <v/>
      </c>
      <c r="O56" s="680" t="str">
        <f>IF(TABLERO!DT56=0,"",TABLERO!DT56)</f>
        <v/>
      </c>
      <c r="P56" s="680" t="str">
        <f>IF(TABLERO!DU56=0,"",TABLERO!DU56)</f>
        <v/>
      </c>
      <c r="Q56" s="718" t="str">
        <f>IF(F56="","",TABLERO!O56)</f>
        <v/>
      </c>
      <c r="R56" s="720" t="str">
        <f>IF(TABLERO!CB56=0,"",TABLERO!CB56)</f>
        <v/>
      </c>
    </row>
    <row r="57" spans="1:18">
      <c r="A57" s="678" t="str">
        <f>TABLERO!B57&amp;IF(TABLERO!C57="","",","&amp;TABLERO!C57)&amp;IF(TABLERO!D57="","",","&amp;TABLERO!D57)</f>
        <v/>
      </c>
      <c r="B57" s="718" t="str">
        <f>IF(F57="","",TABLERO!M57)</f>
        <v/>
      </c>
      <c r="C57" s="679" t="str">
        <f>IF(F57="","",TABLERO!I57)</f>
        <v/>
      </c>
      <c r="D57" s="680" t="str">
        <f>IF(F57="","",TABLERO!K57)</f>
        <v/>
      </c>
      <c r="E57" s="718" t="str">
        <f>IF(F57="","",TABLERO!N57)</f>
        <v/>
      </c>
      <c r="F57" s="718" t="str">
        <f>TABLERO!BX57</f>
        <v/>
      </c>
      <c r="G57" s="680" t="str">
        <f>IF(TABLERO!BU57=0,"",TABLERO!BU57)</f>
        <v/>
      </c>
      <c r="H57" s="719" t="str">
        <f>IF(TABLERO!DO57=0,"",TABLERO!DO57)</f>
        <v/>
      </c>
      <c r="I57" s="719" t="str">
        <f>IF(TABLERO!DP57=0,"",TABLERO!DP57)</f>
        <v/>
      </c>
      <c r="J57" s="680" t="str">
        <f>IF(TABLERO!DQ57=0,"",TABLERO!DQ57)</f>
        <v/>
      </c>
      <c r="K57" s="680" t="str">
        <f>IF(TABLERO!DR57=0,"",TABLERO!DR57)</f>
        <v/>
      </c>
      <c r="L57" s="680" t="str">
        <f>IF(TABLERO!DS57=0,"",TABLERO!DS57)</f>
        <v/>
      </c>
      <c r="M57" s="680" t="str">
        <f>IF(TABLERO!BZ57=0,"",TABLERO!BZ57)</f>
        <v/>
      </c>
      <c r="N57" s="679" t="str">
        <f>IF(TABLERO!CA57=0,"",TABLERO!CA57)</f>
        <v/>
      </c>
      <c r="O57" s="680" t="str">
        <f>IF(TABLERO!DT57=0,"",TABLERO!DT57)</f>
        <v/>
      </c>
      <c r="P57" s="680" t="str">
        <f>IF(TABLERO!DU57=0,"",TABLERO!DU57)</f>
        <v/>
      </c>
      <c r="Q57" s="718" t="str">
        <f>IF(F57="","",TABLERO!O57)</f>
        <v/>
      </c>
      <c r="R57" s="720" t="str">
        <f>IF(TABLERO!CB57=0,"",TABLERO!CB57)</f>
        <v/>
      </c>
    </row>
    <row r="58" spans="1:18">
      <c r="A58" s="678" t="str">
        <f>TABLERO!B58&amp;IF(TABLERO!C58="","",","&amp;TABLERO!C58)&amp;IF(TABLERO!D58="","",","&amp;TABLERO!D58)</f>
        <v/>
      </c>
      <c r="B58" s="718" t="str">
        <f>IF(F58="","",TABLERO!M58)</f>
        <v/>
      </c>
      <c r="C58" s="679" t="str">
        <f>IF(F58="","",TABLERO!I58)</f>
        <v/>
      </c>
      <c r="D58" s="680" t="str">
        <f>IF(F58="","",TABLERO!K58)</f>
        <v/>
      </c>
      <c r="E58" s="718" t="str">
        <f>IF(F58="","",TABLERO!N58)</f>
        <v/>
      </c>
      <c r="F58" s="718" t="str">
        <f>TABLERO!BX58</f>
        <v/>
      </c>
      <c r="G58" s="680" t="str">
        <f>IF(TABLERO!BU58=0,"",TABLERO!BU58)</f>
        <v/>
      </c>
      <c r="H58" s="719" t="str">
        <f>IF(TABLERO!DO58=0,"",TABLERO!DO58)</f>
        <v/>
      </c>
      <c r="I58" s="719" t="str">
        <f>IF(TABLERO!DP58=0,"",TABLERO!DP58)</f>
        <v/>
      </c>
      <c r="J58" s="680" t="str">
        <f>IF(TABLERO!DQ58=0,"",TABLERO!DQ58)</f>
        <v/>
      </c>
      <c r="K58" s="680" t="str">
        <f>IF(TABLERO!DR58=0,"",TABLERO!DR58)</f>
        <v/>
      </c>
      <c r="L58" s="680" t="str">
        <f>IF(TABLERO!DS58=0,"",TABLERO!DS58)</f>
        <v/>
      </c>
      <c r="M58" s="680" t="str">
        <f>IF(TABLERO!BZ58=0,"",TABLERO!BZ58)</f>
        <v/>
      </c>
      <c r="N58" s="679" t="str">
        <f>IF(TABLERO!CA58=0,"",TABLERO!CA58)</f>
        <v/>
      </c>
      <c r="O58" s="680" t="str">
        <f>IF(TABLERO!DT58=0,"",TABLERO!DT58)</f>
        <v/>
      </c>
      <c r="P58" s="680" t="str">
        <f>IF(TABLERO!DU58=0,"",TABLERO!DU58)</f>
        <v/>
      </c>
      <c r="Q58" s="718" t="str">
        <f>IF(F58="","",TABLERO!O58)</f>
        <v/>
      </c>
      <c r="R58" s="720" t="str">
        <f>IF(TABLERO!CB58=0,"",TABLERO!CB58)</f>
        <v/>
      </c>
    </row>
    <row r="59" spans="1:18">
      <c r="A59" s="678" t="str">
        <f>TABLERO!B59&amp;IF(TABLERO!C59="","",","&amp;TABLERO!C59)&amp;IF(TABLERO!D59="","",","&amp;TABLERO!D59)</f>
        <v/>
      </c>
      <c r="B59" s="718" t="str">
        <f>IF(F59="","",TABLERO!M59)</f>
        <v/>
      </c>
      <c r="C59" s="679" t="str">
        <f>IF(F59="","",TABLERO!I59)</f>
        <v/>
      </c>
      <c r="D59" s="680" t="str">
        <f>IF(F59="","",TABLERO!K59)</f>
        <v/>
      </c>
      <c r="E59" s="718" t="str">
        <f>IF(F59="","",TABLERO!N59)</f>
        <v/>
      </c>
      <c r="F59" s="718" t="str">
        <f>TABLERO!BX59</f>
        <v/>
      </c>
      <c r="G59" s="680" t="str">
        <f>IF(TABLERO!BU59=0,"",TABLERO!BU59)</f>
        <v/>
      </c>
      <c r="H59" s="719" t="str">
        <f>IF(TABLERO!DO59=0,"",TABLERO!DO59)</f>
        <v/>
      </c>
      <c r="I59" s="719" t="str">
        <f>IF(TABLERO!DP59=0,"",TABLERO!DP59)</f>
        <v/>
      </c>
      <c r="J59" s="680" t="str">
        <f>IF(TABLERO!DQ59=0,"",TABLERO!DQ59)</f>
        <v/>
      </c>
      <c r="K59" s="680" t="str">
        <f>IF(TABLERO!DR59=0,"",TABLERO!DR59)</f>
        <v/>
      </c>
      <c r="L59" s="680" t="str">
        <f>IF(TABLERO!DS59=0,"",TABLERO!DS59)</f>
        <v/>
      </c>
      <c r="M59" s="680" t="str">
        <f>IF(TABLERO!BZ59=0,"",TABLERO!BZ59)</f>
        <v/>
      </c>
      <c r="N59" s="679" t="str">
        <f>IF(TABLERO!CA59=0,"",TABLERO!CA59)</f>
        <v/>
      </c>
      <c r="O59" s="680" t="str">
        <f>IF(TABLERO!DT59=0,"",TABLERO!DT59)</f>
        <v/>
      </c>
      <c r="P59" s="680" t="str">
        <f>IF(TABLERO!DU59=0,"",TABLERO!DU59)</f>
        <v/>
      </c>
      <c r="Q59" s="718" t="str">
        <f>IF(F59="","",TABLERO!O59)</f>
        <v/>
      </c>
      <c r="R59" s="720" t="str">
        <f>IF(TABLERO!CB59=0,"",TABLERO!CB59)</f>
        <v/>
      </c>
    </row>
    <row r="60" spans="1:18">
      <c r="A60" s="678" t="str">
        <f>TABLERO!B60&amp;IF(TABLERO!C60="","",","&amp;TABLERO!C60)&amp;IF(TABLERO!D60="","",","&amp;TABLERO!D60)</f>
        <v/>
      </c>
      <c r="B60" s="718" t="str">
        <f>IF(F60="","",TABLERO!M60)</f>
        <v/>
      </c>
      <c r="C60" s="679" t="str">
        <f>IF(F60="","",TABLERO!I60)</f>
        <v/>
      </c>
      <c r="D60" s="680" t="str">
        <f>IF(F60="","",TABLERO!K60)</f>
        <v/>
      </c>
      <c r="E60" s="718" t="str">
        <f>IF(F60="","",TABLERO!N60)</f>
        <v/>
      </c>
      <c r="F60" s="718" t="str">
        <f>TABLERO!BX60</f>
        <v/>
      </c>
      <c r="G60" s="680" t="str">
        <f>IF(TABLERO!BU60=0,"",TABLERO!BU60)</f>
        <v/>
      </c>
      <c r="H60" s="719" t="str">
        <f>IF(TABLERO!DO60=0,"",TABLERO!DO60)</f>
        <v/>
      </c>
      <c r="I60" s="719" t="str">
        <f>IF(TABLERO!DP60=0,"",TABLERO!DP60)</f>
        <v/>
      </c>
      <c r="J60" s="680" t="str">
        <f>IF(TABLERO!DQ60=0,"",TABLERO!DQ60)</f>
        <v/>
      </c>
      <c r="K60" s="680" t="str">
        <f>IF(TABLERO!DR60=0,"",TABLERO!DR60)</f>
        <v/>
      </c>
      <c r="L60" s="680" t="str">
        <f>IF(TABLERO!DS60=0,"",TABLERO!DS60)</f>
        <v/>
      </c>
      <c r="M60" s="680" t="str">
        <f>IF(TABLERO!BZ60=0,"",TABLERO!BZ60)</f>
        <v/>
      </c>
      <c r="N60" s="679" t="str">
        <f>IF(TABLERO!CA60=0,"",TABLERO!CA60)</f>
        <v/>
      </c>
      <c r="O60" s="680" t="str">
        <f>IF(TABLERO!DT60=0,"",TABLERO!DT60)</f>
        <v/>
      </c>
      <c r="P60" s="680" t="str">
        <f>IF(TABLERO!DU60=0,"",TABLERO!DU60)</f>
        <v/>
      </c>
      <c r="Q60" s="718" t="str">
        <f>IF(F60="","",TABLERO!O60)</f>
        <v/>
      </c>
      <c r="R60" s="720" t="str">
        <f>IF(TABLERO!CB60=0,"",TABLERO!CB60)</f>
        <v/>
      </c>
    </row>
    <row r="61" spans="1:18">
      <c r="A61" s="678" t="str">
        <f>TABLERO!B61&amp;IF(TABLERO!C61="","",","&amp;TABLERO!C61)&amp;IF(TABLERO!D61="","",","&amp;TABLERO!D61)</f>
        <v>31</v>
      </c>
      <c r="B61" s="718" t="str">
        <f>IF(F61="","",TABLERO!M61)</f>
        <v/>
      </c>
      <c r="C61" s="679" t="str">
        <f>IF(F61="","",TABLERO!I61)</f>
        <v/>
      </c>
      <c r="D61" s="680" t="str">
        <f>IF(F61="","",TABLERO!K61)</f>
        <v/>
      </c>
      <c r="E61" s="718" t="str">
        <f>IF(F61="","",TABLERO!N61)</f>
        <v/>
      </c>
      <c r="F61" s="718" t="str">
        <f>TABLERO!BX61</f>
        <v/>
      </c>
      <c r="G61" s="680" t="str">
        <f>IF(TABLERO!BU61=0,"",TABLERO!BU61)</f>
        <v/>
      </c>
      <c r="H61" s="719" t="str">
        <f>IF(TABLERO!DO61=0,"",TABLERO!DO61)</f>
        <v/>
      </c>
      <c r="I61" s="719" t="str">
        <f>IF(TABLERO!DP61=0,"",TABLERO!DP61)</f>
        <v/>
      </c>
      <c r="J61" s="680" t="str">
        <f>IF(TABLERO!DQ61=0,"",TABLERO!DQ61)</f>
        <v/>
      </c>
      <c r="K61" s="680" t="str">
        <f>IF(TABLERO!DR61=0,"",TABLERO!DR61)</f>
        <v/>
      </c>
      <c r="L61" s="680" t="str">
        <f>IF(TABLERO!DS61=0,"",TABLERO!DS61)</f>
        <v/>
      </c>
      <c r="M61" s="680" t="str">
        <f>IF(TABLERO!BZ61=0,"",TABLERO!BZ61)</f>
        <v/>
      </c>
      <c r="N61" s="679" t="str">
        <f>IF(TABLERO!CA61=0,"",TABLERO!CA61)</f>
        <v/>
      </c>
      <c r="O61" s="680" t="str">
        <f>IF(TABLERO!DT61=0,"",TABLERO!DT61)</f>
        <v/>
      </c>
      <c r="P61" s="680" t="str">
        <f>IF(TABLERO!DU61=0,"",TABLERO!DU61)</f>
        <v/>
      </c>
      <c r="Q61" s="718" t="str">
        <f>IF(F61="","",TABLERO!O61)</f>
        <v/>
      </c>
      <c r="R61" s="720" t="str">
        <f>IF(TABLERO!CB61=0,"",TABLERO!CB61)</f>
        <v/>
      </c>
    </row>
    <row r="62" spans="1:18">
      <c r="A62" s="678" t="str">
        <f>TABLERO!B62&amp;IF(TABLERO!C62="","",","&amp;TABLERO!C62)&amp;IF(TABLERO!D62="","",","&amp;TABLERO!D62)</f>
        <v>32</v>
      </c>
      <c r="B62" s="718" t="str">
        <f>IF(F62="","",TABLERO!M62)</f>
        <v/>
      </c>
      <c r="C62" s="679" t="str">
        <f>IF(F62="","",TABLERO!I62)</f>
        <v/>
      </c>
      <c r="D62" s="680" t="str">
        <f>IF(F62="","",TABLERO!K62)</f>
        <v/>
      </c>
      <c r="E62" s="718" t="str">
        <f>IF(F62="","",TABLERO!N62)</f>
        <v/>
      </c>
      <c r="F62" s="718" t="str">
        <f>TABLERO!BX62</f>
        <v/>
      </c>
      <c r="G62" s="680" t="str">
        <f>IF(TABLERO!BU62=0,"",TABLERO!BU62)</f>
        <v/>
      </c>
      <c r="H62" s="719" t="str">
        <f>IF(TABLERO!DO62=0,"",TABLERO!DO62)</f>
        <v/>
      </c>
      <c r="I62" s="719" t="str">
        <f>IF(TABLERO!DP62=0,"",TABLERO!DP62)</f>
        <v/>
      </c>
      <c r="J62" s="680" t="str">
        <f>IF(TABLERO!DQ62=0,"",TABLERO!DQ62)</f>
        <v/>
      </c>
      <c r="K62" s="680" t="str">
        <f>IF(TABLERO!DR62=0,"",TABLERO!DR62)</f>
        <v/>
      </c>
      <c r="L62" s="680" t="str">
        <f>IF(TABLERO!DS62=0,"",TABLERO!DS62)</f>
        <v/>
      </c>
      <c r="M62" s="680" t="str">
        <f>IF(TABLERO!BZ62=0,"",TABLERO!BZ62)</f>
        <v/>
      </c>
      <c r="N62" s="679" t="str">
        <f>IF(TABLERO!CA62=0,"",TABLERO!CA62)</f>
        <v/>
      </c>
      <c r="O62" s="680" t="str">
        <f>IF(TABLERO!DT62=0,"",TABLERO!DT62)</f>
        <v/>
      </c>
      <c r="P62" s="680" t="str">
        <f>IF(TABLERO!DU62=0,"",TABLERO!DU62)</f>
        <v/>
      </c>
      <c r="Q62" s="718" t="str">
        <f>IF(F62="","",TABLERO!O62)</f>
        <v/>
      </c>
      <c r="R62" s="720" t="str">
        <f>IF(TABLERO!CB62=0,"",TABLERO!CB62)</f>
        <v/>
      </c>
    </row>
    <row r="63" spans="1:18">
      <c r="A63" s="678" t="str">
        <f>TABLERO!B63&amp;IF(TABLERO!C63="","",","&amp;TABLERO!C63)&amp;IF(TABLERO!D63="","",","&amp;TABLERO!D63)</f>
        <v>33</v>
      </c>
      <c r="B63" s="718" t="str">
        <f>IF(F63="","",TABLERO!M63)</f>
        <v/>
      </c>
      <c r="C63" s="679" t="str">
        <f>IF(F63="","",TABLERO!I63)</f>
        <v/>
      </c>
      <c r="D63" s="680" t="str">
        <f>IF(F63="","",TABLERO!K63)</f>
        <v/>
      </c>
      <c r="E63" s="718" t="str">
        <f>IF(F63="","",TABLERO!N63)</f>
        <v/>
      </c>
      <c r="F63" s="718" t="str">
        <f>TABLERO!BX63</f>
        <v/>
      </c>
      <c r="G63" s="680" t="str">
        <f>IF(TABLERO!BU63=0,"",TABLERO!BU63)</f>
        <v/>
      </c>
      <c r="H63" s="719" t="str">
        <f>IF(TABLERO!DO63=0,"",TABLERO!DO63)</f>
        <v/>
      </c>
      <c r="I63" s="719" t="str">
        <f>IF(TABLERO!DP63=0,"",TABLERO!DP63)</f>
        <v/>
      </c>
      <c r="J63" s="680" t="str">
        <f>IF(TABLERO!DQ63=0,"",TABLERO!DQ63)</f>
        <v/>
      </c>
      <c r="K63" s="680" t="str">
        <f>IF(TABLERO!DR63=0,"",TABLERO!DR63)</f>
        <v/>
      </c>
      <c r="L63" s="680" t="str">
        <f>IF(TABLERO!DS63=0,"",TABLERO!DS63)</f>
        <v/>
      </c>
      <c r="M63" s="680" t="str">
        <f>IF(TABLERO!BZ63=0,"",TABLERO!BZ63)</f>
        <v/>
      </c>
      <c r="N63" s="679" t="str">
        <f>IF(TABLERO!CA63=0,"",TABLERO!CA63)</f>
        <v/>
      </c>
      <c r="O63" s="680" t="str">
        <f>IF(TABLERO!DT63=0,"",TABLERO!DT63)</f>
        <v/>
      </c>
      <c r="P63" s="680" t="str">
        <f>IF(TABLERO!DU63=0,"",TABLERO!DU63)</f>
        <v/>
      </c>
      <c r="Q63" s="718" t="str">
        <f>IF(F63="","",TABLERO!O63)</f>
        <v/>
      </c>
      <c r="R63" s="720" t="str">
        <f>IF(TABLERO!CB63=0,"",TABLERO!CB63)</f>
        <v/>
      </c>
    </row>
    <row r="64" spans="1:18">
      <c r="A64" s="678" t="str">
        <f>TABLERO!B64&amp;IF(TABLERO!C64="","",","&amp;TABLERO!C64)&amp;IF(TABLERO!D64="","",","&amp;TABLERO!D64)</f>
        <v>34</v>
      </c>
      <c r="B64" s="718" t="str">
        <f>IF(F64="","",TABLERO!M64)</f>
        <v/>
      </c>
      <c r="C64" s="679" t="str">
        <f>IF(F64="","",TABLERO!I64)</f>
        <v/>
      </c>
      <c r="D64" s="680" t="str">
        <f>IF(F64="","",TABLERO!K64)</f>
        <v/>
      </c>
      <c r="E64" s="718" t="str">
        <f>IF(F64="","",TABLERO!N64)</f>
        <v/>
      </c>
      <c r="F64" s="718" t="str">
        <f>TABLERO!BX64</f>
        <v/>
      </c>
      <c r="G64" s="680" t="str">
        <f>IF(TABLERO!BU64=0,"",TABLERO!BU64)</f>
        <v/>
      </c>
      <c r="H64" s="719" t="str">
        <f>IF(TABLERO!DO64=0,"",TABLERO!DO64)</f>
        <v/>
      </c>
      <c r="I64" s="719" t="str">
        <f>IF(TABLERO!DP64=0,"",TABLERO!DP64)</f>
        <v/>
      </c>
      <c r="J64" s="680" t="str">
        <f>IF(TABLERO!DQ64=0,"",TABLERO!DQ64)</f>
        <v/>
      </c>
      <c r="K64" s="680" t="str">
        <f>IF(TABLERO!DR64=0,"",TABLERO!DR64)</f>
        <v/>
      </c>
      <c r="L64" s="680" t="str">
        <f>IF(TABLERO!DS64=0,"",TABLERO!DS64)</f>
        <v/>
      </c>
      <c r="M64" s="680" t="str">
        <f>IF(TABLERO!BZ64=0,"",TABLERO!BZ64)</f>
        <v/>
      </c>
      <c r="N64" s="679" t="str">
        <f>IF(TABLERO!CA64=0,"",TABLERO!CA64)</f>
        <v/>
      </c>
      <c r="O64" s="680" t="str">
        <f>IF(TABLERO!DT64=0,"",TABLERO!DT64)</f>
        <v/>
      </c>
      <c r="P64" s="680" t="str">
        <f>IF(TABLERO!DU64=0,"",TABLERO!DU64)</f>
        <v/>
      </c>
      <c r="Q64" s="718" t="str">
        <f>IF(F64="","",TABLERO!O64)</f>
        <v/>
      </c>
      <c r="R64" s="720" t="str">
        <f>IF(TABLERO!CB64=0,"",TABLERO!CB64)</f>
        <v/>
      </c>
    </row>
    <row r="65" spans="1:18">
      <c r="A65" s="678" t="str">
        <f>TABLERO!B65&amp;IF(TABLERO!C65="","",","&amp;TABLERO!C65)&amp;IF(TABLERO!D65="","",","&amp;TABLERO!D65)</f>
        <v>35</v>
      </c>
      <c r="B65" s="718" t="str">
        <f>IF(F65="","",TABLERO!M65)</f>
        <v/>
      </c>
      <c r="C65" s="679" t="str">
        <f>IF(F65="","",TABLERO!I65)</f>
        <v/>
      </c>
      <c r="D65" s="680" t="str">
        <f>IF(F65="","",TABLERO!K65)</f>
        <v/>
      </c>
      <c r="E65" s="718" t="str">
        <f>IF(F65="","",TABLERO!N65)</f>
        <v/>
      </c>
      <c r="F65" s="718" t="str">
        <f>TABLERO!BX65</f>
        <v/>
      </c>
      <c r="G65" s="680" t="str">
        <f>IF(TABLERO!BU65=0,"",TABLERO!BU65)</f>
        <v/>
      </c>
      <c r="H65" s="719" t="str">
        <f>IF(TABLERO!DO65=0,"",TABLERO!DO65)</f>
        <v/>
      </c>
      <c r="I65" s="719" t="str">
        <f>IF(TABLERO!DP65=0,"",TABLERO!DP65)</f>
        <v/>
      </c>
      <c r="J65" s="680" t="str">
        <f>IF(TABLERO!DQ65=0,"",TABLERO!DQ65)</f>
        <v/>
      </c>
      <c r="K65" s="680" t="str">
        <f>IF(TABLERO!DR65=0,"",TABLERO!DR65)</f>
        <v/>
      </c>
      <c r="L65" s="680" t="str">
        <f>IF(TABLERO!DS65=0,"",TABLERO!DS65)</f>
        <v/>
      </c>
      <c r="M65" s="680" t="str">
        <f>IF(TABLERO!BZ65=0,"",TABLERO!BZ65)</f>
        <v/>
      </c>
      <c r="N65" s="679" t="str">
        <f>IF(TABLERO!CA65=0,"",TABLERO!CA65)</f>
        <v/>
      </c>
      <c r="O65" s="680" t="str">
        <f>IF(TABLERO!DT65=0,"",TABLERO!DT65)</f>
        <v/>
      </c>
      <c r="P65" s="680" t="str">
        <f>IF(TABLERO!DU65=0,"",TABLERO!DU65)</f>
        <v/>
      </c>
      <c r="Q65" s="718" t="str">
        <f>IF(F65="","",TABLERO!O65)</f>
        <v/>
      </c>
      <c r="R65" s="720" t="str">
        <f>IF(TABLERO!CB65=0,"",TABLERO!CB65)</f>
        <v/>
      </c>
    </row>
    <row r="66" spans="1:18">
      <c r="A66" s="678" t="str">
        <f>TABLERO!B66&amp;IF(TABLERO!C66="","",","&amp;TABLERO!C66)&amp;IF(TABLERO!D66="","",","&amp;TABLERO!D66)</f>
        <v>36</v>
      </c>
      <c r="B66" s="718" t="str">
        <f>IF(F66="","",TABLERO!M66)</f>
        <v/>
      </c>
      <c r="C66" s="679" t="str">
        <f>IF(F66="","",TABLERO!I66)</f>
        <v/>
      </c>
      <c r="D66" s="680" t="str">
        <f>IF(F66="","",TABLERO!K66)</f>
        <v/>
      </c>
      <c r="E66" s="718" t="str">
        <f>IF(F66="","",TABLERO!N66)</f>
        <v/>
      </c>
      <c r="F66" s="718" t="str">
        <f>TABLERO!BX66</f>
        <v/>
      </c>
      <c r="G66" s="680" t="str">
        <f>IF(TABLERO!BU66=0,"",TABLERO!BU66)</f>
        <v/>
      </c>
      <c r="H66" s="719" t="str">
        <f>IF(TABLERO!DO66=0,"",TABLERO!DO66)</f>
        <v/>
      </c>
      <c r="I66" s="719" t="str">
        <f>IF(TABLERO!DP66=0,"",TABLERO!DP66)</f>
        <v/>
      </c>
      <c r="J66" s="680" t="str">
        <f>IF(TABLERO!DQ66=0,"",TABLERO!DQ66)</f>
        <v/>
      </c>
      <c r="K66" s="680" t="str">
        <f>IF(TABLERO!DR66=0,"",TABLERO!DR66)</f>
        <v/>
      </c>
      <c r="L66" s="680" t="str">
        <f>IF(TABLERO!DS66=0,"",TABLERO!DS66)</f>
        <v/>
      </c>
      <c r="M66" s="680" t="str">
        <f>IF(TABLERO!BZ66=0,"",TABLERO!BZ66)</f>
        <v/>
      </c>
      <c r="N66" s="679" t="str">
        <f>IF(TABLERO!CA66=0,"",TABLERO!CA66)</f>
        <v/>
      </c>
      <c r="O66" s="680" t="str">
        <f>IF(TABLERO!DT66=0,"",TABLERO!DT66)</f>
        <v/>
      </c>
      <c r="P66" s="680" t="str">
        <f>IF(TABLERO!DU66=0,"",TABLERO!DU66)</f>
        <v/>
      </c>
      <c r="Q66" s="718" t="str">
        <f>IF(F66="","",TABLERO!O66)</f>
        <v/>
      </c>
      <c r="R66" s="720" t="str">
        <f>IF(TABLERO!CB66=0,"",TABLERO!CB66)</f>
        <v/>
      </c>
    </row>
    <row r="67" spans="1:18">
      <c r="A67" s="678" t="str">
        <f>TABLERO!B67&amp;IF(TABLERO!C67="","",","&amp;TABLERO!C67)&amp;IF(TABLERO!D67="","",","&amp;TABLERO!D67)</f>
        <v>37</v>
      </c>
      <c r="B67" s="718" t="str">
        <f>IF(F67="","",TABLERO!M67)</f>
        <v/>
      </c>
      <c r="C67" s="679" t="str">
        <f>IF(F67="","",TABLERO!I67)</f>
        <v/>
      </c>
      <c r="D67" s="680" t="str">
        <f>IF(F67="","",TABLERO!K67)</f>
        <v/>
      </c>
      <c r="E67" s="718" t="str">
        <f>IF(F67="","",TABLERO!N67)</f>
        <v/>
      </c>
      <c r="F67" s="718" t="str">
        <f>TABLERO!BX67</f>
        <v/>
      </c>
      <c r="G67" s="680" t="str">
        <f>IF(TABLERO!BU67=0,"",TABLERO!BU67)</f>
        <v/>
      </c>
      <c r="H67" s="719" t="str">
        <f>IF(TABLERO!DO67=0,"",TABLERO!DO67)</f>
        <v/>
      </c>
      <c r="I67" s="719" t="str">
        <f>IF(TABLERO!DP67=0,"",TABLERO!DP67)</f>
        <v/>
      </c>
      <c r="J67" s="680" t="str">
        <f>IF(TABLERO!DQ67=0,"",TABLERO!DQ67)</f>
        <v/>
      </c>
      <c r="K67" s="680" t="str">
        <f>IF(TABLERO!DR67=0,"",TABLERO!DR67)</f>
        <v/>
      </c>
      <c r="L67" s="680" t="str">
        <f>IF(TABLERO!DS67=0,"",TABLERO!DS67)</f>
        <v/>
      </c>
      <c r="M67" s="680" t="str">
        <f>IF(TABLERO!BZ67=0,"",TABLERO!BZ67)</f>
        <v/>
      </c>
      <c r="N67" s="679" t="str">
        <f>IF(TABLERO!CA67=0,"",TABLERO!CA67)</f>
        <v/>
      </c>
      <c r="O67" s="680" t="str">
        <f>IF(TABLERO!DT67=0,"",TABLERO!DT67)</f>
        <v/>
      </c>
      <c r="P67" s="680" t="str">
        <f>IF(TABLERO!DU67=0,"",TABLERO!DU67)</f>
        <v/>
      </c>
      <c r="Q67" s="718" t="str">
        <f>IF(F67="","",TABLERO!O67)</f>
        <v/>
      </c>
      <c r="R67" s="720" t="str">
        <f>IF(TABLERO!CB67=0,"",TABLERO!CB67)</f>
        <v/>
      </c>
    </row>
    <row r="68" spans="1:18">
      <c r="A68" s="678" t="str">
        <f>TABLERO!B68&amp;IF(TABLERO!C68="","",","&amp;TABLERO!C68)&amp;IF(TABLERO!D68="","",","&amp;TABLERO!D68)</f>
        <v>38</v>
      </c>
      <c r="B68" s="718" t="str">
        <f>IF(F68="","",TABLERO!M68)</f>
        <v/>
      </c>
      <c r="C68" s="679" t="str">
        <f>IF(F68="","",TABLERO!I68)</f>
        <v/>
      </c>
      <c r="D68" s="680" t="str">
        <f>IF(F68="","",TABLERO!K68)</f>
        <v/>
      </c>
      <c r="E68" s="718" t="str">
        <f>IF(F68="","",TABLERO!N68)</f>
        <v/>
      </c>
      <c r="F68" s="718" t="str">
        <f>TABLERO!BX68</f>
        <v/>
      </c>
      <c r="G68" s="680" t="str">
        <f>IF(TABLERO!BU68=0,"",TABLERO!BU68)</f>
        <v/>
      </c>
      <c r="H68" s="719" t="str">
        <f>IF(TABLERO!DO68=0,"",TABLERO!DO68)</f>
        <v/>
      </c>
      <c r="I68" s="719" t="str">
        <f>IF(TABLERO!DP68=0,"",TABLERO!DP68)</f>
        <v/>
      </c>
      <c r="J68" s="680" t="str">
        <f>IF(TABLERO!DQ68=0,"",TABLERO!DQ68)</f>
        <v/>
      </c>
      <c r="K68" s="680" t="str">
        <f>IF(TABLERO!DR68=0,"",TABLERO!DR68)</f>
        <v/>
      </c>
      <c r="L68" s="680" t="str">
        <f>IF(TABLERO!DS68=0,"",TABLERO!DS68)</f>
        <v/>
      </c>
      <c r="M68" s="680" t="str">
        <f>IF(TABLERO!BZ68=0,"",TABLERO!BZ68)</f>
        <v/>
      </c>
      <c r="N68" s="679" t="str">
        <f>IF(TABLERO!CA68=0,"",TABLERO!CA68)</f>
        <v/>
      </c>
      <c r="O68" s="680" t="str">
        <f>IF(TABLERO!DT68=0,"",TABLERO!DT68)</f>
        <v/>
      </c>
      <c r="P68" s="680" t="str">
        <f>IF(TABLERO!DU68=0,"",TABLERO!DU68)</f>
        <v/>
      </c>
      <c r="Q68" s="718" t="str">
        <f>IF(F68="","",TABLERO!O68)</f>
        <v/>
      </c>
      <c r="R68" s="720" t="str">
        <f>IF(TABLERO!CB68=0,"",TABLERO!CB68)</f>
        <v/>
      </c>
    </row>
    <row r="69" spans="1:18">
      <c r="A69" s="678" t="str">
        <f>TABLERO!B69&amp;IF(TABLERO!C69="","",","&amp;TABLERO!C69)&amp;IF(TABLERO!D69="","",","&amp;TABLERO!D69)</f>
        <v>39</v>
      </c>
      <c r="B69" s="718" t="str">
        <f>IF(F69="","",TABLERO!M69)</f>
        <v/>
      </c>
      <c r="C69" s="679" t="str">
        <f>IF(F69="","",TABLERO!I69)</f>
        <v/>
      </c>
      <c r="D69" s="680" t="str">
        <f>IF(F69="","",TABLERO!K69)</f>
        <v/>
      </c>
      <c r="E69" s="718" t="str">
        <f>IF(F69="","",TABLERO!N69)</f>
        <v/>
      </c>
      <c r="F69" s="718" t="str">
        <f>TABLERO!BX69</f>
        <v/>
      </c>
      <c r="G69" s="680" t="str">
        <f>IF(TABLERO!BU69=0,"",TABLERO!BU69)</f>
        <v/>
      </c>
      <c r="H69" s="719" t="str">
        <f>IF(TABLERO!DO69=0,"",TABLERO!DO69)</f>
        <v/>
      </c>
      <c r="I69" s="719" t="str">
        <f>IF(TABLERO!DP69=0,"",TABLERO!DP69)</f>
        <v/>
      </c>
      <c r="J69" s="680" t="str">
        <f>IF(TABLERO!DQ69=0,"",TABLERO!DQ69)</f>
        <v/>
      </c>
      <c r="K69" s="680" t="str">
        <f>IF(TABLERO!DR69=0,"",TABLERO!DR69)</f>
        <v/>
      </c>
      <c r="L69" s="680" t="str">
        <f>IF(TABLERO!DS69=0,"",TABLERO!DS69)</f>
        <v/>
      </c>
      <c r="M69" s="680" t="str">
        <f>IF(TABLERO!BZ69=0,"",TABLERO!BZ69)</f>
        <v/>
      </c>
      <c r="N69" s="679" t="str">
        <f>IF(TABLERO!CA69=0,"",TABLERO!CA69)</f>
        <v/>
      </c>
      <c r="O69" s="680" t="str">
        <f>IF(TABLERO!DT69=0,"",TABLERO!DT69)</f>
        <v/>
      </c>
      <c r="P69" s="680" t="str">
        <f>IF(TABLERO!DU69=0,"",TABLERO!DU69)</f>
        <v/>
      </c>
      <c r="Q69" s="718" t="str">
        <f>IF(F69="","",TABLERO!O69)</f>
        <v/>
      </c>
      <c r="R69" s="720" t="str">
        <f>IF(TABLERO!CB69=0,"",TABLERO!CB69)</f>
        <v/>
      </c>
    </row>
    <row r="70" spans="1:18">
      <c r="A70" s="678" t="str">
        <f>TABLERO!B70&amp;IF(TABLERO!C70="","",","&amp;TABLERO!C70)&amp;IF(TABLERO!D70="","",","&amp;TABLERO!D70)</f>
        <v>40</v>
      </c>
      <c r="B70" s="718" t="str">
        <f>IF(F70="","",TABLERO!M70)</f>
        <v/>
      </c>
      <c r="C70" s="679" t="str">
        <f>IF(F70="","",TABLERO!I70)</f>
        <v/>
      </c>
      <c r="D70" s="680" t="str">
        <f>IF(F70="","",TABLERO!K70)</f>
        <v/>
      </c>
      <c r="E70" s="718" t="str">
        <f>IF(F70="","",TABLERO!N70)</f>
        <v/>
      </c>
      <c r="F70" s="718" t="str">
        <f>TABLERO!BX70</f>
        <v/>
      </c>
      <c r="G70" s="680" t="str">
        <f>IF(TABLERO!BU70=0,"",TABLERO!BU70)</f>
        <v/>
      </c>
      <c r="H70" s="719" t="str">
        <f>IF(TABLERO!DO70=0,"",TABLERO!DO70)</f>
        <v/>
      </c>
      <c r="I70" s="719" t="str">
        <f>IF(TABLERO!DP70=0,"",TABLERO!DP70)</f>
        <v/>
      </c>
      <c r="J70" s="680" t="str">
        <f>IF(TABLERO!DQ70=0,"",TABLERO!DQ70)</f>
        <v/>
      </c>
      <c r="K70" s="680" t="str">
        <f>IF(TABLERO!DR70=0,"",TABLERO!DR70)</f>
        <v/>
      </c>
      <c r="L70" s="680" t="str">
        <f>IF(TABLERO!DS70=0,"",TABLERO!DS70)</f>
        <v/>
      </c>
      <c r="M70" s="680" t="str">
        <f>IF(TABLERO!BZ70=0,"",TABLERO!BZ70)</f>
        <v/>
      </c>
      <c r="N70" s="679" t="str">
        <f>IF(TABLERO!CA70=0,"",TABLERO!CA70)</f>
        <v/>
      </c>
      <c r="O70" s="680" t="str">
        <f>IF(TABLERO!DT70=0,"",TABLERO!DT70)</f>
        <v/>
      </c>
      <c r="P70" s="680" t="str">
        <f>IF(TABLERO!DU70=0,"",TABLERO!DU70)</f>
        <v/>
      </c>
      <c r="Q70" s="718" t="str">
        <f>IF(F70="","",TABLERO!O70)</f>
        <v/>
      </c>
      <c r="R70" s="720" t="str">
        <f>IF(TABLERO!CB70=0,"",TABLERO!CB70)</f>
        <v/>
      </c>
    </row>
    <row r="71" spans="1:18">
      <c r="A71" s="678" t="str">
        <f>TABLERO!B71&amp;IF(TABLERO!C71="","",","&amp;TABLERO!C71)&amp;IF(TABLERO!D71="","",","&amp;TABLERO!D71)</f>
        <v>41</v>
      </c>
      <c r="B71" s="718" t="str">
        <f>IF(F71="","",TABLERO!M71)</f>
        <v/>
      </c>
      <c r="C71" s="679" t="str">
        <f>IF(F71="","",TABLERO!I71)</f>
        <v/>
      </c>
      <c r="D71" s="680" t="str">
        <f>IF(F71="","",TABLERO!K71)</f>
        <v/>
      </c>
      <c r="E71" s="718" t="str">
        <f>IF(F71="","",TABLERO!N71)</f>
        <v/>
      </c>
      <c r="F71" s="718" t="str">
        <f>TABLERO!BX71</f>
        <v/>
      </c>
      <c r="G71" s="680" t="str">
        <f>IF(TABLERO!BU71=0,"",TABLERO!BU71)</f>
        <v/>
      </c>
      <c r="H71" s="719" t="str">
        <f>IF(TABLERO!DO71=0,"",TABLERO!DO71)</f>
        <v/>
      </c>
      <c r="I71" s="719" t="str">
        <f>IF(TABLERO!DP71=0,"",TABLERO!DP71)</f>
        <v/>
      </c>
      <c r="J71" s="680" t="str">
        <f>IF(TABLERO!DQ71=0,"",TABLERO!DQ71)</f>
        <v/>
      </c>
      <c r="K71" s="680" t="str">
        <f>IF(TABLERO!DR71=0,"",TABLERO!DR71)</f>
        <v/>
      </c>
      <c r="L71" s="680" t="str">
        <f>IF(TABLERO!DS71=0,"",TABLERO!DS71)</f>
        <v/>
      </c>
      <c r="M71" s="680" t="str">
        <f>IF(TABLERO!BZ71=0,"",TABLERO!BZ71)</f>
        <v/>
      </c>
      <c r="N71" s="679" t="str">
        <f>IF(TABLERO!CA71=0,"",TABLERO!CA71)</f>
        <v/>
      </c>
      <c r="O71" s="680" t="str">
        <f>IF(TABLERO!DT71=0,"",TABLERO!DT71)</f>
        <v/>
      </c>
      <c r="P71" s="680" t="str">
        <f>IF(TABLERO!DU71=0,"",TABLERO!DU71)</f>
        <v/>
      </c>
      <c r="Q71" s="718" t="str">
        <f>IF(F71="","",TABLERO!O71)</f>
        <v/>
      </c>
      <c r="R71" s="720" t="str">
        <f>IF(TABLERO!CB71=0,"",TABLERO!CB71)</f>
        <v/>
      </c>
    </row>
    <row r="72" spans="1:18">
      <c r="A72" s="678" t="str">
        <f>TABLERO!B72&amp;IF(TABLERO!C72="","",","&amp;TABLERO!C72)&amp;IF(TABLERO!D72="","",","&amp;TABLERO!D72)</f>
        <v>42</v>
      </c>
      <c r="B72" s="718" t="str">
        <f>IF(F72="","",TABLERO!M72)</f>
        <v/>
      </c>
      <c r="C72" s="679" t="str">
        <f>IF(F72="","",TABLERO!I72)</f>
        <v/>
      </c>
      <c r="D72" s="680" t="str">
        <f>IF(F72="","",TABLERO!K72)</f>
        <v/>
      </c>
      <c r="E72" s="718" t="str">
        <f>IF(F72="","",TABLERO!N72)</f>
        <v/>
      </c>
      <c r="F72" s="718" t="str">
        <f>TABLERO!BX72</f>
        <v/>
      </c>
      <c r="G72" s="680" t="str">
        <f>IF(TABLERO!BU72=0,"",TABLERO!BU72)</f>
        <v/>
      </c>
      <c r="H72" s="719" t="str">
        <f>IF(TABLERO!DO72=0,"",TABLERO!DO72)</f>
        <v/>
      </c>
      <c r="I72" s="719" t="str">
        <f>IF(TABLERO!DP72=0,"",TABLERO!DP72)</f>
        <v/>
      </c>
      <c r="J72" s="680" t="str">
        <f>IF(TABLERO!DQ72=0,"",TABLERO!DQ72)</f>
        <v/>
      </c>
      <c r="K72" s="680" t="str">
        <f>IF(TABLERO!DR72=0,"",TABLERO!DR72)</f>
        <v/>
      </c>
      <c r="L72" s="680" t="str">
        <f>IF(TABLERO!DS72=0,"",TABLERO!DS72)</f>
        <v/>
      </c>
      <c r="M72" s="680" t="str">
        <f>IF(TABLERO!BZ72=0,"",TABLERO!BZ72)</f>
        <v/>
      </c>
      <c r="N72" s="679" t="str">
        <f>IF(TABLERO!CA72=0,"",TABLERO!CA72)</f>
        <v/>
      </c>
      <c r="O72" s="680" t="str">
        <f>IF(TABLERO!DT72=0,"",TABLERO!DT72)</f>
        <v/>
      </c>
      <c r="P72" s="680" t="str">
        <f>IF(TABLERO!DU72=0,"",TABLERO!DU72)</f>
        <v/>
      </c>
      <c r="Q72" s="718" t="str">
        <f>IF(F72="","",TABLERO!O72)</f>
        <v/>
      </c>
      <c r="R72" s="720" t="str">
        <f>IF(TABLERO!CB72=0,"",TABLERO!CB72)</f>
        <v/>
      </c>
    </row>
    <row r="73" spans="1:18">
      <c r="A73" s="678" t="str">
        <f>TABLERO!B73&amp;IF(TABLERO!C73="","",","&amp;TABLERO!C73)&amp;IF(TABLERO!D73="","",","&amp;TABLERO!D73)</f>
        <v>43</v>
      </c>
      <c r="B73" s="718" t="str">
        <f>IF(F73="","",TABLERO!M73)</f>
        <v/>
      </c>
      <c r="C73" s="679" t="str">
        <f>IF(F73="","",TABLERO!I73)</f>
        <v/>
      </c>
      <c r="D73" s="680" t="str">
        <f>IF(F73="","",TABLERO!K73)</f>
        <v/>
      </c>
      <c r="E73" s="718" t="str">
        <f>IF(F73="","",TABLERO!N73)</f>
        <v/>
      </c>
      <c r="F73" s="718" t="str">
        <f>TABLERO!BX73</f>
        <v/>
      </c>
      <c r="G73" s="680" t="str">
        <f>IF(TABLERO!BU73=0,"",TABLERO!BU73)</f>
        <v/>
      </c>
      <c r="H73" s="719" t="str">
        <f>IF(TABLERO!DO73=0,"",TABLERO!DO73)</f>
        <v/>
      </c>
      <c r="I73" s="719" t="str">
        <f>IF(TABLERO!DP73=0,"",TABLERO!DP73)</f>
        <v/>
      </c>
      <c r="J73" s="680" t="str">
        <f>IF(TABLERO!DQ73=0,"",TABLERO!DQ73)</f>
        <v/>
      </c>
      <c r="K73" s="680" t="str">
        <f>IF(TABLERO!DR73=0,"",TABLERO!DR73)</f>
        <v/>
      </c>
      <c r="L73" s="680" t="str">
        <f>IF(TABLERO!DS73=0,"",TABLERO!DS73)</f>
        <v/>
      </c>
      <c r="M73" s="680" t="str">
        <f>IF(TABLERO!BZ73=0,"",TABLERO!BZ73)</f>
        <v/>
      </c>
      <c r="N73" s="679" t="str">
        <f>IF(TABLERO!CA73=0,"",TABLERO!CA73)</f>
        <v/>
      </c>
      <c r="O73" s="680" t="str">
        <f>IF(TABLERO!DT73=0,"",TABLERO!DT73)</f>
        <v/>
      </c>
      <c r="P73" s="680" t="str">
        <f>IF(TABLERO!DU73=0,"",TABLERO!DU73)</f>
        <v/>
      </c>
      <c r="Q73" s="718" t="str">
        <f>IF(F73="","",TABLERO!O73)</f>
        <v/>
      </c>
      <c r="R73" s="720" t="str">
        <f>IF(TABLERO!CB73=0,"",TABLERO!CB73)</f>
        <v/>
      </c>
    </row>
    <row r="74" spans="1:18">
      <c r="A74" s="678" t="str">
        <f>TABLERO!B74&amp;IF(TABLERO!C74="","",","&amp;TABLERO!C74)&amp;IF(TABLERO!D74="","",","&amp;TABLERO!D74)</f>
        <v>44</v>
      </c>
      <c r="B74" s="718" t="str">
        <f>IF(F74="","",TABLERO!M74)</f>
        <v/>
      </c>
      <c r="C74" s="679" t="str">
        <f>IF(F74="","",TABLERO!I74)</f>
        <v/>
      </c>
      <c r="D74" s="680" t="str">
        <f>IF(F74="","",TABLERO!K74)</f>
        <v/>
      </c>
      <c r="E74" s="718" t="str">
        <f>IF(F74="","",TABLERO!N74)</f>
        <v/>
      </c>
      <c r="F74" s="718" t="str">
        <f>TABLERO!BX74</f>
        <v/>
      </c>
      <c r="G74" s="680" t="str">
        <f>IF(TABLERO!BU74=0,"",TABLERO!BU74)</f>
        <v/>
      </c>
      <c r="H74" s="719" t="str">
        <f>IF(TABLERO!DO74=0,"",TABLERO!DO74)</f>
        <v/>
      </c>
      <c r="I74" s="719" t="str">
        <f>IF(TABLERO!DP74=0,"",TABLERO!DP74)</f>
        <v/>
      </c>
      <c r="J74" s="680" t="str">
        <f>IF(TABLERO!DQ74=0,"",TABLERO!DQ74)</f>
        <v/>
      </c>
      <c r="K74" s="680" t="str">
        <f>IF(TABLERO!DR74=0,"",TABLERO!DR74)</f>
        <v/>
      </c>
      <c r="L74" s="680" t="str">
        <f>IF(TABLERO!DS74=0,"",TABLERO!DS74)</f>
        <v/>
      </c>
      <c r="M74" s="680" t="str">
        <f>IF(TABLERO!BZ74=0,"",TABLERO!BZ74)</f>
        <v/>
      </c>
      <c r="N74" s="679" t="str">
        <f>IF(TABLERO!CA74=0,"",TABLERO!CA74)</f>
        <v/>
      </c>
      <c r="O74" s="680" t="str">
        <f>IF(TABLERO!DT74=0,"",TABLERO!DT74)</f>
        <v/>
      </c>
      <c r="P74" s="680" t="str">
        <f>IF(TABLERO!DU74=0,"",TABLERO!DU74)</f>
        <v/>
      </c>
      <c r="Q74" s="718" t="str">
        <f>IF(F74="","",TABLERO!O74)</f>
        <v/>
      </c>
      <c r="R74" s="720" t="str">
        <f>IF(TABLERO!CB74=0,"",TABLERO!CB74)</f>
        <v/>
      </c>
    </row>
    <row r="75" spans="1:18">
      <c r="A75" s="678" t="str">
        <f>TABLERO!B75&amp;IF(TABLERO!C75="","",","&amp;TABLERO!C75)&amp;IF(TABLERO!D75="","",","&amp;TABLERO!D75)</f>
        <v>45</v>
      </c>
      <c r="B75" s="718" t="str">
        <f>IF(F75="","",TABLERO!M75)</f>
        <v/>
      </c>
      <c r="C75" s="679" t="str">
        <f>IF(F75="","",TABLERO!I75)</f>
        <v/>
      </c>
      <c r="D75" s="680" t="str">
        <f>IF(F75="","",TABLERO!K75)</f>
        <v/>
      </c>
      <c r="E75" s="718" t="str">
        <f>IF(F75="","",TABLERO!N75)</f>
        <v/>
      </c>
      <c r="F75" s="718" t="str">
        <f>TABLERO!BX75</f>
        <v/>
      </c>
      <c r="G75" s="680" t="str">
        <f>IF(TABLERO!BU75=0,"",TABLERO!BU75)</f>
        <v/>
      </c>
      <c r="H75" s="719" t="str">
        <f>IF(TABLERO!DO75=0,"",TABLERO!DO75)</f>
        <v/>
      </c>
      <c r="I75" s="719" t="str">
        <f>IF(TABLERO!DP75=0,"",TABLERO!DP75)</f>
        <v/>
      </c>
      <c r="J75" s="680" t="str">
        <f>IF(TABLERO!DQ75=0,"",TABLERO!DQ75)</f>
        <v/>
      </c>
      <c r="K75" s="680" t="str">
        <f>IF(TABLERO!DR75=0,"",TABLERO!DR75)</f>
        <v/>
      </c>
      <c r="L75" s="680" t="str">
        <f>IF(TABLERO!DS75=0,"",TABLERO!DS75)</f>
        <v/>
      </c>
      <c r="M75" s="680" t="str">
        <f>IF(TABLERO!BZ75=0,"",TABLERO!BZ75)</f>
        <v/>
      </c>
      <c r="N75" s="679" t="str">
        <f>IF(TABLERO!CA75=0,"",TABLERO!CA75)</f>
        <v/>
      </c>
      <c r="O75" s="680" t="str">
        <f>IF(TABLERO!DT75=0,"",TABLERO!DT75)</f>
        <v/>
      </c>
      <c r="P75" s="680" t="str">
        <f>IF(TABLERO!DU75=0,"",TABLERO!DU75)</f>
        <v/>
      </c>
      <c r="Q75" s="718" t="str">
        <f>IF(F75="","",TABLERO!O75)</f>
        <v/>
      </c>
      <c r="R75" s="720" t="str">
        <f>IF(TABLERO!CB75=0,"",TABLERO!CB75)</f>
        <v/>
      </c>
    </row>
    <row r="76" spans="1:18">
      <c r="A76" s="678" t="str">
        <f>TABLERO!B76&amp;IF(TABLERO!C76="","",","&amp;TABLERO!C76)&amp;IF(TABLERO!D76="","",","&amp;TABLERO!D76)</f>
        <v>46</v>
      </c>
      <c r="B76" s="718" t="str">
        <f>IF(F76="","",TABLERO!M76)</f>
        <v/>
      </c>
      <c r="C76" s="679" t="str">
        <f>IF(F76="","",TABLERO!I76)</f>
        <v/>
      </c>
      <c r="D76" s="680" t="str">
        <f>IF(F76="","",TABLERO!K76)</f>
        <v/>
      </c>
      <c r="E76" s="718" t="str">
        <f>IF(F76="","",TABLERO!N76)</f>
        <v/>
      </c>
      <c r="F76" s="718" t="str">
        <f>TABLERO!BX76</f>
        <v/>
      </c>
      <c r="G76" s="680" t="str">
        <f>IF(TABLERO!BU76=0,"",TABLERO!BU76)</f>
        <v/>
      </c>
      <c r="H76" s="719" t="str">
        <f>IF(TABLERO!DO76=0,"",TABLERO!DO76)</f>
        <v/>
      </c>
      <c r="I76" s="719" t="str">
        <f>IF(TABLERO!DP76=0,"",TABLERO!DP76)</f>
        <v/>
      </c>
      <c r="J76" s="680" t="str">
        <f>IF(TABLERO!DQ76=0,"",TABLERO!DQ76)</f>
        <v/>
      </c>
      <c r="K76" s="680" t="str">
        <f>IF(TABLERO!DR76=0,"",TABLERO!DR76)</f>
        <v/>
      </c>
      <c r="L76" s="680" t="str">
        <f>IF(TABLERO!DS76=0,"",TABLERO!DS76)</f>
        <v/>
      </c>
      <c r="M76" s="680" t="str">
        <f>IF(TABLERO!BZ76=0,"",TABLERO!BZ76)</f>
        <v/>
      </c>
      <c r="N76" s="679" t="str">
        <f>IF(TABLERO!CA76=0,"",TABLERO!CA76)</f>
        <v/>
      </c>
      <c r="O76" s="680" t="str">
        <f>IF(TABLERO!DT76=0,"",TABLERO!DT76)</f>
        <v/>
      </c>
      <c r="P76" s="680" t="str">
        <f>IF(TABLERO!DU76=0,"",TABLERO!DU76)</f>
        <v/>
      </c>
      <c r="Q76" s="718" t="str">
        <f>IF(F76="","",TABLERO!O76)</f>
        <v/>
      </c>
      <c r="R76" s="720" t="str">
        <f>IF(TABLERO!CB76=0,"",TABLERO!CB76)</f>
        <v/>
      </c>
    </row>
    <row r="77" spans="1:18">
      <c r="A77" s="678" t="str">
        <f>TABLERO!B77&amp;IF(TABLERO!C77="","",","&amp;TABLERO!C77)&amp;IF(TABLERO!D77="","",","&amp;TABLERO!D77)</f>
        <v>47</v>
      </c>
      <c r="B77" s="718" t="str">
        <f>IF(F77="","",TABLERO!M77)</f>
        <v/>
      </c>
      <c r="C77" s="679" t="str">
        <f>IF(F77="","",TABLERO!I77)</f>
        <v/>
      </c>
      <c r="D77" s="680" t="str">
        <f>IF(F77="","",TABLERO!K77)</f>
        <v/>
      </c>
      <c r="E77" s="718" t="str">
        <f>IF(F77="","",TABLERO!N77)</f>
        <v/>
      </c>
      <c r="F77" s="718" t="str">
        <f>TABLERO!BX77</f>
        <v/>
      </c>
      <c r="G77" s="680" t="str">
        <f>IF(TABLERO!BU77=0,"",TABLERO!BU77)</f>
        <v/>
      </c>
      <c r="H77" s="719" t="str">
        <f>IF(TABLERO!DO77=0,"",TABLERO!DO77)</f>
        <v/>
      </c>
      <c r="I77" s="719" t="str">
        <f>IF(TABLERO!DP77=0,"",TABLERO!DP77)</f>
        <v/>
      </c>
      <c r="J77" s="680" t="str">
        <f>IF(TABLERO!DQ77=0,"",TABLERO!DQ77)</f>
        <v/>
      </c>
      <c r="K77" s="680" t="str">
        <f>IF(TABLERO!DR77=0,"",TABLERO!DR77)</f>
        <v/>
      </c>
      <c r="L77" s="680" t="str">
        <f>IF(TABLERO!DS77=0,"",TABLERO!DS77)</f>
        <v/>
      </c>
      <c r="M77" s="680" t="str">
        <f>IF(TABLERO!BZ77=0,"",TABLERO!BZ77)</f>
        <v/>
      </c>
      <c r="N77" s="679" t="str">
        <f>IF(TABLERO!CA77=0,"",TABLERO!CA77)</f>
        <v/>
      </c>
      <c r="O77" s="680" t="str">
        <f>IF(TABLERO!DT77=0,"",TABLERO!DT77)</f>
        <v/>
      </c>
      <c r="P77" s="680" t="str">
        <f>IF(TABLERO!DU77=0,"",TABLERO!DU77)</f>
        <v/>
      </c>
      <c r="Q77" s="718" t="str">
        <f>IF(F77="","",TABLERO!O77)</f>
        <v/>
      </c>
      <c r="R77" s="720" t="str">
        <f>IF(TABLERO!CB77=0,"",TABLERO!CB77)</f>
        <v/>
      </c>
    </row>
    <row r="78" spans="1:18">
      <c r="A78" s="678" t="str">
        <f>TABLERO!B78&amp;IF(TABLERO!C78="","",","&amp;TABLERO!C78)&amp;IF(TABLERO!D78="","",","&amp;TABLERO!D78)</f>
        <v>48</v>
      </c>
      <c r="B78" s="718" t="str">
        <f>IF(F78="","",TABLERO!M78)</f>
        <v/>
      </c>
      <c r="C78" s="679" t="str">
        <f>IF(F78="","",TABLERO!I78)</f>
        <v/>
      </c>
      <c r="D78" s="680" t="str">
        <f>IF(F78="","",TABLERO!K78)</f>
        <v/>
      </c>
      <c r="E78" s="718" t="str">
        <f>IF(F78="","",TABLERO!N78)</f>
        <v/>
      </c>
      <c r="F78" s="718" t="str">
        <f>TABLERO!BX78</f>
        <v/>
      </c>
      <c r="G78" s="680" t="str">
        <f>IF(TABLERO!BU78=0,"",TABLERO!BU78)</f>
        <v/>
      </c>
      <c r="H78" s="719" t="str">
        <f>IF(TABLERO!DO78=0,"",TABLERO!DO78)</f>
        <v/>
      </c>
      <c r="I78" s="719" t="str">
        <f>IF(TABLERO!DP78=0,"",TABLERO!DP78)</f>
        <v/>
      </c>
      <c r="J78" s="680" t="str">
        <f>IF(TABLERO!DQ78=0,"",TABLERO!DQ78)</f>
        <v/>
      </c>
      <c r="K78" s="680" t="str">
        <f>IF(TABLERO!DR78=0,"",TABLERO!DR78)</f>
        <v/>
      </c>
      <c r="L78" s="680" t="str">
        <f>IF(TABLERO!DS78=0,"",TABLERO!DS78)</f>
        <v/>
      </c>
      <c r="M78" s="680" t="str">
        <f>IF(TABLERO!BZ78=0,"",TABLERO!BZ78)</f>
        <v/>
      </c>
      <c r="N78" s="679" t="str">
        <f>IF(TABLERO!CA78=0,"",TABLERO!CA78)</f>
        <v/>
      </c>
      <c r="O78" s="680" t="str">
        <f>IF(TABLERO!DT78=0,"",TABLERO!DT78)</f>
        <v/>
      </c>
      <c r="P78" s="680" t="str">
        <f>IF(TABLERO!DU78=0,"",TABLERO!DU78)</f>
        <v/>
      </c>
      <c r="Q78" s="718" t="str">
        <f>IF(F78="","",TABLERO!O78)</f>
        <v/>
      </c>
      <c r="R78" s="720" t="str">
        <f>IF(TABLERO!CB78=0,"",TABLERO!CB78)</f>
        <v/>
      </c>
    </row>
    <row r="79" spans="1:18">
      <c r="A79" s="678" t="str">
        <f>TABLERO!B79&amp;IF(TABLERO!C79="","",","&amp;TABLERO!C79)&amp;IF(TABLERO!D79="","",","&amp;TABLERO!D79)</f>
        <v>49</v>
      </c>
      <c r="B79" s="718" t="str">
        <f>IF(F79="","",TABLERO!M79)</f>
        <v/>
      </c>
      <c r="C79" s="679" t="str">
        <f>IF(F79="","",TABLERO!I79)</f>
        <v/>
      </c>
      <c r="D79" s="680" t="str">
        <f>IF(F79="","",TABLERO!K79)</f>
        <v/>
      </c>
      <c r="E79" s="718" t="str">
        <f>IF(F79="","",TABLERO!N79)</f>
        <v/>
      </c>
      <c r="F79" s="718" t="str">
        <f>TABLERO!BX79</f>
        <v/>
      </c>
      <c r="G79" s="680" t="str">
        <f>IF(TABLERO!BU79=0,"",TABLERO!BU79)</f>
        <v/>
      </c>
      <c r="H79" s="719" t="str">
        <f>IF(TABLERO!DO79=0,"",TABLERO!DO79)</f>
        <v/>
      </c>
      <c r="I79" s="719" t="str">
        <f>IF(TABLERO!DP79=0,"",TABLERO!DP79)</f>
        <v/>
      </c>
      <c r="J79" s="680" t="str">
        <f>IF(TABLERO!DQ79=0,"",TABLERO!DQ79)</f>
        <v/>
      </c>
      <c r="K79" s="680" t="str">
        <f>IF(TABLERO!DR79=0,"",TABLERO!DR79)</f>
        <v/>
      </c>
      <c r="L79" s="680" t="str">
        <f>IF(TABLERO!DS79=0,"",TABLERO!DS79)</f>
        <v/>
      </c>
      <c r="M79" s="680" t="str">
        <f>IF(TABLERO!BZ79=0,"",TABLERO!BZ79)</f>
        <v/>
      </c>
      <c r="N79" s="679" t="str">
        <f>IF(TABLERO!CA79=0,"",TABLERO!CA79)</f>
        <v/>
      </c>
      <c r="O79" s="680" t="str">
        <f>IF(TABLERO!DT79=0,"",TABLERO!DT79)</f>
        <v/>
      </c>
      <c r="P79" s="680" t="str">
        <f>IF(TABLERO!DU79=0,"",TABLERO!DU79)</f>
        <v/>
      </c>
      <c r="Q79" s="718" t="str">
        <f>IF(F79="","",TABLERO!O79)</f>
        <v/>
      </c>
      <c r="R79" s="720" t="str">
        <f>IF(TABLERO!CB79=0,"",TABLERO!CB79)</f>
        <v/>
      </c>
    </row>
    <row r="80" spans="1:18">
      <c r="A80" s="678" t="str">
        <f>TABLERO!B80&amp;IF(TABLERO!C80="","",","&amp;TABLERO!C80)&amp;IF(TABLERO!D80="","",","&amp;TABLERO!D80)</f>
        <v>50</v>
      </c>
      <c r="B80" s="718" t="str">
        <f>IF(F80="","",TABLERO!M80)</f>
        <v/>
      </c>
      <c r="C80" s="679" t="str">
        <f>IF(F80="","",TABLERO!I80)</f>
        <v/>
      </c>
      <c r="D80" s="680" t="str">
        <f>IF(F80="","",TABLERO!K80)</f>
        <v/>
      </c>
      <c r="E80" s="718" t="str">
        <f>IF(F80="","",TABLERO!N80)</f>
        <v/>
      </c>
      <c r="F80" s="718" t="str">
        <f>TABLERO!BX80</f>
        <v/>
      </c>
      <c r="G80" s="680" t="str">
        <f>IF(TABLERO!BU80=0,"",TABLERO!BU80)</f>
        <v/>
      </c>
      <c r="H80" s="719" t="str">
        <f>IF(TABLERO!DO80=0,"",TABLERO!DO80)</f>
        <v/>
      </c>
      <c r="I80" s="719" t="str">
        <f>IF(TABLERO!DP80=0,"",TABLERO!DP80)</f>
        <v/>
      </c>
      <c r="J80" s="680" t="str">
        <f>IF(TABLERO!DQ80=0,"",TABLERO!DQ80)</f>
        <v/>
      </c>
      <c r="K80" s="680" t="str">
        <f>IF(TABLERO!DR80=0,"",TABLERO!DR80)</f>
        <v/>
      </c>
      <c r="L80" s="680" t="str">
        <f>IF(TABLERO!DS80=0,"",TABLERO!DS80)</f>
        <v/>
      </c>
      <c r="M80" s="680" t="str">
        <f>IF(TABLERO!BZ80=0,"",TABLERO!BZ80)</f>
        <v/>
      </c>
      <c r="N80" s="679" t="str">
        <f>IF(TABLERO!CA80=0,"",TABLERO!CA80)</f>
        <v/>
      </c>
      <c r="O80" s="680" t="str">
        <f>IF(TABLERO!DT80=0,"",TABLERO!DT80)</f>
        <v/>
      </c>
      <c r="P80" s="680" t="str">
        <f>IF(TABLERO!DU80=0,"",TABLERO!DU80)</f>
        <v/>
      </c>
      <c r="Q80" s="718" t="str">
        <f>IF(F80="","",TABLERO!O80)</f>
        <v/>
      </c>
      <c r="R80" s="720" t="str">
        <f>IF(TABLERO!CB80=0,"",TABLERO!CB80)</f>
        <v/>
      </c>
    </row>
    <row r="81" spans="1:18">
      <c r="A81" s="678" t="str">
        <f>TABLERO!B81&amp;IF(TABLERO!C81="","",","&amp;TABLERO!C81)&amp;IF(TABLERO!D81="","",","&amp;TABLERO!D81)</f>
        <v>51</v>
      </c>
      <c r="B81" s="718" t="str">
        <f>IF(F81="","",TABLERO!M81)</f>
        <v/>
      </c>
      <c r="C81" s="679" t="str">
        <f>IF(F81="","",TABLERO!I81)</f>
        <v/>
      </c>
      <c r="D81" s="680" t="str">
        <f>IF(F81="","",TABLERO!K81)</f>
        <v/>
      </c>
      <c r="E81" s="718" t="str">
        <f>IF(F81="","",TABLERO!N81)</f>
        <v/>
      </c>
      <c r="F81" s="718" t="str">
        <f>TABLERO!BX81</f>
        <v/>
      </c>
      <c r="G81" s="680" t="str">
        <f>IF(TABLERO!BU81=0,"",TABLERO!BU81)</f>
        <v/>
      </c>
      <c r="H81" s="719" t="str">
        <f>IF(TABLERO!DO81=0,"",TABLERO!DO81)</f>
        <v/>
      </c>
      <c r="I81" s="719" t="str">
        <f>IF(TABLERO!DP81=0,"",TABLERO!DP81)</f>
        <v/>
      </c>
      <c r="J81" s="680" t="str">
        <f>IF(TABLERO!DQ81=0,"",TABLERO!DQ81)</f>
        <v/>
      </c>
      <c r="K81" s="680" t="str">
        <f>IF(TABLERO!DR81=0,"",TABLERO!DR81)</f>
        <v/>
      </c>
      <c r="L81" s="680" t="str">
        <f>IF(TABLERO!DS81=0,"",TABLERO!DS81)</f>
        <v/>
      </c>
      <c r="M81" s="680" t="str">
        <f>IF(TABLERO!BZ81=0,"",TABLERO!BZ81)</f>
        <v/>
      </c>
      <c r="N81" s="679" t="str">
        <f>IF(TABLERO!CA81=0,"",TABLERO!CA81)</f>
        <v/>
      </c>
      <c r="O81" s="680" t="str">
        <f>IF(TABLERO!DT81=0,"",TABLERO!DT81)</f>
        <v/>
      </c>
      <c r="P81" s="680" t="str">
        <f>IF(TABLERO!DU81=0,"",TABLERO!DU81)</f>
        <v/>
      </c>
      <c r="Q81" s="718" t="str">
        <f>IF(F81="","",TABLERO!O81)</f>
        <v/>
      </c>
      <c r="R81" s="720" t="str">
        <f>IF(TABLERO!CB81=0,"",TABLERO!CB81)</f>
        <v/>
      </c>
    </row>
    <row r="82" spans="1:18">
      <c r="A82" s="678" t="str">
        <f>TABLERO!B82&amp;IF(TABLERO!C82="","",","&amp;TABLERO!C82)&amp;IF(TABLERO!D82="","",","&amp;TABLERO!D82)</f>
        <v>52</v>
      </c>
      <c r="B82" s="718" t="str">
        <f>IF(F82="","",TABLERO!M82)</f>
        <v/>
      </c>
      <c r="C82" s="679" t="str">
        <f>IF(F82="","",TABLERO!I82)</f>
        <v/>
      </c>
      <c r="D82" s="680" t="str">
        <f>IF(F82="","",TABLERO!K82)</f>
        <v/>
      </c>
      <c r="E82" s="718" t="str">
        <f>IF(F82="","",TABLERO!N82)</f>
        <v/>
      </c>
      <c r="F82" s="718" t="str">
        <f>TABLERO!BX82</f>
        <v/>
      </c>
      <c r="G82" s="680" t="str">
        <f>IF(TABLERO!BU82=0,"",TABLERO!BU82)</f>
        <v/>
      </c>
      <c r="H82" s="719" t="str">
        <f>IF(TABLERO!DO82=0,"",TABLERO!DO82)</f>
        <v/>
      </c>
      <c r="I82" s="719" t="str">
        <f>IF(TABLERO!DP82=0,"",TABLERO!DP82)</f>
        <v/>
      </c>
      <c r="J82" s="680" t="str">
        <f>IF(TABLERO!DQ82=0,"",TABLERO!DQ82)</f>
        <v/>
      </c>
      <c r="K82" s="680" t="str">
        <f>IF(TABLERO!DR82=0,"",TABLERO!DR82)</f>
        <v/>
      </c>
      <c r="L82" s="680" t="str">
        <f>IF(TABLERO!DS82=0,"",TABLERO!DS82)</f>
        <v/>
      </c>
      <c r="M82" s="680" t="str">
        <f>IF(TABLERO!BZ82=0,"",TABLERO!BZ82)</f>
        <v/>
      </c>
      <c r="N82" s="679" t="str">
        <f>IF(TABLERO!CA82=0,"",TABLERO!CA82)</f>
        <v/>
      </c>
      <c r="O82" s="680" t="str">
        <f>IF(TABLERO!DT82=0,"",TABLERO!DT82)</f>
        <v/>
      </c>
      <c r="P82" s="680" t="str">
        <f>IF(TABLERO!DU82=0,"",TABLERO!DU82)</f>
        <v/>
      </c>
      <c r="Q82" s="718" t="str">
        <f>IF(F82="","",TABLERO!O82)</f>
        <v/>
      </c>
      <c r="R82" s="720" t="str">
        <f>IF(TABLERO!CB82=0,"",TABLERO!CB82)</f>
        <v/>
      </c>
    </row>
    <row r="83" spans="1:18">
      <c r="A83" s="678" t="str">
        <f>TABLERO!B83&amp;IF(TABLERO!C83="","",","&amp;TABLERO!C83)&amp;IF(TABLERO!D83="","",","&amp;TABLERO!D83)</f>
        <v>53</v>
      </c>
      <c r="B83" s="718" t="str">
        <f>IF(F83="","",TABLERO!M83)</f>
        <v/>
      </c>
      <c r="C83" s="679" t="str">
        <f>IF(F83="","",TABLERO!I83)</f>
        <v/>
      </c>
      <c r="D83" s="680" t="str">
        <f>IF(F83="","",TABLERO!K83)</f>
        <v/>
      </c>
      <c r="E83" s="718" t="str">
        <f>IF(F83="","",TABLERO!N83)</f>
        <v/>
      </c>
      <c r="F83" s="718" t="str">
        <f>TABLERO!BX83</f>
        <v/>
      </c>
      <c r="G83" s="680" t="str">
        <f>IF(TABLERO!BU83=0,"",TABLERO!BU83)</f>
        <v/>
      </c>
      <c r="H83" s="719" t="str">
        <f>IF(TABLERO!DO83=0,"",TABLERO!DO83)</f>
        <v/>
      </c>
      <c r="I83" s="719" t="str">
        <f>IF(TABLERO!DP83=0,"",TABLERO!DP83)</f>
        <v/>
      </c>
      <c r="J83" s="680" t="str">
        <f>IF(TABLERO!DQ83=0,"",TABLERO!DQ83)</f>
        <v/>
      </c>
      <c r="K83" s="680" t="str">
        <f>IF(TABLERO!DR83=0,"",TABLERO!DR83)</f>
        <v/>
      </c>
      <c r="L83" s="680" t="str">
        <f>IF(TABLERO!DS83=0,"",TABLERO!DS83)</f>
        <v/>
      </c>
      <c r="M83" s="680" t="str">
        <f>IF(TABLERO!BZ83=0,"",TABLERO!BZ83)</f>
        <v/>
      </c>
      <c r="N83" s="679" t="str">
        <f>IF(TABLERO!CA83=0,"",TABLERO!CA83)</f>
        <v/>
      </c>
      <c r="O83" s="680" t="str">
        <f>IF(TABLERO!DT83=0,"",TABLERO!DT83)</f>
        <v/>
      </c>
      <c r="P83" s="680" t="str">
        <f>IF(TABLERO!DU83=0,"",TABLERO!DU83)</f>
        <v/>
      </c>
      <c r="Q83" s="718" t="str">
        <f>IF(F83="","",TABLERO!O83)</f>
        <v/>
      </c>
      <c r="R83" s="720" t="str">
        <f>IF(TABLERO!CB83=0,"",TABLERO!CB83)</f>
        <v/>
      </c>
    </row>
    <row r="84" spans="1:18">
      <c r="A84" s="678" t="str">
        <f>TABLERO!B84&amp;IF(TABLERO!C84="","",","&amp;TABLERO!C84)&amp;IF(TABLERO!D84="","",","&amp;TABLERO!D84)</f>
        <v>54</v>
      </c>
      <c r="B84" s="718" t="str">
        <f>IF(F84="","",TABLERO!M84)</f>
        <v/>
      </c>
      <c r="C84" s="679" t="str">
        <f>IF(F84="","",TABLERO!I84)</f>
        <v/>
      </c>
      <c r="D84" s="680" t="str">
        <f>IF(F84="","",TABLERO!K84)</f>
        <v/>
      </c>
      <c r="E84" s="718" t="str">
        <f>IF(F84="","",TABLERO!N84)</f>
        <v/>
      </c>
      <c r="F84" s="718" t="str">
        <f>TABLERO!BX84</f>
        <v/>
      </c>
      <c r="G84" s="680" t="str">
        <f>IF(TABLERO!BU84=0,"",TABLERO!BU84)</f>
        <v/>
      </c>
      <c r="H84" s="719" t="str">
        <f>IF(TABLERO!DO84=0,"",TABLERO!DO84)</f>
        <v/>
      </c>
      <c r="I84" s="719" t="str">
        <f>IF(TABLERO!DP84=0,"",TABLERO!DP84)</f>
        <v/>
      </c>
      <c r="J84" s="680" t="str">
        <f>IF(TABLERO!DQ84=0,"",TABLERO!DQ84)</f>
        <v/>
      </c>
      <c r="K84" s="680" t="str">
        <f>IF(TABLERO!DR84=0,"",TABLERO!DR84)</f>
        <v/>
      </c>
      <c r="L84" s="680" t="str">
        <f>IF(TABLERO!DS84=0,"",TABLERO!DS84)</f>
        <v/>
      </c>
      <c r="M84" s="680" t="str">
        <f>IF(TABLERO!BZ84=0,"",TABLERO!BZ84)</f>
        <v/>
      </c>
      <c r="N84" s="679" t="str">
        <f>IF(TABLERO!CA84=0,"",TABLERO!CA84)</f>
        <v/>
      </c>
      <c r="O84" s="680" t="str">
        <f>IF(TABLERO!DT84=0,"",TABLERO!DT84)</f>
        <v/>
      </c>
      <c r="P84" s="680" t="str">
        <f>IF(TABLERO!DU84=0,"",TABLERO!DU84)</f>
        <v/>
      </c>
      <c r="Q84" s="718" t="str">
        <f>IF(F84="","",TABLERO!O84)</f>
        <v/>
      </c>
      <c r="R84" s="720" t="str">
        <f>IF(TABLERO!CB84=0,"",TABLERO!CB84)</f>
        <v/>
      </c>
    </row>
    <row r="85" spans="1:18">
      <c r="A85" s="678" t="str">
        <f>TABLERO!B85&amp;IF(TABLERO!C85="","",","&amp;TABLERO!C85)&amp;IF(TABLERO!D85="","",","&amp;TABLERO!D85)</f>
        <v>55</v>
      </c>
      <c r="B85" s="718" t="str">
        <f>IF(F85="","",TABLERO!M85)</f>
        <v/>
      </c>
      <c r="C85" s="679" t="str">
        <f>IF(F85="","",TABLERO!I85)</f>
        <v/>
      </c>
      <c r="D85" s="680" t="str">
        <f>IF(F85="","",TABLERO!K85)</f>
        <v/>
      </c>
      <c r="E85" s="718" t="str">
        <f>IF(F85="","",TABLERO!N85)</f>
        <v/>
      </c>
      <c r="F85" s="718" t="str">
        <f>TABLERO!BX85</f>
        <v/>
      </c>
      <c r="G85" s="680" t="str">
        <f>IF(TABLERO!BU85=0,"",TABLERO!BU85)</f>
        <v/>
      </c>
      <c r="H85" s="719" t="str">
        <f>IF(TABLERO!DO85=0,"",TABLERO!DO85)</f>
        <v/>
      </c>
      <c r="I85" s="719" t="str">
        <f>IF(TABLERO!DP85=0,"",TABLERO!DP85)</f>
        <v/>
      </c>
      <c r="J85" s="680" t="str">
        <f>IF(TABLERO!DQ85=0,"",TABLERO!DQ85)</f>
        <v/>
      </c>
      <c r="K85" s="680" t="str">
        <f>IF(TABLERO!DR85=0,"",TABLERO!DR85)</f>
        <v/>
      </c>
      <c r="L85" s="680" t="str">
        <f>IF(TABLERO!DS85=0,"",TABLERO!DS85)</f>
        <v/>
      </c>
      <c r="M85" s="680" t="str">
        <f>IF(TABLERO!BZ85=0,"",TABLERO!BZ85)</f>
        <v/>
      </c>
      <c r="N85" s="679" t="str">
        <f>IF(TABLERO!CA85=0,"",TABLERO!CA85)</f>
        <v/>
      </c>
      <c r="O85" s="680" t="str">
        <f>IF(TABLERO!DT85=0,"",TABLERO!DT85)</f>
        <v/>
      </c>
      <c r="P85" s="680" t="str">
        <f>IF(TABLERO!DU85=0,"",TABLERO!DU85)</f>
        <v/>
      </c>
      <c r="Q85" s="718" t="str">
        <f>IF(F85="","",TABLERO!O85)</f>
        <v/>
      </c>
      <c r="R85" s="720" t="str">
        <f>IF(TABLERO!CB85=0,"",TABLERO!CB85)</f>
        <v/>
      </c>
    </row>
    <row r="86" spans="1:18">
      <c r="A86" s="678" t="str">
        <f>TABLERO!B86&amp;IF(TABLERO!C86="","",","&amp;TABLERO!C86)&amp;IF(TABLERO!D86="","",","&amp;TABLERO!D86)</f>
        <v>56</v>
      </c>
      <c r="B86" s="718" t="str">
        <f>IF(F86="","",TABLERO!M86)</f>
        <v/>
      </c>
      <c r="C86" s="679" t="str">
        <f>IF(F86="","",TABLERO!I86)</f>
        <v/>
      </c>
      <c r="D86" s="680" t="str">
        <f>IF(F86="","",TABLERO!K86)</f>
        <v/>
      </c>
      <c r="E86" s="718" t="str">
        <f>IF(F86="","",TABLERO!N86)</f>
        <v/>
      </c>
      <c r="F86" s="718" t="str">
        <f>TABLERO!BX86</f>
        <v/>
      </c>
      <c r="G86" s="680" t="str">
        <f>IF(TABLERO!BU86=0,"",TABLERO!BU86)</f>
        <v/>
      </c>
      <c r="H86" s="719" t="str">
        <f>IF(TABLERO!DO86=0,"",TABLERO!DO86)</f>
        <v/>
      </c>
      <c r="I86" s="719" t="str">
        <f>IF(TABLERO!DP86=0,"",TABLERO!DP86)</f>
        <v/>
      </c>
      <c r="J86" s="680" t="str">
        <f>IF(TABLERO!DQ86=0,"",TABLERO!DQ86)</f>
        <v/>
      </c>
      <c r="K86" s="680" t="str">
        <f>IF(TABLERO!DR86=0,"",TABLERO!DR86)</f>
        <v/>
      </c>
      <c r="L86" s="680" t="str">
        <f>IF(TABLERO!DS86=0,"",TABLERO!DS86)</f>
        <v/>
      </c>
      <c r="M86" s="680" t="str">
        <f>IF(TABLERO!BZ86=0,"",TABLERO!BZ86)</f>
        <v/>
      </c>
      <c r="N86" s="679" t="str">
        <f>IF(TABLERO!CA86=0,"",TABLERO!CA86)</f>
        <v/>
      </c>
      <c r="O86" s="680" t="str">
        <f>IF(TABLERO!DT86=0,"",TABLERO!DT86)</f>
        <v/>
      </c>
      <c r="P86" s="680" t="str">
        <f>IF(TABLERO!DU86=0,"",TABLERO!DU86)</f>
        <v/>
      </c>
      <c r="Q86" s="718" t="str">
        <f>IF(F86="","",TABLERO!O86)</f>
        <v/>
      </c>
      <c r="R86" s="720" t="str">
        <f>IF(TABLERO!CB86=0,"",TABLERO!CB86)</f>
        <v/>
      </c>
    </row>
    <row r="87" spans="1:18">
      <c r="A87" s="678" t="str">
        <f>TABLERO!B87&amp;IF(TABLERO!C87="","",","&amp;TABLERO!C87)&amp;IF(TABLERO!D87="","",","&amp;TABLERO!D87)</f>
        <v>57</v>
      </c>
      <c r="B87" s="718" t="str">
        <f>IF(F87="","",TABLERO!M87)</f>
        <v/>
      </c>
      <c r="C87" s="679" t="str">
        <f>IF(F87="","",TABLERO!I87)</f>
        <v/>
      </c>
      <c r="D87" s="680" t="str">
        <f>IF(F87="","",TABLERO!K87)</f>
        <v/>
      </c>
      <c r="E87" s="718" t="str">
        <f>IF(F87="","",TABLERO!N87)</f>
        <v/>
      </c>
      <c r="F87" s="718" t="str">
        <f>TABLERO!BX87</f>
        <v/>
      </c>
      <c r="G87" s="680" t="str">
        <f>IF(TABLERO!BU87=0,"",TABLERO!BU87)</f>
        <v/>
      </c>
      <c r="H87" s="719" t="str">
        <f>IF(TABLERO!DO87=0,"",TABLERO!DO87)</f>
        <v/>
      </c>
      <c r="I87" s="719" t="str">
        <f>IF(TABLERO!DP87=0,"",TABLERO!DP87)</f>
        <v/>
      </c>
      <c r="J87" s="680" t="str">
        <f>IF(TABLERO!DQ87=0,"",TABLERO!DQ87)</f>
        <v/>
      </c>
      <c r="K87" s="680" t="str">
        <f>IF(TABLERO!DR87=0,"",TABLERO!DR87)</f>
        <v/>
      </c>
      <c r="L87" s="680" t="str">
        <f>IF(TABLERO!DS87=0,"",TABLERO!DS87)</f>
        <v/>
      </c>
      <c r="M87" s="680" t="str">
        <f>IF(TABLERO!BZ87=0,"",TABLERO!BZ87)</f>
        <v/>
      </c>
      <c r="N87" s="679" t="str">
        <f>IF(TABLERO!CA87=0,"",TABLERO!CA87)</f>
        <v/>
      </c>
      <c r="O87" s="680" t="str">
        <f>IF(TABLERO!DT87=0,"",TABLERO!DT87)</f>
        <v/>
      </c>
      <c r="P87" s="680" t="str">
        <f>IF(TABLERO!DU87=0,"",TABLERO!DU87)</f>
        <v/>
      </c>
      <c r="Q87" s="718" t="str">
        <f>IF(F87="","",TABLERO!O87)</f>
        <v/>
      </c>
      <c r="R87" s="720" t="str">
        <f>IF(TABLERO!CB87=0,"",TABLERO!CB87)</f>
        <v/>
      </c>
    </row>
    <row r="88" spans="1:18">
      <c r="A88" s="678" t="str">
        <f>TABLERO!B88&amp;IF(TABLERO!C88="","",","&amp;TABLERO!C88)&amp;IF(TABLERO!D88="","",","&amp;TABLERO!D88)</f>
        <v>58</v>
      </c>
      <c r="B88" s="718" t="str">
        <f>IF(F88="","",TABLERO!M88)</f>
        <v/>
      </c>
      <c r="C88" s="679" t="str">
        <f>IF(F88="","",TABLERO!I88)</f>
        <v/>
      </c>
      <c r="D88" s="680" t="str">
        <f>IF(F88="","",TABLERO!K88)</f>
        <v/>
      </c>
      <c r="E88" s="718" t="str">
        <f>IF(F88="","",TABLERO!N88)</f>
        <v/>
      </c>
      <c r="F88" s="718" t="str">
        <f>TABLERO!BX88</f>
        <v/>
      </c>
      <c r="G88" s="680" t="str">
        <f>IF(TABLERO!BU88=0,"",TABLERO!BU88)</f>
        <v/>
      </c>
      <c r="H88" s="719" t="str">
        <f>IF(TABLERO!DO88=0,"",TABLERO!DO88)</f>
        <v/>
      </c>
      <c r="I88" s="719" t="str">
        <f>IF(TABLERO!DP88=0,"",TABLERO!DP88)</f>
        <v/>
      </c>
      <c r="J88" s="680" t="str">
        <f>IF(TABLERO!DQ88=0,"",TABLERO!DQ88)</f>
        <v/>
      </c>
      <c r="K88" s="680" t="str">
        <f>IF(TABLERO!DR88=0,"",TABLERO!DR88)</f>
        <v/>
      </c>
      <c r="L88" s="680" t="str">
        <f>IF(TABLERO!DS88=0,"",TABLERO!DS88)</f>
        <v/>
      </c>
      <c r="M88" s="680" t="str">
        <f>IF(TABLERO!BZ88=0,"",TABLERO!BZ88)</f>
        <v/>
      </c>
      <c r="N88" s="679" t="str">
        <f>IF(TABLERO!CA88=0,"",TABLERO!CA88)</f>
        <v/>
      </c>
      <c r="O88" s="680" t="str">
        <f>IF(TABLERO!DT88=0,"",TABLERO!DT88)</f>
        <v/>
      </c>
      <c r="P88" s="680" t="str">
        <f>IF(TABLERO!DU88=0,"",TABLERO!DU88)</f>
        <v/>
      </c>
      <c r="Q88" s="718" t="str">
        <f>IF(F88="","",TABLERO!O88)</f>
        <v/>
      </c>
      <c r="R88" s="720" t="str">
        <f>IF(TABLERO!CB88=0,"",TABLERO!CB88)</f>
        <v/>
      </c>
    </row>
    <row r="89" spans="1:18">
      <c r="A89" s="678" t="str">
        <f>TABLERO!B89&amp;IF(TABLERO!C89="","",","&amp;TABLERO!C89)&amp;IF(TABLERO!D89="","",","&amp;TABLERO!D89)</f>
        <v>59</v>
      </c>
      <c r="B89" s="718" t="str">
        <f>IF(F89="","",TABLERO!M89)</f>
        <v/>
      </c>
      <c r="C89" s="679" t="str">
        <f>IF(F89="","",TABLERO!I89)</f>
        <v/>
      </c>
      <c r="D89" s="680" t="str">
        <f>IF(F89="","",TABLERO!K89)</f>
        <v/>
      </c>
      <c r="E89" s="718" t="str">
        <f>IF(F89="","",TABLERO!N89)</f>
        <v/>
      </c>
      <c r="F89" s="718" t="str">
        <f>TABLERO!BX89</f>
        <v/>
      </c>
      <c r="G89" s="680" t="str">
        <f>IF(TABLERO!BU89=0,"",TABLERO!BU89)</f>
        <v/>
      </c>
      <c r="H89" s="719" t="str">
        <f>IF(TABLERO!DO89=0,"",TABLERO!DO89)</f>
        <v/>
      </c>
      <c r="I89" s="719" t="str">
        <f>IF(TABLERO!DP89=0,"",TABLERO!DP89)</f>
        <v/>
      </c>
      <c r="J89" s="680" t="str">
        <f>IF(TABLERO!DQ89=0,"",TABLERO!DQ89)</f>
        <v/>
      </c>
      <c r="K89" s="680" t="str">
        <f>IF(TABLERO!DR89=0,"",TABLERO!DR89)</f>
        <v/>
      </c>
      <c r="L89" s="680" t="str">
        <f>IF(TABLERO!DS89=0,"",TABLERO!DS89)</f>
        <v/>
      </c>
      <c r="M89" s="680" t="str">
        <f>IF(TABLERO!BZ89=0,"",TABLERO!BZ89)</f>
        <v/>
      </c>
      <c r="N89" s="679" t="str">
        <f>IF(TABLERO!CA89=0,"",TABLERO!CA89)</f>
        <v/>
      </c>
      <c r="O89" s="680" t="str">
        <f>IF(TABLERO!DT89=0,"",TABLERO!DT89)</f>
        <v/>
      </c>
      <c r="P89" s="680" t="str">
        <f>IF(TABLERO!DU89=0,"",TABLERO!DU89)</f>
        <v/>
      </c>
      <c r="Q89" s="718" t="str">
        <f>IF(F89="","",TABLERO!O89)</f>
        <v/>
      </c>
      <c r="R89" s="720" t="str">
        <f>IF(TABLERO!CB89=0,"",TABLERO!CB89)</f>
        <v/>
      </c>
    </row>
    <row r="90" spans="1:18">
      <c r="A90" s="678" t="str">
        <f>TABLERO!B90&amp;IF(TABLERO!C90="","",","&amp;TABLERO!C90)&amp;IF(TABLERO!D90="","",","&amp;TABLERO!D90)</f>
        <v>60</v>
      </c>
      <c r="B90" s="718" t="str">
        <f>IF(F90="","",TABLERO!M90)</f>
        <v/>
      </c>
      <c r="C90" s="679" t="str">
        <f>IF(F90="","",TABLERO!I90)</f>
        <v/>
      </c>
      <c r="D90" s="680" t="str">
        <f>IF(F90="","",TABLERO!K90)</f>
        <v/>
      </c>
      <c r="E90" s="718" t="str">
        <f>IF(F90="","",TABLERO!N90)</f>
        <v/>
      </c>
      <c r="F90" s="718" t="str">
        <f>TABLERO!BX90</f>
        <v/>
      </c>
      <c r="G90" s="680" t="str">
        <f>IF(TABLERO!BU90=0,"",TABLERO!BU90)</f>
        <v/>
      </c>
      <c r="H90" s="719" t="str">
        <f>IF(TABLERO!DO90=0,"",TABLERO!DO90)</f>
        <v/>
      </c>
      <c r="I90" s="719" t="str">
        <f>IF(TABLERO!DP90=0,"",TABLERO!DP90)</f>
        <v/>
      </c>
      <c r="J90" s="680" t="str">
        <f>IF(TABLERO!DQ90=0,"",TABLERO!DQ90)</f>
        <v/>
      </c>
      <c r="K90" s="680" t="str">
        <f>IF(TABLERO!DR90=0,"",TABLERO!DR90)</f>
        <v/>
      </c>
      <c r="L90" s="680" t="str">
        <f>IF(TABLERO!DS90=0,"",TABLERO!DS90)</f>
        <v/>
      </c>
      <c r="M90" s="680" t="str">
        <f>IF(TABLERO!BZ90=0,"",TABLERO!BZ90)</f>
        <v/>
      </c>
      <c r="N90" s="679" t="str">
        <f>IF(TABLERO!CA90=0,"",TABLERO!CA90)</f>
        <v/>
      </c>
      <c r="O90" s="680" t="str">
        <f>IF(TABLERO!DT90=0,"",TABLERO!DT90)</f>
        <v/>
      </c>
      <c r="P90" s="680" t="str">
        <f>IF(TABLERO!DU90=0,"",TABLERO!DU90)</f>
        <v/>
      </c>
      <c r="Q90" s="718" t="str">
        <f>IF(F90="","",TABLERO!O90)</f>
        <v/>
      </c>
      <c r="R90" s="720" t="str">
        <f>IF(TABLERO!CB90=0,"",TABLERO!CB90)</f>
        <v/>
      </c>
    </row>
    <row r="91" spans="1:18">
      <c r="A91" s="678" t="str">
        <f>TABLERO!B91&amp;IF(TABLERO!C91="","",","&amp;TABLERO!C91)&amp;IF(TABLERO!D91="","",","&amp;TABLERO!D91)</f>
        <v>61</v>
      </c>
      <c r="B91" s="718" t="str">
        <f>IF(F91="","",TABLERO!M91)</f>
        <v/>
      </c>
      <c r="C91" s="679" t="str">
        <f>IF(F91="","",TABLERO!I91)</f>
        <v/>
      </c>
      <c r="D91" s="680" t="str">
        <f>IF(F91="","",TABLERO!K91)</f>
        <v/>
      </c>
      <c r="E91" s="718" t="str">
        <f>IF(F91="","",TABLERO!N91)</f>
        <v/>
      </c>
      <c r="F91" s="718" t="str">
        <f>TABLERO!BX91</f>
        <v/>
      </c>
      <c r="G91" s="680" t="str">
        <f>IF(TABLERO!BU91=0,"",TABLERO!BU91)</f>
        <v/>
      </c>
      <c r="H91" s="719" t="str">
        <f>IF(TABLERO!DO91=0,"",TABLERO!DO91)</f>
        <v/>
      </c>
      <c r="I91" s="719" t="str">
        <f>IF(TABLERO!DP91=0,"",TABLERO!DP91)</f>
        <v/>
      </c>
      <c r="J91" s="680" t="str">
        <f>IF(TABLERO!DQ91=0,"",TABLERO!DQ91)</f>
        <v/>
      </c>
      <c r="K91" s="680" t="str">
        <f>IF(TABLERO!DR91=0,"",TABLERO!DR91)</f>
        <v/>
      </c>
      <c r="L91" s="680" t="str">
        <f>IF(TABLERO!DS91=0,"",TABLERO!DS91)</f>
        <v/>
      </c>
      <c r="M91" s="680" t="str">
        <f>IF(TABLERO!BZ91=0,"",TABLERO!BZ91)</f>
        <v/>
      </c>
      <c r="N91" s="679" t="str">
        <f>IF(TABLERO!CA91=0,"",TABLERO!CA91)</f>
        <v/>
      </c>
      <c r="O91" s="680" t="str">
        <f>IF(TABLERO!DT91=0,"",TABLERO!DT91)</f>
        <v/>
      </c>
      <c r="P91" s="680" t="str">
        <f>IF(TABLERO!DU91=0,"",TABLERO!DU91)</f>
        <v/>
      </c>
      <c r="Q91" s="718" t="str">
        <f>IF(F91="","",TABLERO!O91)</f>
        <v/>
      </c>
      <c r="R91" s="720" t="str">
        <f>IF(TABLERO!CB91=0,"",TABLERO!CB91)</f>
        <v/>
      </c>
    </row>
    <row r="92" spans="1:18">
      <c r="A92" s="678" t="str">
        <f>TABLERO!B92&amp;IF(TABLERO!C92="","",","&amp;TABLERO!C92)&amp;IF(TABLERO!D92="","",","&amp;TABLERO!D92)</f>
        <v>62</v>
      </c>
      <c r="B92" s="718" t="str">
        <f>IF(F92="","",TABLERO!M92)</f>
        <v/>
      </c>
      <c r="C92" s="679" t="str">
        <f>IF(F92="","",TABLERO!I92)</f>
        <v/>
      </c>
      <c r="D92" s="680" t="str">
        <f>IF(F92="","",TABLERO!K92)</f>
        <v/>
      </c>
      <c r="E92" s="718" t="str">
        <f>IF(F92="","",TABLERO!N92)</f>
        <v/>
      </c>
      <c r="F92" s="718" t="str">
        <f>TABLERO!BX92</f>
        <v/>
      </c>
      <c r="G92" s="680" t="str">
        <f>IF(TABLERO!BU92=0,"",TABLERO!BU92)</f>
        <v/>
      </c>
      <c r="H92" s="719" t="str">
        <f>IF(TABLERO!DO92=0,"",TABLERO!DO92)</f>
        <v/>
      </c>
      <c r="I92" s="719" t="str">
        <f>IF(TABLERO!DP92=0,"",TABLERO!DP92)</f>
        <v/>
      </c>
      <c r="J92" s="680" t="str">
        <f>IF(TABLERO!DQ92=0,"",TABLERO!DQ92)</f>
        <v/>
      </c>
      <c r="K92" s="680" t="str">
        <f>IF(TABLERO!DR92=0,"",TABLERO!DR92)</f>
        <v/>
      </c>
      <c r="L92" s="680" t="str">
        <f>IF(TABLERO!DS92=0,"",TABLERO!DS92)</f>
        <v/>
      </c>
      <c r="M92" s="680" t="str">
        <f>IF(TABLERO!BZ92=0,"",TABLERO!BZ92)</f>
        <v/>
      </c>
      <c r="N92" s="679" t="str">
        <f>IF(TABLERO!CA92=0,"",TABLERO!CA92)</f>
        <v/>
      </c>
      <c r="O92" s="680" t="str">
        <f>IF(TABLERO!DT92=0,"",TABLERO!DT92)</f>
        <v/>
      </c>
      <c r="P92" s="680" t="str">
        <f>IF(TABLERO!DU92=0,"",TABLERO!DU92)</f>
        <v/>
      </c>
      <c r="Q92" s="718" t="str">
        <f>IF(F92="","",TABLERO!O92)</f>
        <v/>
      </c>
      <c r="R92" s="720" t="str">
        <f>IF(TABLERO!CB92=0,"",TABLERO!CB92)</f>
        <v/>
      </c>
    </row>
    <row r="93" spans="1:18">
      <c r="A93" s="678" t="str">
        <f>TABLERO!B93&amp;IF(TABLERO!C93="","",","&amp;TABLERO!C93)&amp;IF(TABLERO!D93="","",","&amp;TABLERO!D93)</f>
        <v>63</v>
      </c>
      <c r="B93" s="718" t="str">
        <f>IF(F93="","",TABLERO!M93)</f>
        <v/>
      </c>
      <c r="C93" s="679" t="str">
        <f>IF(F93="","",TABLERO!I93)</f>
        <v/>
      </c>
      <c r="D93" s="680" t="str">
        <f>IF(F93="","",TABLERO!K93)</f>
        <v/>
      </c>
      <c r="E93" s="718" t="str">
        <f>IF(F93="","",TABLERO!N93)</f>
        <v/>
      </c>
      <c r="F93" s="718" t="str">
        <f>TABLERO!BX93</f>
        <v/>
      </c>
      <c r="G93" s="680" t="str">
        <f>IF(TABLERO!BU93=0,"",TABLERO!BU93)</f>
        <v/>
      </c>
      <c r="H93" s="719" t="str">
        <f>IF(TABLERO!DO93=0,"",TABLERO!DO93)</f>
        <v/>
      </c>
      <c r="I93" s="719" t="str">
        <f>IF(TABLERO!DP93=0,"",TABLERO!DP93)</f>
        <v/>
      </c>
      <c r="J93" s="680" t="str">
        <f>IF(TABLERO!DQ93=0,"",TABLERO!DQ93)</f>
        <v/>
      </c>
      <c r="K93" s="680" t="str">
        <f>IF(TABLERO!DR93=0,"",TABLERO!DR93)</f>
        <v/>
      </c>
      <c r="L93" s="680" t="str">
        <f>IF(TABLERO!DS93=0,"",TABLERO!DS93)</f>
        <v/>
      </c>
      <c r="M93" s="680" t="str">
        <f>IF(TABLERO!BZ93=0,"",TABLERO!BZ93)</f>
        <v/>
      </c>
      <c r="N93" s="679" t="str">
        <f>IF(TABLERO!CA93=0,"",TABLERO!CA93)</f>
        <v/>
      </c>
      <c r="O93" s="680" t="str">
        <f>IF(TABLERO!DT93=0,"",TABLERO!DT93)</f>
        <v/>
      </c>
      <c r="P93" s="680" t="str">
        <f>IF(TABLERO!DU93=0,"",TABLERO!DU93)</f>
        <v/>
      </c>
      <c r="Q93" s="718" t="str">
        <f>IF(F93="","",TABLERO!O93)</f>
        <v/>
      </c>
      <c r="R93" s="720" t="str">
        <f>IF(TABLERO!CB93=0,"",TABLERO!CB93)</f>
        <v/>
      </c>
    </row>
    <row r="94" spans="1:18">
      <c r="A94" s="678" t="str">
        <f>TABLERO!B94&amp;IF(TABLERO!C94="","",","&amp;TABLERO!C94)&amp;IF(TABLERO!D94="","",","&amp;TABLERO!D94)</f>
        <v>64</v>
      </c>
      <c r="B94" s="718" t="str">
        <f>IF(F94="","",TABLERO!M94)</f>
        <v/>
      </c>
      <c r="C94" s="679" t="str">
        <f>IF(F94="","",TABLERO!I94)</f>
        <v/>
      </c>
      <c r="D94" s="680" t="str">
        <f>IF(F94="","",TABLERO!K94)</f>
        <v/>
      </c>
      <c r="E94" s="718" t="str">
        <f>IF(F94="","",TABLERO!N94)</f>
        <v/>
      </c>
      <c r="F94" s="718" t="str">
        <f>TABLERO!BX94</f>
        <v/>
      </c>
      <c r="G94" s="680" t="str">
        <f>IF(TABLERO!BU94=0,"",TABLERO!BU94)</f>
        <v/>
      </c>
      <c r="H94" s="719" t="str">
        <f>IF(TABLERO!DO94=0,"",TABLERO!DO94)</f>
        <v/>
      </c>
      <c r="I94" s="719" t="str">
        <f>IF(TABLERO!DP94=0,"",TABLERO!DP94)</f>
        <v/>
      </c>
      <c r="J94" s="680" t="str">
        <f>IF(TABLERO!DQ94=0,"",TABLERO!DQ94)</f>
        <v/>
      </c>
      <c r="K94" s="680" t="str">
        <f>IF(TABLERO!DR94=0,"",TABLERO!DR94)</f>
        <v/>
      </c>
      <c r="L94" s="680" t="str">
        <f>IF(TABLERO!DS94=0,"",TABLERO!DS94)</f>
        <v/>
      </c>
      <c r="M94" s="680" t="str">
        <f>IF(TABLERO!BZ94=0,"",TABLERO!BZ94)</f>
        <v/>
      </c>
      <c r="N94" s="679" t="str">
        <f>IF(TABLERO!CA94=0,"",TABLERO!CA94)</f>
        <v/>
      </c>
      <c r="O94" s="680" t="str">
        <f>IF(TABLERO!DT94=0,"",TABLERO!DT94)</f>
        <v/>
      </c>
      <c r="P94" s="680" t="str">
        <f>IF(TABLERO!DU94=0,"",TABLERO!DU94)</f>
        <v/>
      </c>
      <c r="Q94" s="718" t="str">
        <f>IF(F94="","",TABLERO!O94)</f>
        <v/>
      </c>
      <c r="R94" s="720" t="str">
        <f>IF(TABLERO!CB94=0,"",TABLERO!CB94)</f>
        <v/>
      </c>
    </row>
    <row r="95" spans="1:18">
      <c r="A95" s="678" t="str">
        <f>TABLERO!B95&amp;IF(TABLERO!C95="","",","&amp;TABLERO!C95)&amp;IF(TABLERO!D95="","",","&amp;TABLERO!D95)</f>
        <v>65</v>
      </c>
      <c r="B95" s="718" t="str">
        <f>IF(F95="","",TABLERO!M95)</f>
        <v/>
      </c>
      <c r="C95" s="679" t="str">
        <f>IF(F95="","",TABLERO!I95)</f>
        <v/>
      </c>
      <c r="D95" s="680" t="str">
        <f>IF(F95="","",TABLERO!K95)</f>
        <v/>
      </c>
      <c r="E95" s="718" t="str">
        <f>IF(F95="","",TABLERO!N95)</f>
        <v/>
      </c>
      <c r="F95" s="718" t="str">
        <f>TABLERO!BX95</f>
        <v/>
      </c>
      <c r="G95" s="680" t="str">
        <f>IF(TABLERO!BU95=0,"",TABLERO!BU95)</f>
        <v/>
      </c>
      <c r="H95" s="719" t="str">
        <f>IF(TABLERO!DO95=0,"",TABLERO!DO95)</f>
        <v/>
      </c>
      <c r="I95" s="719" t="str">
        <f>IF(TABLERO!DP95=0,"",TABLERO!DP95)</f>
        <v/>
      </c>
      <c r="J95" s="680" t="str">
        <f>IF(TABLERO!DQ95=0,"",TABLERO!DQ95)</f>
        <v/>
      </c>
      <c r="K95" s="680" t="str">
        <f>IF(TABLERO!DR95=0,"",TABLERO!DR95)</f>
        <v/>
      </c>
      <c r="L95" s="680" t="str">
        <f>IF(TABLERO!DS95=0,"",TABLERO!DS95)</f>
        <v/>
      </c>
      <c r="M95" s="680" t="str">
        <f>IF(TABLERO!BZ95=0,"",TABLERO!BZ95)</f>
        <v/>
      </c>
      <c r="N95" s="679" t="str">
        <f>IF(TABLERO!CA95=0,"",TABLERO!CA95)</f>
        <v/>
      </c>
      <c r="O95" s="680" t="str">
        <f>IF(TABLERO!DT95=0,"",TABLERO!DT95)</f>
        <v/>
      </c>
      <c r="P95" s="680" t="str">
        <f>IF(TABLERO!DU95=0,"",TABLERO!DU95)</f>
        <v/>
      </c>
      <c r="Q95" s="718" t="str">
        <f>IF(F95="","",TABLERO!O95)</f>
        <v/>
      </c>
      <c r="R95" s="720" t="str">
        <f>IF(TABLERO!CB95=0,"",TABLERO!CB95)</f>
        <v/>
      </c>
    </row>
    <row r="96" spans="1:18">
      <c r="A96" s="678" t="str">
        <f>TABLERO!B96&amp;IF(TABLERO!C96="","",","&amp;TABLERO!C96)&amp;IF(TABLERO!D96="","",","&amp;TABLERO!D96)</f>
        <v>66</v>
      </c>
      <c r="B96" s="718" t="str">
        <f>IF(F96="","",TABLERO!M96)</f>
        <v/>
      </c>
      <c r="C96" s="679" t="str">
        <f>IF(F96="","",TABLERO!I96)</f>
        <v/>
      </c>
      <c r="D96" s="680" t="str">
        <f>IF(F96="","",TABLERO!K96)</f>
        <v/>
      </c>
      <c r="E96" s="718" t="str">
        <f>IF(F96="","",TABLERO!N96)</f>
        <v/>
      </c>
      <c r="F96" s="718" t="str">
        <f>TABLERO!BX96</f>
        <v/>
      </c>
      <c r="G96" s="680" t="str">
        <f>IF(TABLERO!BU96=0,"",TABLERO!BU96)</f>
        <v/>
      </c>
      <c r="H96" s="719" t="str">
        <f>IF(TABLERO!DO96=0,"",TABLERO!DO96)</f>
        <v/>
      </c>
      <c r="I96" s="719" t="str">
        <f>IF(TABLERO!DP96=0,"",TABLERO!DP96)</f>
        <v/>
      </c>
      <c r="J96" s="680" t="str">
        <f>IF(TABLERO!DQ96=0,"",TABLERO!DQ96)</f>
        <v/>
      </c>
      <c r="K96" s="680" t="str">
        <f>IF(TABLERO!DR96=0,"",TABLERO!DR96)</f>
        <v/>
      </c>
      <c r="L96" s="680" t="str">
        <f>IF(TABLERO!DS96=0,"",TABLERO!DS96)</f>
        <v/>
      </c>
      <c r="M96" s="680" t="str">
        <f>IF(TABLERO!BZ96=0,"",TABLERO!BZ96)</f>
        <v/>
      </c>
      <c r="N96" s="679" t="str">
        <f>IF(TABLERO!CA96=0,"",TABLERO!CA96)</f>
        <v/>
      </c>
      <c r="O96" s="680" t="str">
        <f>IF(TABLERO!DT96=0,"",TABLERO!DT96)</f>
        <v/>
      </c>
      <c r="P96" s="680" t="str">
        <f>IF(TABLERO!DU96=0,"",TABLERO!DU96)</f>
        <v/>
      </c>
      <c r="Q96" s="718" t="str">
        <f>IF(F96="","",TABLERO!O96)</f>
        <v/>
      </c>
      <c r="R96" s="720" t="str">
        <f>IF(TABLERO!CB96=0,"",TABLERO!CB96)</f>
        <v/>
      </c>
    </row>
    <row r="97" spans="1:18">
      <c r="A97" s="678" t="str">
        <f>TABLERO!B97&amp;IF(TABLERO!C97="","",","&amp;TABLERO!C97)&amp;IF(TABLERO!D97="","",","&amp;TABLERO!D97)</f>
        <v>67</v>
      </c>
      <c r="B97" s="718" t="str">
        <f>IF(F97="","",TABLERO!M97)</f>
        <v/>
      </c>
      <c r="C97" s="679" t="str">
        <f>IF(F97="","",TABLERO!I97)</f>
        <v/>
      </c>
      <c r="D97" s="680" t="str">
        <f>IF(F97="","",TABLERO!K97)</f>
        <v/>
      </c>
      <c r="E97" s="718" t="str">
        <f>IF(F97="","",TABLERO!N97)</f>
        <v/>
      </c>
      <c r="F97" s="718" t="str">
        <f>TABLERO!BX97</f>
        <v/>
      </c>
      <c r="G97" s="680" t="str">
        <f>IF(TABLERO!BU97=0,"",TABLERO!BU97)</f>
        <v/>
      </c>
      <c r="H97" s="719" t="str">
        <f>IF(TABLERO!DO97=0,"",TABLERO!DO97)</f>
        <v/>
      </c>
      <c r="I97" s="719" t="str">
        <f>IF(TABLERO!DP97=0,"",TABLERO!DP97)</f>
        <v/>
      </c>
      <c r="J97" s="680" t="str">
        <f>IF(TABLERO!DQ97=0,"",TABLERO!DQ97)</f>
        <v/>
      </c>
      <c r="K97" s="680" t="str">
        <f>IF(TABLERO!DR97=0,"",TABLERO!DR97)</f>
        <v/>
      </c>
      <c r="L97" s="680" t="str">
        <f>IF(TABLERO!DS97=0,"",TABLERO!DS97)</f>
        <v/>
      </c>
      <c r="M97" s="680" t="str">
        <f>IF(TABLERO!BZ97=0,"",TABLERO!BZ97)</f>
        <v/>
      </c>
      <c r="N97" s="679" t="str">
        <f>IF(TABLERO!CA97=0,"",TABLERO!CA97)</f>
        <v/>
      </c>
      <c r="O97" s="680" t="str">
        <f>IF(TABLERO!DT97=0,"",TABLERO!DT97)</f>
        <v/>
      </c>
      <c r="P97" s="680" t="str">
        <f>IF(TABLERO!DU97=0,"",TABLERO!DU97)</f>
        <v/>
      </c>
      <c r="Q97" s="718" t="str">
        <f>IF(F97="","",TABLERO!O97)</f>
        <v/>
      </c>
      <c r="R97" s="720" t="str">
        <f>IF(TABLERO!CB97=0,"",TABLERO!CB97)</f>
        <v/>
      </c>
    </row>
    <row r="98" spans="1:18">
      <c r="A98" s="678" t="str">
        <f>TABLERO!B98&amp;IF(TABLERO!C98="","",","&amp;TABLERO!C98)&amp;IF(TABLERO!D98="","",","&amp;TABLERO!D98)</f>
        <v>68</v>
      </c>
      <c r="B98" s="718" t="str">
        <f>IF(F98="","",TABLERO!M98)</f>
        <v/>
      </c>
      <c r="C98" s="679" t="str">
        <f>IF(F98="","",TABLERO!I98)</f>
        <v/>
      </c>
      <c r="D98" s="680" t="str">
        <f>IF(F98="","",TABLERO!K98)</f>
        <v/>
      </c>
      <c r="E98" s="718" t="str">
        <f>IF(F98="","",TABLERO!N98)</f>
        <v/>
      </c>
      <c r="F98" s="718" t="str">
        <f>TABLERO!BX98</f>
        <v/>
      </c>
      <c r="G98" s="680" t="str">
        <f>IF(TABLERO!BU98=0,"",TABLERO!BU98)</f>
        <v/>
      </c>
      <c r="H98" s="719" t="str">
        <f>IF(TABLERO!DO98=0,"",TABLERO!DO98)</f>
        <v/>
      </c>
      <c r="I98" s="719" t="str">
        <f>IF(TABLERO!DP98=0,"",TABLERO!DP98)</f>
        <v/>
      </c>
      <c r="J98" s="680" t="str">
        <f>IF(TABLERO!DQ98=0,"",TABLERO!DQ98)</f>
        <v/>
      </c>
      <c r="K98" s="680" t="str">
        <f>IF(TABLERO!DR98=0,"",TABLERO!DR98)</f>
        <v/>
      </c>
      <c r="L98" s="680" t="str">
        <f>IF(TABLERO!DS98=0,"",TABLERO!DS98)</f>
        <v/>
      </c>
      <c r="M98" s="680" t="str">
        <f>IF(TABLERO!BZ98=0,"",TABLERO!BZ98)</f>
        <v/>
      </c>
      <c r="N98" s="679" t="str">
        <f>IF(TABLERO!CA98=0,"",TABLERO!CA98)</f>
        <v/>
      </c>
      <c r="O98" s="680" t="str">
        <f>IF(TABLERO!DT98=0,"",TABLERO!DT98)</f>
        <v/>
      </c>
      <c r="P98" s="680" t="str">
        <f>IF(TABLERO!DU98=0,"",TABLERO!DU98)</f>
        <v/>
      </c>
      <c r="Q98" s="718" t="str">
        <f>IF(F98="","",TABLERO!O98)</f>
        <v/>
      </c>
      <c r="R98" s="720" t="str">
        <f>IF(TABLERO!CB98=0,"",TABLERO!CB98)</f>
        <v/>
      </c>
    </row>
    <row r="99" spans="1:18">
      <c r="A99" s="678" t="str">
        <f>TABLERO!B99&amp;IF(TABLERO!C99="","",","&amp;TABLERO!C99)&amp;IF(TABLERO!D99="","",","&amp;TABLERO!D99)</f>
        <v>69</v>
      </c>
      <c r="B99" s="718" t="str">
        <f>IF(F99="","",TABLERO!M99)</f>
        <v/>
      </c>
      <c r="C99" s="679" t="str">
        <f>IF(F99="","",TABLERO!I99)</f>
        <v/>
      </c>
      <c r="D99" s="680" t="str">
        <f>IF(F99="","",TABLERO!K99)</f>
        <v/>
      </c>
      <c r="E99" s="718" t="str">
        <f>IF(F99="","",TABLERO!N99)</f>
        <v/>
      </c>
      <c r="F99" s="718" t="str">
        <f>TABLERO!BX99</f>
        <v/>
      </c>
      <c r="G99" s="680" t="str">
        <f>IF(TABLERO!BU99=0,"",TABLERO!BU99)</f>
        <v/>
      </c>
      <c r="H99" s="719" t="str">
        <f>IF(TABLERO!DO99=0,"",TABLERO!DO99)</f>
        <v/>
      </c>
      <c r="I99" s="719" t="str">
        <f>IF(TABLERO!DP99=0,"",TABLERO!DP99)</f>
        <v/>
      </c>
      <c r="J99" s="680" t="str">
        <f>IF(TABLERO!DQ99=0,"",TABLERO!DQ99)</f>
        <v/>
      </c>
      <c r="K99" s="680" t="str">
        <f>IF(TABLERO!DR99=0,"",TABLERO!DR99)</f>
        <v/>
      </c>
      <c r="L99" s="680" t="str">
        <f>IF(TABLERO!DS99=0,"",TABLERO!DS99)</f>
        <v/>
      </c>
      <c r="M99" s="680" t="str">
        <f>IF(TABLERO!BZ99=0,"",TABLERO!BZ99)</f>
        <v/>
      </c>
      <c r="N99" s="679" t="str">
        <f>IF(TABLERO!CA99=0,"",TABLERO!CA99)</f>
        <v/>
      </c>
      <c r="O99" s="680" t="str">
        <f>IF(TABLERO!DT99=0,"",TABLERO!DT99)</f>
        <v/>
      </c>
      <c r="P99" s="680" t="str">
        <f>IF(TABLERO!DU99=0,"",TABLERO!DU99)</f>
        <v/>
      </c>
      <c r="Q99" s="718" t="str">
        <f>IF(F99="","",TABLERO!O99)</f>
        <v/>
      </c>
      <c r="R99" s="720" t="str">
        <f>IF(TABLERO!CB99=0,"",TABLERO!CB99)</f>
        <v/>
      </c>
    </row>
    <row r="100" spans="1:18">
      <c r="A100" s="678" t="str">
        <f>TABLERO!B100&amp;IF(TABLERO!C100="","",","&amp;TABLERO!C100)&amp;IF(TABLERO!D100="","",","&amp;TABLERO!D100)</f>
        <v>70</v>
      </c>
      <c r="B100" s="718" t="str">
        <f>IF(F100="","",TABLERO!M100)</f>
        <v/>
      </c>
      <c r="C100" s="679" t="str">
        <f>IF(F100="","",TABLERO!I100)</f>
        <v/>
      </c>
      <c r="D100" s="680" t="str">
        <f>IF(F100="","",TABLERO!K100)</f>
        <v/>
      </c>
      <c r="E100" s="718" t="str">
        <f>IF(F100="","",TABLERO!N100)</f>
        <v/>
      </c>
      <c r="F100" s="718" t="str">
        <f>TABLERO!BX100</f>
        <v/>
      </c>
      <c r="G100" s="680" t="str">
        <f>IF(TABLERO!BU100=0,"",TABLERO!BU100)</f>
        <v/>
      </c>
      <c r="H100" s="719" t="str">
        <f>IF(TABLERO!DO100=0,"",TABLERO!DO100)</f>
        <v/>
      </c>
      <c r="I100" s="719" t="str">
        <f>IF(TABLERO!DP100=0,"",TABLERO!DP100)</f>
        <v/>
      </c>
      <c r="J100" s="680" t="str">
        <f>IF(TABLERO!DQ100=0,"",TABLERO!DQ100)</f>
        <v/>
      </c>
      <c r="K100" s="680" t="str">
        <f>IF(TABLERO!DR100=0,"",TABLERO!DR100)</f>
        <v/>
      </c>
      <c r="L100" s="680" t="str">
        <f>IF(TABLERO!DS100=0,"",TABLERO!DS100)</f>
        <v/>
      </c>
      <c r="M100" s="680" t="str">
        <f>IF(TABLERO!BZ100=0,"",TABLERO!BZ100)</f>
        <v/>
      </c>
      <c r="N100" s="679" t="str">
        <f>IF(TABLERO!CA100=0,"",TABLERO!CA100)</f>
        <v/>
      </c>
      <c r="O100" s="680" t="str">
        <f>IF(TABLERO!DT100=0,"",TABLERO!DT100)</f>
        <v/>
      </c>
      <c r="P100" s="680" t="str">
        <f>IF(TABLERO!DU100=0,"",TABLERO!DU100)</f>
        <v/>
      </c>
      <c r="Q100" s="718" t="str">
        <f>IF(F100="","",TABLERO!O100)</f>
        <v/>
      </c>
      <c r="R100" s="720" t="str">
        <f>IF(TABLERO!CB100=0,"",TABLERO!CB100)</f>
        <v/>
      </c>
    </row>
    <row r="101" spans="1:18">
      <c r="A101" s="678" t="str">
        <f>TABLERO!B101&amp;IF(TABLERO!C101="","",","&amp;TABLERO!C101)&amp;IF(TABLERO!D101="","",","&amp;TABLERO!D101)</f>
        <v>71</v>
      </c>
      <c r="B101" s="718" t="str">
        <f>IF(F101="","",TABLERO!M101)</f>
        <v/>
      </c>
      <c r="C101" s="679" t="str">
        <f>IF(F101="","",TABLERO!I101)</f>
        <v/>
      </c>
      <c r="D101" s="680" t="str">
        <f>IF(F101="","",TABLERO!K101)</f>
        <v/>
      </c>
      <c r="E101" s="718" t="str">
        <f>IF(F101="","",TABLERO!N101)</f>
        <v/>
      </c>
      <c r="F101" s="718" t="str">
        <f>TABLERO!BX101</f>
        <v/>
      </c>
      <c r="G101" s="680" t="str">
        <f>IF(TABLERO!BU101=0,"",TABLERO!BU101)</f>
        <v/>
      </c>
      <c r="H101" s="719" t="str">
        <f>IF(TABLERO!DO101=0,"",TABLERO!DO101)</f>
        <v/>
      </c>
      <c r="I101" s="719" t="str">
        <f>IF(TABLERO!DP101=0,"",TABLERO!DP101)</f>
        <v/>
      </c>
      <c r="J101" s="680" t="str">
        <f>IF(TABLERO!DQ101=0,"",TABLERO!DQ101)</f>
        <v/>
      </c>
      <c r="K101" s="680" t="str">
        <f>IF(TABLERO!DR101=0,"",TABLERO!DR101)</f>
        <v/>
      </c>
      <c r="L101" s="680" t="str">
        <f>IF(TABLERO!DS101=0,"",TABLERO!DS101)</f>
        <v/>
      </c>
      <c r="M101" s="680" t="str">
        <f>IF(TABLERO!BZ101=0,"",TABLERO!BZ101)</f>
        <v/>
      </c>
      <c r="N101" s="679" t="str">
        <f>IF(TABLERO!CA101=0,"",TABLERO!CA101)</f>
        <v/>
      </c>
      <c r="O101" s="680" t="str">
        <f>IF(TABLERO!DT101=0,"",TABLERO!DT101)</f>
        <v/>
      </c>
      <c r="P101" s="680" t="str">
        <f>IF(TABLERO!DU101=0,"",TABLERO!DU101)</f>
        <v/>
      </c>
      <c r="Q101" s="718" t="str">
        <f>IF(F101="","",TABLERO!O101)</f>
        <v/>
      </c>
      <c r="R101" s="720" t="str">
        <f>IF(TABLERO!CB101=0,"",TABLERO!CB101)</f>
        <v/>
      </c>
    </row>
    <row r="102" spans="1:18">
      <c r="A102" s="678" t="str">
        <f>TABLERO!B102&amp;IF(TABLERO!C102="","",","&amp;TABLERO!C102)&amp;IF(TABLERO!D102="","",","&amp;TABLERO!D102)</f>
        <v>72</v>
      </c>
      <c r="B102" s="718" t="str">
        <f>IF(F102="","",TABLERO!M102)</f>
        <v/>
      </c>
      <c r="C102" s="679" t="str">
        <f>IF(F102="","",TABLERO!I102)</f>
        <v/>
      </c>
      <c r="D102" s="680" t="str">
        <f>IF(F102="","",TABLERO!K102)</f>
        <v/>
      </c>
      <c r="E102" s="718" t="str">
        <f>IF(F102="","",TABLERO!N102)</f>
        <v/>
      </c>
      <c r="F102" s="718" t="str">
        <f>TABLERO!BX102</f>
        <v/>
      </c>
      <c r="G102" s="680" t="str">
        <f>IF(TABLERO!BU102=0,"",TABLERO!BU102)</f>
        <v/>
      </c>
      <c r="H102" s="719" t="str">
        <f>IF(TABLERO!DO102=0,"",TABLERO!DO102)</f>
        <v/>
      </c>
      <c r="I102" s="719" t="str">
        <f>IF(TABLERO!DP102=0,"",TABLERO!DP102)</f>
        <v/>
      </c>
      <c r="J102" s="680" t="str">
        <f>IF(TABLERO!DQ102=0,"",TABLERO!DQ102)</f>
        <v/>
      </c>
      <c r="K102" s="680" t="str">
        <f>IF(TABLERO!DR102=0,"",TABLERO!DR102)</f>
        <v/>
      </c>
      <c r="L102" s="680" t="str">
        <f>IF(TABLERO!DS102=0,"",TABLERO!DS102)</f>
        <v/>
      </c>
      <c r="M102" s="680" t="str">
        <f>IF(TABLERO!BZ102=0,"",TABLERO!BZ102)</f>
        <v/>
      </c>
      <c r="N102" s="679" t="str">
        <f>IF(TABLERO!CA102=0,"",TABLERO!CA102)</f>
        <v/>
      </c>
      <c r="O102" s="680" t="str">
        <f>IF(TABLERO!DT102=0,"",TABLERO!DT102)</f>
        <v/>
      </c>
      <c r="P102" s="680" t="str">
        <f>IF(TABLERO!DU102=0,"",TABLERO!DU102)</f>
        <v/>
      </c>
      <c r="Q102" s="718" t="str">
        <f>IF(F102="","",TABLERO!O102)</f>
        <v/>
      </c>
      <c r="R102" s="720" t="str">
        <f>IF(TABLERO!CB102=0,"",TABLERO!CB102)</f>
        <v/>
      </c>
    </row>
    <row r="103" spans="1:18">
      <c r="A103" s="678" t="str">
        <f>TABLERO!B103&amp;IF(TABLERO!C103="","",","&amp;TABLERO!C103)&amp;IF(TABLERO!D103="","",","&amp;TABLERO!D103)</f>
        <v>73</v>
      </c>
      <c r="B103" s="718" t="str">
        <f>IF(F103="","",TABLERO!M103)</f>
        <v/>
      </c>
      <c r="C103" s="679" t="str">
        <f>IF(F103="","",TABLERO!I103)</f>
        <v/>
      </c>
      <c r="D103" s="680" t="str">
        <f>IF(F103="","",TABLERO!K103)</f>
        <v/>
      </c>
      <c r="E103" s="718" t="str">
        <f>IF(F103="","",TABLERO!N103)</f>
        <v/>
      </c>
      <c r="F103" s="718" t="str">
        <f>TABLERO!BX103</f>
        <v/>
      </c>
      <c r="G103" s="680" t="str">
        <f>IF(TABLERO!BU103=0,"",TABLERO!BU103)</f>
        <v/>
      </c>
      <c r="H103" s="719" t="str">
        <f>IF(TABLERO!DO103=0,"",TABLERO!DO103)</f>
        <v/>
      </c>
      <c r="I103" s="719" t="str">
        <f>IF(TABLERO!DP103=0,"",TABLERO!DP103)</f>
        <v/>
      </c>
      <c r="J103" s="680" t="str">
        <f>IF(TABLERO!DQ103=0,"",TABLERO!DQ103)</f>
        <v/>
      </c>
      <c r="K103" s="680" t="str">
        <f>IF(TABLERO!DR103=0,"",TABLERO!DR103)</f>
        <v/>
      </c>
      <c r="L103" s="680" t="str">
        <f>IF(TABLERO!DS103=0,"",TABLERO!DS103)</f>
        <v/>
      </c>
      <c r="M103" s="680" t="str">
        <f>IF(TABLERO!BZ103=0,"",TABLERO!BZ103)</f>
        <v/>
      </c>
      <c r="N103" s="679" t="str">
        <f>IF(TABLERO!CA103=0,"",TABLERO!CA103)</f>
        <v/>
      </c>
      <c r="O103" s="680" t="str">
        <f>IF(TABLERO!DT103=0,"",TABLERO!DT103)</f>
        <v/>
      </c>
      <c r="P103" s="680" t="str">
        <f>IF(TABLERO!DU103=0,"",TABLERO!DU103)</f>
        <v/>
      </c>
      <c r="Q103" s="718" t="str">
        <f>IF(F103="","",TABLERO!O103)</f>
        <v/>
      </c>
      <c r="R103" s="720" t="str">
        <f>IF(TABLERO!CB103=0,"",TABLERO!CB103)</f>
        <v/>
      </c>
    </row>
    <row r="104" spans="1:18">
      <c r="A104" s="678" t="str">
        <f>TABLERO!B104&amp;IF(TABLERO!C104="","",","&amp;TABLERO!C104)&amp;IF(TABLERO!D104="","",","&amp;TABLERO!D104)</f>
        <v>74</v>
      </c>
      <c r="B104" s="718" t="str">
        <f>IF(F104="","",TABLERO!M104)</f>
        <v/>
      </c>
      <c r="C104" s="679" t="str">
        <f>IF(F104="","",TABLERO!I104)</f>
        <v/>
      </c>
      <c r="D104" s="680" t="str">
        <f>IF(F104="","",TABLERO!K104)</f>
        <v/>
      </c>
      <c r="E104" s="718" t="str">
        <f>IF(F104="","",TABLERO!N104)</f>
        <v/>
      </c>
      <c r="F104" s="718" t="str">
        <f>TABLERO!BX104</f>
        <v/>
      </c>
      <c r="G104" s="680" t="str">
        <f>IF(TABLERO!BU104=0,"",TABLERO!BU104)</f>
        <v/>
      </c>
      <c r="H104" s="719" t="str">
        <f>IF(TABLERO!DO104=0,"",TABLERO!DO104)</f>
        <v/>
      </c>
      <c r="I104" s="719" t="str">
        <f>IF(TABLERO!DP104=0,"",TABLERO!DP104)</f>
        <v/>
      </c>
      <c r="J104" s="680" t="str">
        <f>IF(TABLERO!DQ104=0,"",TABLERO!DQ104)</f>
        <v/>
      </c>
      <c r="K104" s="680" t="str">
        <f>IF(TABLERO!DR104=0,"",TABLERO!DR104)</f>
        <v/>
      </c>
      <c r="L104" s="680" t="str">
        <f>IF(TABLERO!DS104=0,"",TABLERO!DS104)</f>
        <v/>
      </c>
      <c r="M104" s="680" t="str">
        <f>IF(TABLERO!BZ104=0,"",TABLERO!BZ104)</f>
        <v/>
      </c>
      <c r="N104" s="679" t="str">
        <f>IF(TABLERO!CA104=0,"",TABLERO!CA104)</f>
        <v/>
      </c>
      <c r="O104" s="680" t="str">
        <f>IF(TABLERO!DT104=0,"",TABLERO!DT104)</f>
        <v/>
      </c>
      <c r="P104" s="680" t="str">
        <f>IF(TABLERO!DU104=0,"",TABLERO!DU104)</f>
        <v/>
      </c>
      <c r="Q104" s="718" t="str">
        <f>IF(F104="","",TABLERO!O104)</f>
        <v/>
      </c>
      <c r="R104" s="720" t="str">
        <f>IF(TABLERO!CB104=0,"",TABLERO!CB104)</f>
        <v/>
      </c>
    </row>
    <row r="105" spans="1:18">
      <c r="A105" s="678" t="str">
        <f>TABLERO!B105&amp;IF(TABLERO!C105="","",","&amp;TABLERO!C105)&amp;IF(TABLERO!D105="","",","&amp;TABLERO!D105)</f>
        <v>75</v>
      </c>
      <c r="B105" s="718" t="str">
        <f>IF(F105="","",TABLERO!M105)</f>
        <v/>
      </c>
      <c r="C105" s="679" t="str">
        <f>IF(F105="","",TABLERO!I105)</f>
        <v/>
      </c>
      <c r="D105" s="680" t="str">
        <f>IF(F105="","",TABLERO!K105)</f>
        <v/>
      </c>
      <c r="E105" s="718" t="str">
        <f>IF(F105="","",TABLERO!N105)</f>
        <v/>
      </c>
      <c r="F105" s="718" t="str">
        <f>TABLERO!BX105</f>
        <v/>
      </c>
      <c r="G105" s="680" t="str">
        <f>IF(TABLERO!BU105=0,"",TABLERO!BU105)</f>
        <v/>
      </c>
      <c r="H105" s="719" t="str">
        <f>IF(TABLERO!DO105=0,"",TABLERO!DO105)</f>
        <v/>
      </c>
      <c r="I105" s="719" t="str">
        <f>IF(TABLERO!DP105=0,"",TABLERO!DP105)</f>
        <v/>
      </c>
      <c r="J105" s="680" t="str">
        <f>IF(TABLERO!DQ105=0,"",TABLERO!DQ105)</f>
        <v/>
      </c>
      <c r="K105" s="680" t="str">
        <f>IF(TABLERO!DR105=0,"",TABLERO!DR105)</f>
        <v/>
      </c>
      <c r="L105" s="680" t="str">
        <f>IF(TABLERO!DS105=0,"",TABLERO!DS105)</f>
        <v/>
      </c>
      <c r="M105" s="680" t="str">
        <f>IF(TABLERO!BZ105=0,"",TABLERO!BZ105)</f>
        <v/>
      </c>
      <c r="N105" s="679" t="str">
        <f>IF(TABLERO!CA105=0,"",TABLERO!CA105)</f>
        <v/>
      </c>
      <c r="O105" s="680" t="str">
        <f>IF(TABLERO!DT105=0,"",TABLERO!DT105)</f>
        <v/>
      </c>
      <c r="P105" s="680" t="str">
        <f>IF(TABLERO!DU105=0,"",TABLERO!DU105)</f>
        <v/>
      </c>
      <c r="Q105" s="718" t="str">
        <f>IF(F105="","",TABLERO!O105)</f>
        <v/>
      </c>
      <c r="R105" s="720" t="str">
        <f>IF(TABLERO!CB105=0,"",TABLERO!CB105)</f>
        <v/>
      </c>
    </row>
    <row r="106" spans="1:18">
      <c r="A106" s="678" t="str">
        <f>TABLERO!B106&amp;IF(TABLERO!C106="","",","&amp;TABLERO!C106)&amp;IF(TABLERO!D106="","",","&amp;TABLERO!D106)</f>
        <v>76</v>
      </c>
      <c r="B106" s="718" t="str">
        <f>IF(F106="","",TABLERO!M106)</f>
        <v/>
      </c>
      <c r="C106" s="679" t="str">
        <f>IF(F106="","",TABLERO!I106)</f>
        <v/>
      </c>
      <c r="D106" s="680" t="str">
        <f>IF(F106="","",TABLERO!K106)</f>
        <v/>
      </c>
      <c r="E106" s="718" t="str">
        <f>IF(F106="","",TABLERO!N106)</f>
        <v/>
      </c>
      <c r="F106" s="718" t="str">
        <f>TABLERO!BX106</f>
        <v/>
      </c>
      <c r="G106" s="680" t="str">
        <f>IF(TABLERO!BU106=0,"",TABLERO!BU106)</f>
        <v/>
      </c>
      <c r="H106" s="719" t="str">
        <f>IF(TABLERO!DO106=0,"",TABLERO!DO106)</f>
        <v/>
      </c>
      <c r="I106" s="719" t="str">
        <f>IF(TABLERO!DP106=0,"",TABLERO!DP106)</f>
        <v/>
      </c>
      <c r="J106" s="680" t="str">
        <f>IF(TABLERO!DQ106=0,"",TABLERO!DQ106)</f>
        <v/>
      </c>
      <c r="K106" s="680" t="str">
        <f>IF(TABLERO!DR106=0,"",TABLERO!DR106)</f>
        <v/>
      </c>
      <c r="L106" s="680" t="str">
        <f>IF(TABLERO!DS106=0,"",TABLERO!DS106)</f>
        <v/>
      </c>
      <c r="M106" s="680" t="str">
        <f>IF(TABLERO!BZ106=0,"",TABLERO!BZ106)</f>
        <v/>
      </c>
      <c r="N106" s="679" t="str">
        <f>IF(TABLERO!CA106=0,"",TABLERO!CA106)</f>
        <v/>
      </c>
      <c r="O106" s="680" t="str">
        <f>IF(TABLERO!DT106=0,"",TABLERO!DT106)</f>
        <v/>
      </c>
      <c r="P106" s="680" t="str">
        <f>IF(TABLERO!DU106=0,"",TABLERO!DU106)</f>
        <v/>
      </c>
      <c r="Q106" s="718" t="str">
        <f>IF(F106="","",TABLERO!O106)</f>
        <v/>
      </c>
      <c r="R106" s="720" t="str">
        <f>IF(TABLERO!CB106=0,"",TABLERO!CB106)</f>
        <v/>
      </c>
    </row>
    <row r="107" spans="1:18">
      <c r="A107" s="678" t="str">
        <f>TABLERO!B107&amp;IF(TABLERO!C107="","",","&amp;TABLERO!C107)&amp;IF(TABLERO!D107="","",","&amp;TABLERO!D107)</f>
        <v>77</v>
      </c>
      <c r="B107" s="718" t="str">
        <f>IF(F107="","",TABLERO!M107)</f>
        <v/>
      </c>
      <c r="C107" s="679" t="str">
        <f>IF(F107="","",TABLERO!I107)</f>
        <v/>
      </c>
      <c r="D107" s="680" t="str">
        <f>IF(F107="","",TABLERO!K107)</f>
        <v/>
      </c>
      <c r="E107" s="718" t="str">
        <f>IF(F107="","",TABLERO!N107)</f>
        <v/>
      </c>
      <c r="F107" s="718" t="str">
        <f>TABLERO!BX107</f>
        <v/>
      </c>
      <c r="G107" s="680" t="str">
        <f>IF(TABLERO!BU107=0,"",TABLERO!BU107)</f>
        <v/>
      </c>
      <c r="H107" s="719" t="str">
        <f>IF(TABLERO!DO107=0,"",TABLERO!DO107)</f>
        <v/>
      </c>
      <c r="I107" s="719" t="str">
        <f>IF(TABLERO!DP107=0,"",TABLERO!DP107)</f>
        <v/>
      </c>
      <c r="J107" s="680" t="str">
        <f>IF(TABLERO!DQ107=0,"",TABLERO!DQ107)</f>
        <v/>
      </c>
      <c r="K107" s="680" t="str">
        <f>IF(TABLERO!DR107=0,"",TABLERO!DR107)</f>
        <v/>
      </c>
      <c r="L107" s="680" t="str">
        <f>IF(TABLERO!DS107=0,"",TABLERO!DS107)</f>
        <v/>
      </c>
      <c r="M107" s="680" t="str">
        <f>IF(TABLERO!BZ107=0,"",TABLERO!BZ107)</f>
        <v/>
      </c>
      <c r="N107" s="679" t="str">
        <f>IF(TABLERO!CA107=0,"",TABLERO!CA107)</f>
        <v/>
      </c>
      <c r="O107" s="680" t="str">
        <f>IF(TABLERO!DT107=0,"",TABLERO!DT107)</f>
        <v/>
      </c>
      <c r="P107" s="680" t="str">
        <f>IF(TABLERO!DU107=0,"",TABLERO!DU107)</f>
        <v/>
      </c>
      <c r="Q107" s="718" t="str">
        <f>IF(F107="","",TABLERO!O107)</f>
        <v/>
      </c>
      <c r="R107" s="720" t="str">
        <f>IF(TABLERO!CB107=0,"",TABLERO!CB107)</f>
        <v/>
      </c>
    </row>
    <row r="108" spans="1:18">
      <c r="A108" s="678" t="str">
        <f>TABLERO!B108&amp;IF(TABLERO!C108="","",","&amp;TABLERO!C108)&amp;IF(TABLERO!D108="","",","&amp;TABLERO!D108)</f>
        <v>78</v>
      </c>
      <c r="B108" s="718" t="str">
        <f>IF(F108="","",TABLERO!M108)</f>
        <v/>
      </c>
      <c r="C108" s="679" t="str">
        <f>IF(F108="","",TABLERO!I108)</f>
        <v/>
      </c>
      <c r="D108" s="680" t="str">
        <f>IF(F108="","",TABLERO!K108)</f>
        <v/>
      </c>
      <c r="E108" s="718" t="str">
        <f>IF(F108="","",TABLERO!N108)</f>
        <v/>
      </c>
      <c r="F108" s="718" t="str">
        <f>TABLERO!BX108</f>
        <v/>
      </c>
      <c r="G108" s="680" t="str">
        <f>IF(TABLERO!BU108=0,"",TABLERO!BU108)</f>
        <v/>
      </c>
      <c r="H108" s="719" t="str">
        <f>IF(TABLERO!DO108=0,"",TABLERO!DO108)</f>
        <v/>
      </c>
      <c r="I108" s="719" t="str">
        <f>IF(TABLERO!DP108=0,"",TABLERO!DP108)</f>
        <v/>
      </c>
      <c r="J108" s="680" t="str">
        <f>IF(TABLERO!DQ108=0,"",TABLERO!DQ108)</f>
        <v/>
      </c>
      <c r="K108" s="680" t="str">
        <f>IF(TABLERO!DR108=0,"",TABLERO!DR108)</f>
        <v/>
      </c>
      <c r="L108" s="680" t="str">
        <f>IF(TABLERO!DS108=0,"",TABLERO!DS108)</f>
        <v/>
      </c>
      <c r="M108" s="680" t="str">
        <f>IF(TABLERO!BZ108=0,"",TABLERO!BZ108)</f>
        <v/>
      </c>
      <c r="N108" s="679" t="str">
        <f>IF(TABLERO!CA108=0,"",TABLERO!CA108)</f>
        <v/>
      </c>
      <c r="O108" s="680" t="str">
        <f>IF(TABLERO!DT108=0,"",TABLERO!DT108)</f>
        <v/>
      </c>
      <c r="P108" s="680" t="str">
        <f>IF(TABLERO!DU108=0,"",TABLERO!DU108)</f>
        <v/>
      </c>
      <c r="Q108" s="718" t="str">
        <f>IF(F108="","",TABLERO!O108)</f>
        <v/>
      </c>
      <c r="R108" s="720" t="str">
        <f>IF(TABLERO!CB108=0,"",TABLERO!CB108)</f>
        <v/>
      </c>
    </row>
    <row r="109" spans="1:18">
      <c r="A109" s="678" t="str">
        <f>TABLERO!B109&amp;IF(TABLERO!C109="","",","&amp;TABLERO!C109)&amp;IF(TABLERO!D109="","",","&amp;TABLERO!D109)</f>
        <v>79</v>
      </c>
      <c r="B109" s="718" t="str">
        <f>IF(F109="","",TABLERO!M109)</f>
        <v/>
      </c>
      <c r="C109" s="679" t="str">
        <f>IF(F109="","",TABLERO!I109)</f>
        <v/>
      </c>
      <c r="D109" s="680" t="str">
        <f>IF(F109="","",TABLERO!K109)</f>
        <v/>
      </c>
      <c r="E109" s="718" t="str">
        <f>IF(F109="","",TABLERO!N109)</f>
        <v/>
      </c>
      <c r="F109" s="718" t="str">
        <f>TABLERO!BX109</f>
        <v/>
      </c>
      <c r="G109" s="680" t="str">
        <f>IF(TABLERO!BU109=0,"",TABLERO!BU109)</f>
        <v/>
      </c>
      <c r="H109" s="719" t="str">
        <f>IF(TABLERO!DO109=0,"",TABLERO!DO109)</f>
        <v/>
      </c>
      <c r="I109" s="719" t="str">
        <f>IF(TABLERO!DP109=0,"",TABLERO!DP109)</f>
        <v/>
      </c>
      <c r="J109" s="680" t="str">
        <f>IF(TABLERO!DQ109=0,"",TABLERO!DQ109)</f>
        <v/>
      </c>
      <c r="K109" s="680" t="str">
        <f>IF(TABLERO!DR109=0,"",TABLERO!DR109)</f>
        <v/>
      </c>
      <c r="L109" s="680" t="str">
        <f>IF(TABLERO!DS109=0,"",TABLERO!DS109)</f>
        <v/>
      </c>
      <c r="M109" s="680" t="str">
        <f>IF(TABLERO!BZ109=0,"",TABLERO!BZ109)</f>
        <v/>
      </c>
      <c r="N109" s="679" t="str">
        <f>IF(TABLERO!CA109=0,"",TABLERO!CA109)</f>
        <v/>
      </c>
      <c r="O109" s="680" t="str">
        <f>IF(TABLERO!DT109=0,"",TABLERO!DT109)</f>
        <v/>
      </c>
      <c r="P109" s="680" t="str">
        <f>IF(TABLERO!DU109=0,"",TABLERO!DU109)</f>
        <v/>
      </c>
      <c r="Q109" s="718" t="str">
        <f>IF(F109="","",TABLERO!O109)</f>
        <v/>
      </c>
      <c r="R109" s="720" t="str">
        <f>IF(TABLERO!CB109=0,"",TABLERO!CB109)</f>
        <v/>
      </c>
    </row>
    <row r="110" spans="1:18">
      <c r="A110" s="678" t="str">
        <f>TABLERO!B110&amp;IF(TABLERO!C110="","",","&amp;TABLERO!C110)&amp;IF(TABLERO!D110="","",","&amp;TABLERO!D110)</f>
        <v>80</v>
      </c>
      <c r="B110" s="718" t="str">
        <f>IF(F110="","",TABLERO!M110)</f>
        <v/>
      </c>
      <c r="C110" s="679" t="str">
        <f>IF(F110="","",TABLERO!I110)</f>
        <v/>
      </c>
      <c r="D110" s="680" t="str">
        <f>IF(F110="","",TABLERO!K110)</f>
        <v/>
      </c>
      <c r="E110" s="718" t="str">
        <f>IF(F110="","",TABLERO!N110)</f>
        <v/>
      </c>
      <c r="F110" s="718" t="str">
        <f>TABLERO!BX110</f>
        <v/>
      </c>
      <c r="G110" s="680" t="str">
        <f>IF(TABLERO!BU110=0,"",TABLERO!BU110)</f>
        <v/>
      </c>
      <c r="H110" s="719" t="str">
        <f>IF(TABLERO!DO110=0,"",TABLERO!DO110)</f>
        <v/>
      </c>
      <c r="I110" s="719" t="str">
        <f>IF(TABLERO!DP110=0,"",TABLERO!DP110)</f>
        <v/>
      </c>
      <c r="J110" s="680" t="str">
        <f>IF(TABLERO!DQ110=0,"",TABLERO!DQ110)</f>
        <v/>
      </c>
      <c r="K110" s="680" t="str">
        <f>IF(TABLERO!DR110=0,"",TABLERO!DR110)</f>
        <v/>
      </c>
      <c r="L110" s="680" t="str">
        <f>IF(TABLERO!DS110=0,"",TABLERO!DS110)</f>
        <v/>
      </c>
      <c r="M110" s="680" t="str">
        <f>IF(TABLERO!BZ110=0,"",TABLERO!BZ110)</f>
        <v/>
      </c>
      <c r="N110" s="679" t="str">
        <f>IF(TABLERO!CA110=0,"",TABLERO!CA110)</f>
        <v/>
      </c>
      <c r="O110" s="680" t="str">
        <f>IF(TABLERO!DT110=0,"",TABLERO!DT110)</f>
        <v/>
      </c>
      <c r="P110" s="680" t="str">
        <f>IF(TABLERO!DU110=0,"",TABLERO!DU110)</f>
        <v/>
      </c>
      <c r="Q110" s="718" t="str">
        <f>IF(F110="","",TABLERO!O110)</f>
        <v/>
      </c>
      <c r="R110" s="720" t="str">
        <f>IF(TABLERO!CB110=0,"",TABLERO!CB110)</f>
        <v/>
      </c>
    </row>
    <row r="111" spans="1:18">
      <c r="A111" s="678" t="str">
        <f>TABLERO!B111&amp;IF(TABLERO!C111="","",","&amp;TABLERO!C111)&amp;IF(TABLERO!D111="","",","&amp;TABLERO!D111)</f>
        <v>81</v>
      </c>
      <c r="B111" s="718" t="str">
        <f>IF(F111="","",TABLERO!M111)</f>
        <v/>
      </c>
      <c r="C111" s="679" t="str">
        <f>IF(F111="","",TABLERO!I111)</f>
        <v/>
      </c>
      <c r="D111" s="680" t="str">
        <f>IF(F111="","",TABLERO!K111)</f>
        <v/>
      </c>
      <c r="E111" s="718" t="str">
        <f>IF(F111="","",TABLERO!N111)</f>
        <v/>
      </c>
      <c r="F111" s="718" t="str">
        <f>TABLERO!BX111</f>
        <v/>
      </c>
      <c r="G111" s="680" t="str">
        <f>IF(TABLERO!BU111=0,"",TABLERO!BU111)</f>
        <v/>
      </c>
      <c r="H111" s="719" t="str">
        <f>IF(TABLERO!DO111=0,"",TABLERO!DO111)</f>
        <v/>
      </c>
      <c r="I111" s="719" t="str">
        <f>IF(TABLERO!DP111=0,"",TABLERO!DP111)</f>
        <v/>
      </c>
      <c r="J111" s="680" t="str">
        <f>IF(TABLERO!DQ111=0,"",TABLERO!DQ111)</f>
        <v/>
      </c>
      <c r="K111" s="680" t="str">
        <f>IF(TABLERO!DR111=0,"",TABLERO!DR111)</f>
        <v/>
      </c>
      <c r="L111" s="680" t="str">
        <f>IF(TABLERO!DS111=0,"",TABLERO!DS111)</f>
        <v/>
      </c>
      <c r="M111" s="680" t="str">
        <f>IF(TABLERO!BZ111=0,"",TABLERO!BZ111)</f>
        <v/>
      </c>
      <c r="N111" s="679" t="str">
        <f>IF(TABLERO!CA111=0,"",TABLERO!CA111)</f>
        <v/>
      </c>
      <c r="O111" s="680" t="str">
        <f>IF(TABLERO!DT111=0,"",TABLERO!DT111)</f>
        <v/>
      </c>
      <c r="P111" s="680" t="str">
        <f>IF(TABLERO!DU111=0,"",TABLERO!DU111)</f>
        <v/>
      </c>
      <c r="Q111" s="718" t="str">
        <f>IF(F111="","",TABLERO!O111)</f>
        <v/>
      </c>
      <c r="R111" s="720" t="str">
        <f>IF(TABLERO!CB111=0,"",TABLERO!CB111)</f>
        <v/>
      </c>
    </row>
    <row r="112" spans="1:18">
      <c r="A112" s="678" t="str">
        <f>TABLERO!B112&amp;IF(TABLERO!C112="","",","&amp;TABLERO!C112)&amp;IF(TABLERO!D112="","",","&amp;TABLERO!D112)</f>
        <v>82</v>
      </c>
      <c r="B112" s="718" t="str">
        <f>IF(F112="","",TABLERO!M112)</f>
        <v/>
      </c>
      <c r="C112" s="679" t="str">
        <f>IF(F112="","",TABLERO!I112)</f>
        <v/>
      </c>
      <c r="D112" s="680" t="str">
        <f>IF(F112="","",TABLERO!K112)</f>
        <v/>
      </c>
      <c r="E112" s="718" t="str">
        <f>IF(F112="","",TABLERO!N112)</f>
        <v/>
      </c>
      <c r="F112" s="718" t="str">
        <f>TABLERO!BX112</f>
        <v/>
      </c>
      <c r="G112" s="680" t="str">
        <f>IF(TABLERO!BU112=0,"",TABLERO!BU112)</f>
        <v/>
      </c>
      <c r="H112" s="719" t="str">
        <f>IF(TABLERO!DO112=0,"",TABLERO!DO112)</f>
        <v/>
      </c>
      <c r="I112" s="719" t="str">
        <f>IF(TABLERO!DP112=0,"",TABLERO!DP112)</f>
        <v/>
      </c>
      <c r="J112" s="680" t="str">
        <f>IF(TABLERO!DQ112=0,"",TABLERO!DQ112)</f>
        <v/>
      </c>
      <c r="K112" s="680" t="str">
        <f>IF(TABLERO!DR112=0,"",TABLERO!DR112)</f>
        <v/>
      </c>
      <c r="L112" s="680" t="str">
        <f>IF(TABLERO!DS112=0,"",TABLERO!DS112)</f>
        <v/>
      </c>
      <c r="M112" s="680" t="str">
        <f>IF(TABLERO!BZ112=0,"",TABLERO!BZ112)</f>
        <v/>
      </c>
      <c r="N112" s="679" t="str">
        <f>IF(TABLERO!CA112=0,"",TABLERO!CA112)</f>
        <v/>
      </c>
      <c r="O112" s="680" t="str">
        <f>IF(TABLERO!DT112=0,"",TABLERO!DT112)</f>
        <v/>
      </c>
      <c r="P112" s="680" t="str">
        <f>IF(TABLERO!DU112=0,"",TABLERO!DU112)</f>
        <v/>
      </c>
      <c r="Q112" s="718" t="str">
        <f>IF(F112="","",TABLERO!O112)</f>
        <v/>
      </c>
      <c r="R112" s="720" t="str">
        <f>IF(TABLERO!CB112=0,"",TABLERO!CB112)</f>
        <v/>
      </c>
    </row>
    <row r="113" spans="1:18">
      <c r="A113" s="678" t="str">
        <f>TABLERO!B113&amp;IF(TABLERO!C113="","",","&amp;TABLERO!C113)&amp;IF(TABLERO!D113="","",","&amp;TABLERO!D113)</f>
        <v>83</v>
      </c>
      <c r="B113" s="718" t="str">
        <f>IF(F113="","",TABLERO!M113)</f>
        <v/>
      </c>
      <c r="C113" s="679" t="str">
        <f>IF(F113="","",TABLERO!I113)</f>
        <v/>
      </c>
      <c r="D113" s="680" t="str">
        <f>IF(F113="","",TABLERO!K113)</f>
        <v/>
      </c>
      <c r="E113" s="718" t="str">
        <f>IF(F113="","",TABLERO!N113)</f>
        <v/>
      </c>
      <c r="F113" s="718" t="str">
        <f>TABLERO!BX113</f>
        <v/>
      </c>
      <c r="G113" s="680" t="str">
        <f>IF(TABLERO!BU113=0,"",TABLERO!BU113)</f>
        <v/>
      </c>
      <c r="H113" s="719" t="str">
        <f>IF(TABLERO!DO113=0,"",TABLERO!DO113)</f>
        <v/>
      </c>
      <c r="I113" s="719" t="str">
        <f>IF(TABLERO!DP113=0,"",TABLERO!DP113)</f>
        <v/>
      </c>
      <c r="J113" s="680" t="str">
        <f>IF(TABLERO!DQ113=0,"",TABLERO!DQ113)</f>
        <v/>
      </c>
      <c r="K113" s="680" t="str">
        <f>IF(TABLERO!DR113=0,"",TABLERO!DR113)</f>
        <v/>
      </c>
      <c r="L113" s="680" t="str">
        <f>IF(TABLERO!DS113=0,"",TABLERO!DS113)</f>
        <v/>
      </c>
      <c r="M113" s="680" t="str">
        <f>IF(TABLERO!BZ113=0,"",TABLERO!BZ113)</f>
        <v/>
      </c>
      <c r="N113" s="679" t="str">
        <f>IF(TABLERO!CA113=0,"",TABLERO!CA113)</f>
        <v/>
      </c>
      <c r="O113" s="680" t="str">
        <f>IF(TABLERO!DT113=0,"",TABLERO!DT113)</f>
        <v/>
      </c>
      <c r="P113" s="680" t="str">
        <f>IF(TABLERO!DU113=0,"",TABLERO!DU113)</f>
        <v/>
      </c>
      <c r="Q113" s="718" t="str">
        <f>IF(F113="","",TABLERO!O113)</f>
        <v/>
      </c>
      <c r="R113" s="720" t="str">
        <f>IF(TABLERO!CB113=0,"",TABLERO!CB113)</f>
        <v/>
      </c>
    </row>
    <row r="114" spans="1:18">
      <c r="A114" s="678" t="str">
        <f>TABLERO!B114&amp;IF(TABLERO!C114="","",","&amp;TABLERO!C114)&amp;IF(TABLERO!D114="","",","&amp;TABLERO!D114)</f>
        <v>84</v>
      </c>
      <c r="B114" s="718" t="str">
        <f>IF(F114="","",TABLERO!M114)</f>
        <v/>
      </c>
      <c r="C114" s="679" t="str">
        <f>IF(F114="","",TABLERO!I114)</f>
        <v/>
      </c>
      <c r="D114" s="680" t="str">
        <f>IF(F114="","",TABLERO!K114)</f>
        <v/>
      </c>
      <c r="E114" s="718" t="str">
        <f>IF(F114="","",TABLERO!N114)</f>
        <v/>
      </c>
      <c r="F114" s="718" t="str">
        <f>TABLERO!BX114</f>
        <v/>
      </c>
      <c r="G114" s="680" t="str">
        <f>IF(TABLERO!BU114=0,"",TABLERO!BU114)</f>
        <v/>
      </c>
      <c r="H114" s="719" t="str">
        <f>IF(TABLERO!DO114=0,"",TABLERO!DO114)</f>
        <v/>
      </c>
      <c r="I114" s="719" t="str">
        <f>IF(TABLERO!DP114=0,"",TABLERO!DP114)</f>
        <v/>
      </c>
      <c r="J114" s="680" t="str">
        <f>IF(TABLERO!DQ114=0,"",TABLERO!DQ114)</f>
        <v/>
      </c>
      <c r="K114" s="680" t="str">
        <f>IF(TABLERO!DR114=0,"",TABLERO!DR114)</f>
        <v/>
      </c>
      <c r="L114" s="680" t="str">
        <f>IF(TABLERO!DS114=0,"",TABLERO!DS114)</f>
        <v/>
      </c>
      <c r="M114" s="680" t="str">
        <f>IF(TABLERO!BZ114=0,"",TABLERO!BZ114)</f>
        <v/>
      </c>
      <c r="N114" s="679" t="str">
        <f>IF(TABLERO!CA114=0,"",TABLERO!CA114)</f>
        <v/>
      </c>
      <c r="O114" s="680" t="str">
        <f>IF(TABLERO!DT114=0,"",TABLERO!DT114)</f>
        <v/>
      </c>
      <c r="P114" s="680" t="str">
        <f>IF(TABLERO!DU114=0,"",TABLERO!DU114)</f>
        <v/>
      </c>
      <c r="Q114" s="718" t="str">
        <f>IF(F114="","",TABLERO!O114)</f>
        <v/>
      </c>
      <c r="R114" s="720" t="str">
        <f>IF(TABLERO!CB114=0,"",TABLERO!CB114)</f>
        <v/>
      </c>
    </row>
    <row r="115" spans="1:18" ht="13.8" thickBot="1">
      <c r="A115" s="678"/>
      <c r="B115" s="718"/>
      <c r="C115" s="679"/>
      <c r="D115" s="680"/>
      <c r="E115" s="718"/>
      <c r="F115" s="718"/>
      <c r="G115" s="680"/>
      <c r="H115" s="719"/>
      <c r="I115" s="719"/>
      <c r="J115" s="680"/>
      <c r="K115" s="680"/>
      <c r="L115" s="680"/>
      <c r="M115" s="680"/>
      <c r="N115" s="679"/>
      <c r="O115" s="680"/>
      <c r="P115" s="680"/>
      <c r="Q115" s="718"/>
      <c r="R115" s="720"/>
    </row>
    <row r="116" spans="1:18" hidden="1">
      <c r="A116" s="678"/>
      <c r="B116" s="718">
        <f>TABLERO!M116</f>
        <v>1</v>
      </c>
      <c r="C116" s="679" t="str">
        <f>TABLERO!I116</f>
        <v>AL</v>
      </c>
      <c r="D116" s="680">
        <f>TABLERO!K116</f>
        <v>120</v>
      </c>
      <c r="E116" s="718">
        <f>TABLERO!N116</f>
        <v>2</v>
      </c>
      <c r="F116" s="718">
        <f>TABLERO!BX116</f>
        <v>500</v>
      </c>
      <c r="G116" s="680">
        <f>TABLERO!BU116</f>
        <v>218.23558124598586</v>
      </c>
      <c r="H116" s="719">
        <f>TABLERO!DO116</f>
        <v>0.14799999999999999</v>
      </c>
      <c r="I116" s="719">
        <f>TABLERO!DP116</f>
        <v>0.157</v>
      </c>
      <c r="J116" s="680">
        <f>TABLERO!DQ116</f>
        <v>23.95</v>
      </c>
      <c r="K116" s="680">
        <f>TABLERO!DR116</f>
        <v>450.50740350000001</v>
      </c>
      <c r="L116" s="680">
        <f>TABLERO!DS116</f>
        <v>4.5676015898667206</v>
      </c>
      <c r="M116" s="680">
        <f>TABLERO!BZ116</f>
        <v>2.0761825408485093</v>
      </c>
      <c r="N116" s="679" t="str">
        <f>TABLERO!CA116</f>
        <v>1/0</v>
      </c>
      <c r="O116" s="680">
        <f>TABLERO!DT116</f>
        <v>53.5</v>
      </c>
      <c r="P116" s="680">
        <f>TABLERO!DU116</f>
        <v>3657.5592280000001</v>
      </c>
      <c r="Q116" s="718">
        <f>TABLERO!O116</f>
        <v>1</v>
      </c>
      <c r="R116" s="720" t="str">
        <f>TABLERO!CB116</f>
        <v>MC-STABILOY</v>
      </c>
    </row>
    <row r="117" spans="1:18" hidden="1">
      <c r="A117" s="678"/>
      <c r="B117" s="718"/>
      <c r="C117" s="679"/>
      <c r="D117" s="680"/>
      <c r="E117" s="718"/>
      <c r="F117" s="718"/>
      <c r="G117" s="680"/>
      <c r="H117" s="719"/>
      <c r="I117" s="719"/>
      <c r="J117" s="680"/>
      <c r="K117" s="680"/>
      <c r="L117" s="680"/>
      <c r="M117" s="680"/>
      <c r="N117" s="679"/>
      <c r="O117" s="680"/>
      <c r="P117" s="680"/>
      <c r="Q117" s="718"/>
      <c r="R117" s="720"/>
    </row>
    <row r="118" spans="1:18" hidden="1">
      <c r="A118" s="678"/>
      <c r="B118" s="718">
        <f>TABLERO!M118</f>
        <v>1</v>
      </c>
      <c r="C118" s="679" t="str">
        <f>TABLERO!I118</f>
        <v>AL</v>
      </c>
      <c r="D118" s="680">
        <f>TABLERO!K118</f>
        <v>8</v>
      </c>
      <c r="E118" s="718">
        <f>TABLERO!N118</f>
        <v>1</v>
      </c>
      <c r="F118" s="718" t="str">
        <f>TABLERO!BX118</f>
        <v>3/0</v>
      </c>
      <c r="G118" s="680">
        <f>TABLERO!BU118</f>
        <v>218.23558124598586</v>
      </c>
      <c r="H118" s="719">
        <f>TABLERO!DO118</f>
        <v>0.43</v>
      </c>
      <c r="I118" s="719">
        <f>TABLERO!DP118</f>
        <v>0.17100000000000001</v>
      </c>
      <c r="J118" s="680">
        <f>TABLERO!DQ118</f>
        <v>14.73</v>
      </c>
      <c r="K118" s="680">
        <f>TABLERO!DR118</f>
        <v>170.41051566000002</v>
      </c>
      <c r="L118" s="680">
        <f>TABLERO!DS118</f>
        <v>1.3940178484952943</v>
      </c>
      <c r="M118" s="680">
        <f>TABLERO!BZ118</f>
        <v>0.6336444765887701</v>
      </c>
      <c r="N118" s="679">
        <f>TABLERO!CA118</f>
        <v>4</v>
      </c>
      <c r="O118" s="680">
        <f>TABLERO!DT118</f>
        <v>21.2</v>
      </c>
      <c r="P118" s="680">
        <f>TABLERO!DU118</f>
        <v>702.84206264000011</v>
      </c>
      <c r="Q118" s="718">
        <f>TABLERO!O118</f>
        <v>1</v>
      </c>
      <c r="R118" s="720" t="str">
        <f>TABLERO!CB118</f>
        <v>MC-STABILOY</v>
      </c>
    </row>
    <row r="119" spans="1:18" hidden="1">
      <c r="A119" s="678"/>
      <c r="B119" s="718"/>
      <c r="C119" s="679"/>
      <c r="D119" s="680"/>
      <c r="E119" s="718"/>
      <c r="F119" s="718"/>
      <c r="G119" s="680"/>
      <c r="H119" s="719"/>
      <c r="I119" s="719"/>
      <c r="J119" s="680"/>
      <c r="K119" s="680"/>
      <c r="L119" s="680"/>
      <c r="M119" s="680"/>
      <c r="N119" s="679"/>
      <c r="O119" s="680"/>
      <c r="P119" s="680"/>
      <c r="Q119" s="718"/>
      <c r="R119" s="720"/>
    </row>
    <row r="120" spans="1:18" hidden="1">
      <c r="A120" s="678"/>
      <c r="B120" s="718">
        <f>TABLERO!M120</f>
        <v>1</v>
      </c>
      <c r="C120" s="679" t="str">
        <f>TABLERO!I120</f>
        <v>AL</v>
      </c>
      <c r="D120" s="680">
        <f>TABLERO!K120</f>
        <v>230</v>
      </c>
      <c r="E120" s="718">
        <f>TABLERO!N120</f>
        <v>2</v>
      </c>
      <c r="F120" s="718" t="str">
        <f>TABLERO!BX120</f>
        <v>3/0</v>
      </c>
      <c r="G120" s="680">
        <f>TABLERO!BU120</f>
        <v>100.02464140441019</v>
      </c>
      <c r="H120" s="719">
        <f>TABLERO!DO120</f>
        <v>0.43</v>
      </c>
      <c r="I120" s="719">
        <f>TABLERO!DP120</f>
        <v>0.17100000000000001</v>
      </c>
      <c r="J120" s="680">
        <f>TABLERO!DQ120</f>
        <v>14.73</v>
      </c>
      <c r="K120" s="680">
        <f>TABLERO!DR120</f>
        <v>170.41051566000002</v>
      </c>
      <c r="L120" s="680">
        <f>TABLERO!DS120</f>
        <v>9.184544678888269</v>
      </c>
      <c r="M120" s="680">
        <f>TABLERO!BZ120</f>
        <v>1.9134468081017226</v>
      </c>
      <c r="N120" s="679">
        <f>TABLERO!CA120</f>
        <v>4</v>
      </c>
      <c r="O120" s="680">
        <f>TABLERO!DT120</f>
        <v>21.2</v>
      </c>
      <c r="P120" s="680">
        <f>TABLERO!DU120</f>
        <v>532.43154698000012</v>
      </c>
      <c r="Q120" s="718">
        <f>TABLERO!O120</f>
        <v>2</v>
      </c>
      <c r="R120" s="720" t="str">
        <f>TABLERO!CB120</f>
        <v>MC-STABILOY</v>
      </c>
    </row>
    <row r="121" spans="1:18" hidden="1">
      <c r="A121" s="678"/>
      <c r="B121" s="718"/>
      <c r="C121" s="679"/>
      <c r="D121" s="680"/>
      <c r="E121" s="718"/>
      <c r="F121" s="718"/>
      <c r="G121" s="680"/>
      <c r="H121" s="719"/>
      <c r="I121" s="719"/>
      <c r="J121" s="680"/>
      <c r="K121" s="680"/>
      <c r="L121" s="680"/>
      <c r="M121" s="680"/>
      <c r="N121" s="679"/>
      <c r="O121" s="680"/>
      <c r="P121" s="680"/>
      <c r="Q121" s="718"/>
      <c r="R121" s="720"/>
    </row>
    <row r="122" spans="1:18" hidden="1">
      <c r="A122" s="678"/>
      <c r="B122" s="718">
        <f>TABLERO!M122</f>
        <v>1</v>
      </c>
      <c r="C122" s="679" t="str">
        <f>TABLERO!I122</f>
        <v>AL</v>
      </c>
      <c r="D122" s="680">
        <f>TABLERO!K122</f>
        <v>30</v>
      </c>
      <c r="E122" s="718">
        <f>TABLERO!N122</f>
        <v>2</v>
      </c>
      <c r="F122" s="718">
        <f>TABLERO!BX122</f>
        <v>500</v>
      </c>
      <c r="G122" s="680">
        <f>TABLERO!BU122</f>
        <v>218.23558124598586</v>
      </c>
      <c r="H122" s="719">
        <f>TABLERO!DO122</f>
        <v>0.14799999999999999</v>
      </c>
      <c r="I122" s="719">
        <f>TABLERO!DP122</f>
        <v>0.157</v>
      </c>
      <c r="J122" s="680">
        <f>TABLERO!DQ122</f>
        <v>23.95</v>
      </c>
      <c r="K122" s="680">
        <f>TABLERO!DR122</f>
        <v>450.50740350000001</v>
      </c>
      <c r="L122" s="680">
        <f>TABLERO!DS122</f>
        <v>1.1419003974666802</v>
      </c>
      <c r="M122" s="680">
        <f>TABLERO!BZ122</f>
        <v>0.51904563521212732</v>
      </c>
      <c r="N122" s="679" t="str">
        <f>TABLERO!CA122</f>
        <v>1/0</v>
      </c>
      <c r="O122" s="680">
        <f>TABLERO!DT122</f>
        <v>53.5</v>
      </c>
      <c r="P122" s="680">
        <f>TABLERO!DU122</f>
        <v>3657.5592280000001</v>
      </c>
      <c r="Q122" s="718">
        <f>TABLERO!O122</f>
        <v>1</v>
      </c>
      <c r="R122" s="720" t="str">
        <f>TABLERO!CB122</f>
        <v>MC-STABILOY</v>
      </c>
    </row>
    <row r="123" spans="1:18" hidden="1">
      <c r="A123" s="678"/>
      <c r="B123" s="718"/>
      <c r="C123" s="679"/>
      <c r="D123" s="680"/>
      <c r="E123" s="718"/>
      <c r="F123" s="718"/>
      <c r="G123" s="680"/>
      <c r="H123" s="719"/>
      <c r="I123" s="719"/>
      <c r="J123" s="680"/>
      <c r="K123" s="680"/>
      <c r="L123" s="680"/>
      <c r="M123" s="680"/>
      <c r="N123" s="679"/>
      <c r="O123" s="680"/>
      <c r="P123" s="680"/>
      <c r="Q123" s="718"/>
      <c r="R123" s="720"/>
    </row>
    <row r="124" spans="1:18" hidden="1">
      <c r="A124" s="678"/>
      <c r="B124" s="718">
        <f>TABLERO!M124</f>
        <v>1</v>
      </c>
      <c r="C124" s="679" t="str">
        <f>TABLERO!I124</f>
        <v>AL</v>
      </c>
      <c r="D124" s="680">
        <f>TABLERO!K124</f>
        <v>12</v>
      </c>
      <c r="E124" s="718">
        <f>TABLERO!N124</f>
        <v>2</v>
      </c>
      <c r="F124" s="718">
        <f>TABLERO!BX124</f>
        <v>500</v>
      </c>
      <c r="G124" s="680">
        <f>TABLERO!BU124</f>
        <v>218.23558124598586</v>
      </c>
      <c r="H124" s="719">
        <f>TABLERO!DO124</f>
        <v>0.14799999999999999</v>
      </c>
      <c r="I124" s="719">
        <f>TABLERO!DP124</f>
        <v>0.157</v>
      </c>
      <c r="J124" s="680">
        <f>TABLERO!DQ124</f>
        <v>23.95</v>
      </c>
      <c r="K124" s="680">
        <f>TABLERO!DR124</f>
        <v>450.50740350000001</v>
      </c>
      <c r="L124" s="680">
        <f>TABLERO!DS124</f>
        <v>0.45676015898667199</v>
      </c>
      <c r="M124" s="680">
        <f>TABLERO!BZ124</f>
        <v>0.20761825408485091</v>
      </c>
      <c r="N124" s="679" t="str">
        <f>TABLERO!CA124</f>
        <v>1/0</v>
      </c>
      <c r="O124" s="680">
        <f>TABLERO!DT124</f>
        <v>53.5</v>
      </c>
      <c r="P124" s="680">
        <f>TABLERO!DU124</f>
        <v>3657.5592280000001</v>
      </c>
      <c r="Q124" s="718">
        <f>TABLERO!O124</f>
        <v>1</v>
      </c>
      <c r="R124" s="720" t="str">
        <f>TABLERO!CB124</f>
        <v>MC-STABILOY</v>
      </c>
    </row>
    <row r="125" spans="1:18" hidden="1">
      <c r="A125" s="678"/>
      <c r="B125" s="718"/>
      <c r="C125" s="679"/>
      <c r="D125" s="680"/>
      <c r="E125" s="718"/>
      <c r="F125" s="718"/>
      <c r="G125" s="680"/>
      <c r="H125" s="719"/>
      <c r="I125" s="719"/>
      <c r="J125" s="680"/>
      <c r="K125" s="680"/>
      <c r="L125" s="680"/>
      <c r="M125" s="680"/>
      <c r="N125" s="679"/>
      <c r="O125" s="680"/>
      <c r="P125" s="680"/>
      <c r="Q125" s="718"/>
      <c r="R125" s="720"/>
    </row>
    <row r="126" spans="1:18" hidden="1">
      <c r="A126" s="678"/>
      <c r="B126" s="718">
        <f>TABLERO!M126</f>
        <v>1</v>
      </c>
      <c r="C126" s="679" t="str">
        <f>TABLERO!I126</f>
        <v>AL</v>
      </c>
      <c r="D126" s="680">
        <f>TABLERO!K126</f>
        <v>6</v>
      </c>
      <c r="E126" s="718">
        <f>TABLERO!N126</f>
        <v>2</v>
      </c>
      <c r="F126" s="718">
        <f>TABLERO!BX126</f>
        <v>500</v>
      </c>
      <c r="G126" s="680">
        <f>TABLERO!BU126</f>
        <v>218.23558124598586</v>
      </c>
      <c r="H126" s="719">
        <f>TABLERO!DO126</f>
        <v>0.14799999999999999</v>
      </c>
      <c r="I126" s="719">
        <f>TABLERO!DP126</f>
        <v>0.157</v>
      </c>
      <c r="J126" s="680">
        <f>TABLERO!DQ126</f>
        <v>23.95</v>
      </c>
      <c r="K126" s="680">
        <f>TABLERO!DR126</f>
        <v>450.50740350000001</v>
      </c>
      <c r="L126" s="680">
        <f>TABLERO!DS126</f>
        <v>0.228380079493336</v>
      </c>
      <c r="M126" s="680">
        <f>TABLERO!BZ126</f>
        <v>0.10380912704242545</v>
      </c>
      <c r="N126" s="679" t="str">
        <f>TABLERO!CA126</f>
        <v>1/0</v>
      </c>
      <c r="O126" s="680">
        <f>TABLERO!DT126</f>
        <v>53.5</v>
      </c>
      <c r="P126" s="680">
        <f>TABLERO!DU126</f>
        <v>3657.5592280000001</v>
      </c>
      <c r="Q126" s="718">
        <f>TABLERO!O126</f>
        <v>1</v>
      </c>
      <c r="R126" s="720" t="str">
        <f>TABLERO!CB126</f>
        <v>MC-STABILOY</v>
      </c>
    </row>
    <row r="127" spans="1:18" hidden="1">
      <c r="A127" s="678"/>
      <c r="B127" s="718"/>
      <c r="C127" s="679"/>
      <c r="D127" s="680"/>
      <c r="E127" s="718"/>
      <c r="F127" s="718"/>
      <c r="G127" s="680"/>
      <c r="H127" s="719"/>
      <c r="I127" s="719"/>
      <c r="J127" s="680"/>
      <c r="K127" s="680"/>
      <c r="L127" s="680"/>
      <c r="M127" s="680"/>
      <c r="N127" s="679"/>
      <c r="O127" s="680"/>
      <c r="P127" s="680"/>
      <c r="Q127" s="718"/>
      <c r="R127" s="720"/>
    </row>
    <row r="128" spans="1:18" ht="13.8" hidden="1" thickBot="1">
      <c r="A128" s="678"/>
      <c r="B128" s="718">
        <f>TABLERO!M128</f>
        <v>1</v>
      </c>
      <c r="C128" s="679" t="str">
        <f>TABLERO!I128</f>
        <v>AL</v>
      </c>
      <c r="D128" s="680">
        <f>TABLERO!K128</f>
        <v>6</v>
      </c>
      <c r="E128" s="718">
        <f>TABLERO!N128</f>
        <v>2</v>
      </c>
      <c r="F128" s="718">
        <f>TABLERO!BX128</f>
        <v>500</v>
      </c>
      <c r="G128" s="680">
        <f>TABLERO!BU128</f>
        <v>218.23558124598586</v>
      </c>
      <c r="H128" s="719">
        <f>TABLERO!DO128</f>
        <v>0.14799999999999999</v>
      </c>
      <c r="I128" s="719">
        <f>TABLERO!DP128</f>
        <v>0.157</v>
      </c>
      <c r="J128" s="680">
        <f>TABLERO!DQ128</f>
        <v>23.95</v>
      </c>
      <c r="K128" s="680">
        <f>TABLERO!DR128</f>
        <v>450.50740350000001</v>
      </c>
      <c r="L128" s="680">
        <f>TABLERO!DS128</f>
        <v>0.228380079493336</v>
      </c>
      <c r="M128" s="680">
        <f>TABLERO!BZ128</f>
        <v>0.10380912704242545</v>
      </c>
      <c r="N128" s="679" t="str">
        <f>TABLERO!CA128</f>
        <v>1/0</v>
      </c>
      <c r="O128" s="680">
        <f>TABLERO!DT128</f>
        <v>53.5</v>
      </c>
      <c r="P128" s="680">
        <f>TABLERO!DU128</f>
        <v>3657.5592280000001</v>
      </c>
      <c r="Q128" s="718">
        <f>TABLERO!O128</f>
        <v>1</v>
      </c>
      <c r="R128" s="720" t="str">
        <f>TABLERO!CB128</f>
        <v>MC-STABILOY</v>
      </c>
    </row>
    <row r="129" spans="1:18" ht="13.8" thickBot="1">
      <c r="A129" s="721"/>
      <c r="B129" s="722">
        <f>IF(TABLERO!$M$18="UPS",B126,IF(TABLERO!$M$18="REG",B126,IF(TABLERO!$M$18="TR",B118,IF(TABLERO!$M$18="PE",B122,B116))))</f>
        <v>1</v>
      </c>
      <c r="C129" s="722" t="str">
        <f>IF(TABLERO!$M$18="UPS",C126,IF(TABLERO!$M$18="REG",C126,IF(TABLERO!$M$18="TR",C118,IF(TABLERO!$M$18="PE",C122,C116))))</f>
        <v>AL</v>
      </c>
      <c r="D129" s="722">
        <f>IF(TABLERO!$M$18="UPS",D126,IF(TABLERO!$M$18="REG",D126,IF(TABLERO!$M$18="TR",D118,IF(TABLERO!$M$18="PE",D122,D116))))</f>
        <v>8</v>
      </c>
      <c r="E129" s="722">
        <f>IF(TABLERO!$M$18="UPS",E126,IF(TABLERO!$M$18="REG",E126,IF(TABLERO!$M$18="TR",E118,IF(TABLERO!$M$18="PE",E122,E116))))</f>
        <v>1</v>
      </c>
      <c r="F129" s="722" t="str">
        <f>IF(TABLERO!$M$18="UPS",F126,IF(TABLERO!$M$18="REG",F126,IF(TABLERO!$M$18="TR",F118,IF(TABLERO!$M$18="PE",F122,F116))))</f>
        <v>3/0</v>
      </c>
      <c r="G129" s="722">
        <f>IF(TABLERO!$M$18="UPS",G126,IF(TABLERO!$M$18="REG",G126,IF(TABLERO!$M$18="TR",G118,IF(TABLERO!$M$18="PE",G122,G116))))</f>
        <v>218.23558124598586</v>
      </c>
      <c r="H129" s="722">
        <f>IF(TABLERO!$M$18="UPS",H126,IF(TABLERO!$M$18="REG",H126,IF(TABLERO!$M$18="TR",H118,IF(TABLERO!$M$18="PE",H122,H116))))</f>
        <v>0.43</v>
      </c>
      <c r="I129" s="722">
        <f>IF(TABLERO!$M$18="UPS",I126,IF(TABLERO!$M$18="REG",I126,IF(TABLERO!$M$18="TR",I118,IF(TABLERO!$M$18="PE",I122,I116))))</f>
        <v>0.17100000000000001</v>
      </c>
      <c r="J129" s="722">
        <f>IF(TABLERO!$M$18="UPS",J126,IF(TABLERO!$M$18="REG",J126,IF(TABLERO!$M$18="TR",J118,IF(TABLERO!$M$18="PE",J122,J116))))</f>
        <v>14.73</v>
      </c>
      <c r="K129" s="722">
        <f>IF(TABLERO!$M$18="UPS",K126,IF(TABLERO!$M$18="REG",K126,IF(TABLERO!$M$18="TR",K118,IF(TABLERO!$M$18="PE",K122,K116))))</f>
        <v>170.41051566000002</v>
      </c>
      <c r="L129" s="722">
        <f>IF(TABLERO!$M$18="UPS",L126,IF(TABLERO!$M$18="REG",L126,IF(TABLERO!$M$18="TR",L118,IF(TABLERO!$M$18="PE",L122,L116))))</f>
        <v>1.3940178484952943</v>
      </c>
      <c r="M129" s="722">
        <f>IF(TABLERO!$M$18="UPS",M126,IF(TABLERO!$M$18="REG",M126,IF(TABLERO!$M$18="TR",M118,IF(TABLERO!$M$18="PE",M122,M116))))</f>
        <v>0.6336444765887701</v>
      </c>
      <c r="N129" s="722">
        <f>IF(TABLERO!$M$18="UPS",N126,IF(TABLERO!$M$18="REG",N126,IF(TABLERO!$M$18="TR",N118,IF(TABLERO!$M$18="PE",N122,N116))))</f>
        <v>4</v>
      </c>
      <c r="O129" s="722">
        <f>IF(TABLERO!$M$18="UPS",O126,IF(TABLERO!$M$18="REG",O126,IF(TABLERO!$M$18="TR",O118,IF(TABLERO!$M$18="PE",O122,O116))))</f>
        <v>21.2</v>
      </c>
      <c r="P129" s="722">
        <f>IF(TABLERO!$M$18="UPS",P126,IF(TABLERO!$M$18="REG",P126,IF(TABLERO!$M$18="TR",P118,IF(TABLERO!$M$18="PE",P122,P116))))</f>
        <v>702.84206264000011</v>
      </c>
      <c r="Q129" s="722">
        <f>IF(TABLERO!$M$18="UPS",Q126,IF(TABLERO!$M$18="REG",Q126,IF(TABLERO!$M$18="TR",Q118,IF(TABLERO!$M$18="PE",Q122,Q116))))</f>
        <v>1</v>
      </c>
      <c r="R129" s="722" t="str">
        <f>IF(TABLERO!$M$18="UPS",R126,IF(TABLERO!$M$18="REG",R126,IF(TABLERO!$M$18="TR",R118,IF(TABLERO!$M$18="PE",R122,R116))))</f>
        <v>MC-STABILOY</v>
      </c>
    </row>
  </sheetData>
  <sheetProtection algorithmName="SHA-512" hashValue="8xsNO7UVKd6MCobvZ0z7DYuNWmyX/YcYBJNohQmbZjQ3LikfOqrUNrD8KZdKDR7EImiGGJ1DDjT65/eE8ioyIg==" saltValue="b/lQoJfxe5AKx9WLFj/EsQ==" spinCount="100000" sheet="1"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5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>
    <tabColor indexed="49"/>
    <pageSetUpPr fitToPage="1"/>
  </sheetPr>
  <dimension ref="A2:R129"/>
  <sheetViews>
    <sheetView showGridLines="0" view="pageBreakPreview" zoomScale="80" zoomScaleNormal="80" workbookViewId="0">
      <pane xSplit="1" ySplit="29" topLeftCell="B30" activePane="bottomRight" state="frozen"/>
      <selection activeCell="A43" sqref="A43:IV114"/>
      <selection pane="topRight" activeCell="A43" sqref="A43:IV114"/>
      <selection pane="bottomLeft" activeCell="A43" sqref="A43:IV114"/>
      <selection pane="bottomRight" activeCell="A32" sqref="A32:A33"/>
    </sheetView>
  </sheetViews>
  <sheetFormatPr baseColWidth="10" defaultColWidth="11.44140625" defaultRowHeight="13.2"/>
  <cols>
    <col min="1" max="1" width="13.5546875" style="2" customWidth="1"/>
    <col min="2" max="3" width="11.44140625" style="2"/>
    <col min="4" max="4" width="11.44140625" style="4"/>
    <col min="5" max="7" width="11.44140625" style="2"/>
    <col min="8" max="9" width="11.44140625" style="15"/>
    <col min="10" max="13" width="11.44140625" style="4"/>
    <col min="14" max="14" width="11.44140625" style="2"/>
    <col min="15" max="16" width="11.44140625" style="4"/>
    <col min="17" max="17" width="11.44140625" style="2"/>
    <col min="18" max="18" width="16.109375" style="2" customWidth="1"/>
    <col min="19" max="16384" width="11.44140625" style="2"/>
  </cols>
  <sheetData>
    <row r="2" spans="2:16" hidden="1"/>
    <row r="3" spans="2:16" hidden="1"/>
    <row r="4" spans="2:16" hidden="1"/>
    <row r="5" spans="2:16" hidden="1"/>
    <row r="6" spans="2:16" hidden="1"/>
    <row r="7" spans="2:16" hidden="1"/>
    <row r="8" spans="2:16" hidden="1"/>
    <row r="9" spans="2:16" hidden="1"/>
    <row r="10" spans="2:16" hidden="1"/>
    <row r="11" spans="2:16" hidden="1"/>
    <row r="12" spans="2:16" hidden="1"/>
    <row r="13" spans="2:16" hidden="1"/>
    <row r="14" spans="2:16" hidden="1"/>
    <row r="15" spans="2:16">
      <c r="B15" s="1224" t="s">
        <v>152</v>
      </c>
      <c r="C15" s="1224"/>
      <c r="D15" s="1224"/>
      <c r="E15" s="1224"/>
      <c r="F15" s="1224"/>
      <c r="G15" s="1224"/>
      <c r="H15" s="1224"/>
      <c r="I15" s="1224"/>
      <c r="J15" s="1224"/>
      <c r="K15" s="1224"/>
      <c r="L15" s="1224"/>
      <c r="M15" s="1224"/>
      <c r="N15" s="1224"/>
      <c r="O15" s="1224"/>
      <c r="P15" s="1224"/>
    </row>
    <row r="16" spans="2:16">
      <c r="B16" s="1224"/>
      <c r="C16" s="1224"/>
      <c r="D16" s="1224"/>
      <c r="E16" s="1224"/>
      <c r="F16" s="1224"/>
      <c r="G16" s="1224"/>
      <c r="H16" s="1224"/>
      <c r="I16" s="1224"/>
      <c r="J16" s="1224"/>
      <c r="K16" s="1224"/>
      <c r="L16" s="1224"/>
      <c r="M16" s="1224"/>
      <c r="N16" s="1224"/>
      <c r="O16" s="1224"/>
      <c r="P16" s="1224"/>
    </row>
    <row r="17" spans="1:18" ht="11.25" customHeight="1">
      <c r="A17" s="1221" t="s">
        <v>93</v>
      </c>
      <c r="B17" s="1221"/>
      <c r="C17" s="1222" t="str">
        <f>RESUMEN!B15</f>
        <v>G</v>
      </c>
      <c r="D17" s="1222"/>
      <c r="H17" s="16"/>
      <c r="I17" s="17"/>
      <c r="J17" s="12"/>
      <c r="K17" s="12"/>
      <c r="L17" s="12"/>
      <c r="M17" s="12"/>
      <c r="N17" s="12"/>
      <c r="O17" s="12"/>
      <c r="P17" s="12"/>
    </row>
    <row r="18" spans="1:18" ht="13.5" customHeight="1">
      <c r="A18" s="1221"/>
      <c r="B18" s="1221"/>
      <c r="C18" s="1222"/>
      <c r="D18" s="1222"/>
      <c r="H18" s="18"/>
      <c r="I18" s="17"/>
      <c r="J18" s="12"/>
      <c r="K18" s="12"/>
      <c r="L18" s="12"/>
      <c r="M18" s="12"/>
      <c r="N18" s="12"/>
      <c r="O18" s="12"/>
      <c r="P18" s="12"/>
    </row>
    <row r="19" spans="1:18">
      <c r="A19" s="9" t="s">
        <v>1</v>
      </c>
      <c r="B19" s="1223" t="str">
        <f>IF(RESUMEN!B17=0,"",RESUMEN!B17)</f>
        <v>ZONA DE CARGA</v>
      </c>
      <c r="C19" s="1223"/>
      <c r="D19" s="1223"/>
      <c r="H19" s="19"/>
      <c r="I19" s="16"/>
      <c r="J19" s="8"/>
      <c r="K19" s="8"/>
      <c r="L19" s="8"/>
      <c r="M19" s="8"/>
      <c r="N19" s="10"/>
      <c r="O19" s="8"/>
      <c r="P19" s="8"/>
    </row>
    <row r="20" spans="1:18">
      <c r="A20" s="9" t="s">
        <v>2</v>
      </c>
      <c r="B20" s="1223" t="str">
        <f>IF(RESUMEN!B18=0,"",RESUMEN!B18)</f>
        <v>TAB-G</v>
      </c>
      <c r="C20" s="1223"/>
      <c r="D20" s="1223"/>
      <c r="H20" s="19"/>
      <c r="I20" s="16"/>
      <c r="J20" s="8"/>
      <c r="K20" s="20"/>
      <c r="L20" s="20" t="s">
        <v>139</v>
      </c>
      <c r="M20" s="8"/>
      <c r="N20" s="10"/>
      <c r="O20" s="8"/>
      <c r="P20" s="8"/>
    </row>
    <row r="21" spans="1:18">
      <c r="A21" s="9" t="s">
        <v>94</v>
      </c>
      <c r="B21" s="1223" t="str">
        <f>RESUMEN!B19</f>
        <v>220 / 127 VCA</v>
      </c>
      <c r="C21" s="1223"/>
      <c r="D21" s="1223"/>
      <c r="H21" s="19"/>
      <c r="I21" s="16"/>
      <c r="J21" s="20"/>
      <c r="K21" s="22">
        <v>1</v>
      </c>
      <c r="L21" s="659" t="s">
        <v>526</v>
      </c>
      <c r="M21" s="8"/>
      <c r="N21" s="10"/>
      <c r="O21" s="8"/>
      <c r="P21" s="8"/>
    </row>
    <row r="22" spans="1:18">
      <c r="A22" s="9" t="s">
        <v>3</v>
      </c>
      <c r="B22" s="1230">
        <f>RESUMEN!B20</f>
        <v>3</v>
      </c>
      <c r="C22" s="1230"/>
      <c r="D22" s="1230"/>
      <c r="H22" s="19"/>
      <c r="I22" s="22"/>
      <c r="J22" s="21"/>
      <c r="K22" s="22">
        <v>2</v>
      </c>
      <c r="L22" s="659" t="s">
        <v>512</v>
      </c>
      <c r="M22" s="8"/>
      <c r="N22" s="10"/>
      <c r="O22" s="8"/>
      <c r="P22" s="8"/>
    </row>
    <row r="23" spans="1:18">
      <c r="A23" s="9" t="s">
        <v>4</v>
      </c>
      <c r="B23" s="1230">
        <f>RESUMEN!B21</f>
        <v>4</v>
      </c>
      <c r="C23" s="1230"/>
      <c r="D23" s="1230"/>
      <c r="H23" s="19"/>
      <c r="I23" s="22"/>
      <c r="J23" s="21"/>
      <c r="K23" s="22">
        <v>3</v>
      </c>
      <c r="L23" s="659" t="s">
        <v>513</v>
      </c>
      <c r="M23" s="8"/>
      <c r="N23" s="10"/>
      <c r="O23" s="8"/>
      <c r="P23" s="8"/>
    </row>
    <row r="24" spans="1:18">
      <c r="A24" s="9" t="s">
        <v>81</v>
      </c>
      <c r="B24" s="1223">
        <f>RESUMEN!B22</f>
        <v>60</v>
      </c>
      <c r="C24" s="1223"/>
      <c r="D24" s="1223"/>
      <c r="H24" s="19"/>
      <c r="I24" s="22"/>
      <c r="J24" s="21"/>
      <c r="K24" s="22">
        <v>4</v>
      </c>
      <c r="L24" s="659" t="s">
        <v>514</v>
      </c>
      <c r="M24" s="8"/>
      <c r="N24" s="10"/>
      <c r="O24" s="8"/>
      <c r="P24" s="8"/>
    </row>
    <row r="25" spans="1:18">
      <c r="A25" s="9" t="s">
        <v>120</v>
      </c>
      <c r="B25" s="8"/>
      <c r="C25" s="8"/>
      <c r="D25" s="8"/>
      <c r="H25" s="19"/>
      <c r="I25" s="22"/>
      <c r="J25" s="21"/>
      <c r="K25" s="22">
        <v>5</v>
      </c>
      <c r="L25" s="659" t="s">
        <v>515</v>
      </c>
      <c r="M25" s="20"/>
      <c r="N25" s="12"/>
      <c r="O25" s="20"/>
      <c r="P25" s="20"/>
    </row>
    <row r="26" spans="1:18" ht="12.75" customHeight="1">
      <c r="A26" s="9" t="s">
        <v>95</v>
      </c>
      <c r="B26" s="1223" t="str">
        <f>IF(RESUMEN!B26=0,"",RESUMEN!B26)</f>
        <v xml:space="preserve"> LA400M141B</v>
      </c>
      <c r="C26" s="1223"/>
      <c r="D26" s="1223"/>
      <c r="E26" s="1232" t="str">
        <f>IF(TABLERO!F5=0,"",TABLERO!F5)</f>
        <v>BODEGA</v>
      </c>
      <c r="F26" s="1232"/>
      <c r="G26" s="1232"/>
      <c r="H26" s="1232"/>
      <c r="I26" s="1232"/>
      <c r="J26" s="1232"/>
      <c r="K26" s="22">
        <v>6</v>
      </c>
      <c r="L26" s="659" t="s">
        <v>516</v>
      </c>
    </row>
    <row r="27" spans="1:18" ht="13.5" customHeight="1" thickBot="1">
      <c r="A27" s="9" t="s">
        <v>50</v>
      </c>
      <c r="B27" s="1231" t="str">
        <f>IF(RESUMEN!B27=0,"",RESUMEN!B27)</f>
        <v>SQUARED</v>
      </c>
      <c r="C27" s="1231"/>
      <c r="D27" s="1231"/>
      <c r="E27" s="1233"/>
      <c r="F27" s="1233"/>
      <c r="G27" s="1233"/>
      <c r="H27" s="1233"/>
      <c r="I27" s="1233"/>
      <c r="J27" s="1233"/>
      <c r="K27" s="22">
        <v>6</v>
      </c>
      <c r="L27" s="659" t="s">
        <v>525</v>
      </c>
    </row>
    <row r="28" spans="1:18">
      <c r="A28" s="522"/>
      <c r="B28" s="527" t="s">
        <v>130</v>
      </c>
      <c r="C28" s="527" t="s">
        <v>11</v>
      </c>
      <c r="D28" s="527" t="s">
        <v>9</v>
      </c>
      <c r="E28" s="523" t="s">
        <v>140</v>
      </c>
      <c r="F28" s="523" t="s">
        <v>25</v>
      </c>
      <c r="G28" s="523" t="s">
        <v>14</v>
      </c>
      <c r="H28" s="528" t="s">
        <v>29</v>
      </c>
      <c r="I28" s="528" t="s">
        <v>33</v>
      </c>
      <c r="J28" s="523" t="s">
        <v>142</v>
      </c>
      <c r="K28" s="523" t="s">
        <v>39</v>
      </c>
      <c r="L28" s="523" t="s">
        <v>143</v>
      </c>
      <c r="M28" s="523" t="s">
        <v>10</v>
      </c>
      <c r="N28" s="1225" t="s">
        <v>144</v>
      </c>
      <c r="O28" s="1226"/>
      <c r="P28" s="1227" t="s">
        <v>21</v>
      </c>
      <c r="Q28" s="1228"/>
      <c r="R28" s="1229"/>
    </row>
    <row r="29" spans="1:18" ht="13.8" thickBot="1">
      <c r="A29" s="524" t="s">
        <v>5</v>
      </c>
      <c r="B29" s="529" t="s">
        <v>145</v>
      </c>
      <c r="C29" s="529" t="s">
        <v>146</v>
      </c>
      <c r="D29" s="529" t="s">
        <v>119</v>
      </c>
      <c r="E29" s="525" t="s">
        <v>22</v>
      </c>
      <c r="F29" s="525" t="s">
        <v>147</v>
      </c>
      <c r="G29" s="525" t="s">
        <v>293</v>
      </c>
      <c r="H29" s="530" t="s">
        <v>36</v>
      </c>
      <c r="I29" s="530" t="s">
        <v>36</v>
      </c>
      <c r="J29" s="525" t="s">
        <v>148</v>
      </c>
      <c r="K29" s="525" t="s">
        <v>149</v>
      </c>
      <c r="L29" s="525" t="s">
        <v>37</v>
      </c>
      <c r="M29" s="525" t="s">
        <v>106</v>
      </c>
      <c r="N29" s="526" t="s">
        <v>15</v>
      </c>
      <c r="O29" s="526" t="s">
        <v>39</v>
      </c>
      <c r="P29" s="526" t="s">
        <v>150</v>
      </c>
      <c r="Q29" s="526" t="s">
        <v>151</v>
      </c>
      <c r="R29" s="531" t="s">
        <v>27</v>
      </c>
    </row>
    <row r="30" spans="1:18">
      <c r="A30" s="23"/>
      <c r="B30" s="24"/>
      <c r="C30" s="24"/>
      <c r="D30" s="24"/>
      <c r="E30" s="25"/>
      <c r="F30" s="25"/>
      <c r="G30" s="25"/>
      <c r="H30" s="26"/>
      <c r="I30" s="26"/>
      <c r="J30" s="25"/>
      <c r="K30" s="25"/>
      <c r="L30" s="25"/>
      <c r="M30" s="25"/>
      <c r="N30" s="25"/>
      <c r="O30" s="25"/>
      <c r="P30" s="25"/>
      <c r="Q30" s="25"/>
      <c r="R30" s="27"/>
    </row>
    <row r="31" spans="1:18">
      <c r="A31" s="28" t="str">
        <f>TABLERO!B31&amp;IF(TABLERO!C31="","",","&amp;TABLERO!C31)&amp;IF(TABLERO!D31="","",","&amp;TABLERO!D31)</f>
        <v>1,3,5</v>
      </c>
      <c r="B31" s="29" t="str">
        <f>IF(OR(TABLERO!$A$25=1,D31=""),"",TABLERO!S31)</f>
        <v/>
      </c>
      <c r="C31" s="30" t="str">
        <f>IF(OR(TABLERO!$A$25=1,D31=""),"",TABLERO!I31)</f>
        <v/>
      </c>
      <c r="D31" s="31" t="str">
        <f>IF(OR(TABLERO!$A$25=1,,TABLERO!Q31=""),"",TABLERO!Q31)</f>
        <v/>
      </c>
      <c r="E31" s="29" t="str">
        <f>IF(OR(TABLERO!$A$25=1,D31=""),"",TABLERO!N31)</f>
        <v/>
      </c>
      <c r="F31" s="29" t="str">
        <f>IF(TABLERO!$A$25=1,"",TABLERO!CC31)</f>
        <v/>
      </c>
      <c r="G31" s="31" t="str">
        <f>IF(OR(TABLERO!$A$25=1,D31=""),"",TABLERO!BU31)</f>
        <v/>
      </c>
      <c r="H31" s="32" t="str">
        <f>IF(OR(TABLERO!$A$25=1,D31=""),"",TABLERO!DO31)</f>
        <v/>
      </c>
      <c r="I31" s="32" t="str">
        <f>IF(OR(TABLERO!$A$25=1,D31=""),"",TABLERO!DP31)</f>
        <v/>
      </c>
      <c r="J31" s="31" t="str">
        <f>IF(OR(TABLERO!$A$25=1,D31=""),"",TABLERO!DQ31)</f>
        <v/>
      </c>
      <c r="K31" s="31" t="str">
        <f>IF(OR(TABLERO!$A$25=1,D31=""),"",TABLERO!DR31)</f>
        <v/>
      </c>
      <c r="L31" s="31" t="str">
        <f>IF(OR(TABLERO!$A$25=1,D31=""),"",TABLERO!DS31)</f>
        <v/>
      </c>
      <c r="M31" s="31" t="str">
        <f>IF(OR(TABLERO!$A$25=1,D31=""),"",TABLERO!CE31)</f>
        <v/>
      </c>
      <c r="N31" s="30" t="str">
        <f>IF(OR(TABLERO!$A$25=1,D31=""),"",TABLERO!CF31)</f>
        <v/>
      </c>
      <c r="O31" s="31" t="str">
        <f>IF(OR(TABLERO!$A$25=1,D31=""),"",TABLERO!EB31)</f>
        <v/>
      </c>
      <c r="P31" s="31" t="str">
        <f>IF(OR(TABLERO!$A$25=1,D31=""),"",TABLERO!EC31)</f>
        <v/>
      </c>
      <c r="Q31" s="29" t="str">
        <f>IF(OR(TABLERO!$A$25=1,D31=""),"",TABLERO!U31)</f>
        <v/>
      </c>
      <c r="R31" s="33" t="str">
        <f>IF(TABLERO!$A$25=1,"",TABLERO!CG31)</f>
        <v/>
      </c>
    </row>
    <row r="32" spans="1:18">
      <c r="A32" s="28" t="str">
        <f>TABLERO!B32&amp;IF(TABLERO!C32="","",","&amp;TABLERO!C32)&amp;IF(TABLERO!D32="","",","&amp;TABLERO!D32)</f>
        <v>2,4,6</v>
      </c>
      <c r="B32" s="29" t="str">
        <f>IF(OR(TABLERO!$A$25=1,D32=""),"",TABLERO!S32)</f>
        <v/>
      </c>
      <c r="C32" s="30" t="str">
        <f>IF(OR(TABLERO!$A$25=1,D32=""),"",TABLERO!I32)</f>
        <v/>
      </c>
      <c r="D32" s="31" t="str">
        <f>IF(OR(TABLERO!$A$25=1,,TABLERO!Q32=""),"",TABLERO!Q32)</f>
        <v/>
      </c>
      <c r="E32" s="29" t="str">
        <f>IF(OR(TABLERO!$A$25=1,D32=""),"",TABLERO!N32)</f>
        <v/>
      </c>
      <c r="F32" s="29" t="str">
        <f>IF(TABLERO!$A$25=1,"",TABLERO!CC32)</f>
        <v/>
      </c>
      <c r="G32" s="31" t="str">
        <f>IF(OR(TABLERO!$A$25=1,D32=""),"",TABLERO!BU32)</f>
        <v/>
      </c>
      <c r="H32" s="32" t="str">
        <f>IF(OR(TABLERO!$A$25=1,D32=""),"",TABLERO!DO32)</f>
        <v/>
      </c>
      <c r="I32" s="32" t="str">
        <f>IF(OR(TABLERO!$A$25=1,D32=""),"",TABLERO!DP32)</f>
        <v/>
      </c>
      <c r="J32" s="31" t="str">
        <f>IF(OR(TABLERO!$A$25=1,D32=""),"",TABLERO!DQ32)</f>
        <v/>
      </c>
      <c r="K32" s="31" t="str">
        <f>IF(OR(TABLERO!$A$25=1,D32=""),"",TABLERO!DR32)</f>
        <v/>
      </c>
      <c r="L32" s="31" t="str">
        <f>IF(OR(TABLERO!$A$25=1,D32=""),"",TABLERO!DS32)</f>
        <v/>
      </c>
      <c r="M32" s="31" t="str">
        <f>IF(OR(TABLERO!$A$25=1,D32=""),"",TABLERO!CE32)</f>
        <v/>
      </c>
      <c r="N32" s="30" t="str">
        <f>IF(OR(TABLERO!$A$25=1,D32=""),"",TABLERO!CF32)</f>
        <v/>
      </c>
      <c r="O32" s="31" t="str">
        <f>IF(OR(TABLERO!$A$25=1,D32=""),"",TABLERO!EB32)</f>
        <v/>
      </c>
      <c r="P32" s="31" t="str">
        <f>IF(OR(TABLERO!$A$25=1,D32=""),"",TABLERO!EC32)</f>
        <v/>
      </c>
      <c r="Q32" s="29" t="str">
        <f>IF(OR(TABLERO!$A$25=1,D32=""),"",TABLERO!U32)</f>
        <v/>
      </c>
      <c r="R32" s="33" t="str">
        <f>IF(TABLERO!$A$25=1,"",TABLERO!CG32)</f>
        <v/>
      </c>
    </row>
    <row r="33" spans="1:18">
      <c r="A33" s="28" t="str">
        <f>TABLERO!B33&amp;IF(TABLERO!C33="","",","&amp;TABLERO!C33)&amp;IF(TABLERO!D33="","",","&amp;TABLERO!D33)</f>
        <v>7,9,11</v>
      </c>
      <c r="B33" s="29" t="str">
        <f>IF(OR(TABLERO!$A$25=1,D33=""),"",TABLERO!S33)</f>
        <v/>
      </c>
      <c r="C33" s="30" t="str">
        <f>IF(OR(TABLERO!$A$25=1,D33=""),"",TABLERO!I33)</f>
        <v/>
      </c>
      <c r="D33" s="31" t="str">
        <f>IF(OR(TABLERO!$A$25=1,,TABLERO!Q33=""),"",TABLERO!Q33)</f>
        <v/>
      </c>
      <c r="E33" s="29" t="str">
        <f>IF(OR(TABLERO!$A$25=1,D33=""),"",TABLERO!N33)</f>
        <v/>
      </c>
      <c r="F33" s="29" t="str">
        <f>IF(TABLERO!$A$25=1,"",TABLERO!CC33)</f>
        <v/>
      </c>
      <c r="G33" s="31" t="str">
        <f>IF(OR(TABLERO!$A$25=1,D33=""),"",TABLERO!BU33)</f>
        <v/>
      </c>
      <c r="H33" s="32" t="str">
        <f>IF(OR(TABLERO!$A$25=1,D33=""),"",TABLERO!DO33)</f>
        <v/>
      </c>
      <c r="I33" s="32" t="str">
        <f>IF(OR(TABLERO!$A$25=1,D33=""),"",TABLERO!DP33)</f>
        <v/>
      </c>
      <c r="J33" s="31" t="str">
        <f>IF(OR(TABLERO!$A$25=1,D33=""),"",TABLERO!DQ33)</f>
        <v/>
      </c>
      <c r="K33" s="31" t="str">
        <f>IF(OR(TABLERO!$A$25=1,D33=""),"",TABLERO!DR33)</f>
        <v/>
      </c>
      <c r="L33" s="31" t="str">
        <f>IF(OR(TABLERO!$A$25=1,D33=""),"",TABLERO!DS33)</f>
        <v/>
      </c>
      <c r="M33" s="31" t="str">
        <f>IF(OR(TABLERO!$A$25=1,D33=""),"",TABLERO!CE33)</f>
        <v/>
      </c>
      <c r="N33" s="30" t="str">
        <f>IF(OR(TABLERO!$A$25=1,D33=""),"",TABLERO!CF33)</f>
        <v/>
      </c>
      <c r="O33" s="31" t="str">
        <f>IF(OR(TABLERO!$A$25=1,D33=""),"",TABLERO!EB33)</f>
        <v/>
      </c>
      <c r="P33" s="31" t="str">
        <f>IF(OR(TABLERO!$A$25=1,D33=""),"",TABLERO!EC33)</f>
        <v/>
      </c>
      <c r="Q33" s="29" t="str">
        <f>IF(OR(TABLERO!$A$25=1,D33=""),"",TABLERO!U33)</f>
        <v/>
      </c>
      <c r="R33" s="33" t="str">
        <f>IF(TABLERO!$A$25=1,"",TABLERO!CG33)</f>
        <v/>
      </c>
    </row>
    <row r="34" spans="1:18">
      <c r="A34" s="28" t="str">
        <f>TABLERO!B34&amp;IF(TABLERO!C34="","",","&amp;TABLERO!C34)&amp;IF(TABLERO!D34="","",","&amp;TABLERO!D34)</f>
        <v>8,10,12</v>
      </c>
      <c r="B34" s="29" t="str">
        <f>IF(OR(TABLERO!$A$25=1,D34=""),"",TABLERO!S34)</f>
        <v/>
      </c>
      <c r="C34" s="30" t="str">
        <f>IF(OR(TABLERO!$A$25=1,D34=""),"",TABLERO!I34)</f>
        <v/>
      </c>
      <c r="D34" s="31" t="str">
        <f>IF(OR(TABLERO!$A$25=1,,TABLERO!Q34=""),"",TABLERO!Q34)</f>
        <v/>
      </c>
      <c r="E34" s="29" t="str">
        <f>IF(OR(TABLERO!$A$25=1,D34=""),"",TABLERO!N34)</f>
        <v/>
      </c>
      <c r="F34" s="29" t="str">
        <f>IF(TABLERO!$A$25=1,"",TABLERO!CC34)</f>
        <v/>
      </c>
      <c r="G34" s="31" t="str">
        <f>IF(OR(TABLERO!$A$25=1,D34=""),"",TABLERO!BU34)</f>
        <v/>
      </c>
      <c r="H34" s="32" t="str">
        <f>IF(OR(TABLERO!$A$25=1,D34=""),"",TABLERO!DO34)</f>
        <v/>
      </c>
      <c r="I34" s="32" t="str">
        <f>IF(OR(TABLERO!$A$25=1,D34=""),"",TABLERO!DP34)</f>
        <v/>
      </c>
      <c r="J34" s="31" t="str">
        <f>IF(OR(TABLERO!$A$25=1,D34=""),"",TABLERO!DQ34)</f>
        <v/>
      </c>
      <c r="K34" s="31" t="str">
        <f>IF(OR(TABLERO!$A$25=1,D34=""),"",TABLERO!DR34)</f>
        <v/>
      </c>
      <c r="L34" s="31" t="str">
        <f>IF(OR(TABLERO!$A$25=1,D34=""),"",TABLERO!DS34)</f>
        <v/>
      </c>
      <c r="M34" s="31" t="str">
        <f>IF(OR(TABLERO!$A$25=1,D34=""),"",TABLERO!CE34)</f>
        <v/>
      </c>
      <c r="N34" s="30" t="str">
        <f>IF(OR(TABLERO!$A$25=1,D34=""),"",TABLERO!CF34)</f>
        <v/>
      </c>
      <c r="O34" s="31" t="str">
        <f>IF(OR(TABLERO!$A$25=1,D34=""),"",TABLERO!EB34)</f>
        <v/>
      </c>
      <c r="P34" s="31" t="str">
        <f>IF(OR(TABLERO!$A$25=1,D34=""),"",TABLERO!EC34)</f>
        <v/>
      </c>
      <c r="Q34" s="29" t="str">
        <f>IF(OR(TABLERO!$A$25=1,D34=""),"",TABLERO!U34)</f>
        <v/>
      </c>
      <c r="R34" s="33" t="str">
        <f>IF(TABLERO!$A$25=1,"",TABLERO!CG34)</f>
        <v/>
      </c>
    </row>
    <row r="35" spans="1:18">
      <c r="A35" s="28" t="str">
        <f>TABLERO!B35&amp;IF(TABLERO!C35="","",","&amp;TABLERO!C35)&amp;IF(TABLERO!D35="","",","&amp;TABLERO!D35)</f>
        <v>13,15,17</v>
      </c>
      <c r="B35" s="29" t="str">
        <f>IF(OR(TABLERO!$A$25=1,D35=""),"",TABLERO!S35)</f>
        <v/>
      </c>
      <c r="C35" s="30" t="str">
        <f>IF(OR(TABLERO!$A$25=1,D35=""),"",TABLERO!I35)</f>
        <v/>
      </c>
      <c r="D35" s="31" t="str">
        <f>IF(OR(TABLERO!$A$25=1,,TABLERO!Q35=""),"",TABLERO!Q35)</f>
        <v/>
      </c>
      <c r="E35" s="29" t="str">
        <f>IF(OR(TABLERO!$A$25=1,D35=""),"",TABLERO!N35)</f>
        <v/>
      </c>
      <c r="F35" s="29" t="str">
        <f>IF(TABLERO!$A$25=1,"",TABLERO!CC35)</f>
        <v/>
      </c>
      <c r="G35" s="31" t="str">
        <f>IF(OR(TABLERO!$A$25=1,D35=""),"",TABLERO!BU35)</f>
        <v/>
      </c>
      <c r="H35" s="32" t="str">
        <f>IF(OR(TABLERO!$A$25=1,D35=""),"",TABLERO!DO35)</f>
        <v/>
      </c>
      <c r="I35" s="32" t="str">
        <f>IF(OR(TABLERO!$A$25=1,D35=""),"",TABLERO!DP35)</f>
        <v/>
      </c>
      <c r="J35" s="31" t="str">
        <f>IF(OR(TABLERO!$A$25=1,D35=""),"",TABLERO!DQ35)</f>
        <v/>
      </c>
      <c r="K35" s="31" t="str">
        <f>IF(OR(TABLERO!$A$25=1,D35=""),"",TABLERO!DR35)</f>
        <v/>
      </c>
      <c r="L35" s="31" t="str">
        <f>IF(OR(TABLERO!$A$25=1,D35=""),"",TABLERO!DS35)</f>
        <v/>
      </c>
      <c r="M35" s="31" t="str">
        <f>IF(OR(TABLERO!$A$25=1,D35=""),"",TABLERO!CE35)</f>
        <v/>
      </c>
      <c r="N35" s="30" t="str">
        <f>IF(OR(TABLERO!$A$25=1,D35=""),"",TABLERO!CF35)</f>
        <v/>
      </c>
      <c r="O35" s="31" t="str">
        <f>IF(OR(TABLERO!$A$25=1,D35=""),"",TABLERO!EB35)</f>
        <v/>
      </c>
      <c r="P35" s="31" t="str">
        <f>IF(OR(TABLERO!$A$25=1,D35=""),"",TABLERO!EC35)</f>
        <v/>
      </c>
      <c r="Q35" s="29" t="str">
        <f>IF(OR(TABLERO!$A$25=1,D35=""),"",TABLERO!U35)</f>
        <v/>
      </c>
      <c r="R35" s="33" t="str">
        <f>IF(TABLERO!$A$25=1,"",TABLERO!CG35)</f>
        <v/>
      </c>
    </row>
    <row r="36" spans="1:18">
      <c r="A36" s="28" t="str">
        <f>TABLERO!B36&amp;IF(TABLERO!C36="","",","&amp;TABLERO!C36)&amp;IF(TABLERO!D36="","",","&amp;TABLERO!D36)</f>
        <v>14,16,18</v>
      </c>
      <c r="B36" s="29" t="str">
        <f>IF(OR(TABLERO!$A$25=1,D36=""),"",TABLERO!S36)</f>
        <v/>
      </c>
      <c r="C36" s="30" t="str">
        <f>IF(OR(TABLERO!$A$25=1,D36=""),"",TABLERO!I36)</f>
        <v/>
      </c>
      <c r="D36" s="31" t="str">
        <f>IF(OR(TABLERO!$A$25=1,,TABLERO!Q36=""),"",TABLERO!Q36)</f>
        <v/>
      </c>
      <c r="E36" s="29" t="str">
        <f>IF(OR(TABLERO!$A$25=1,D36=""),"",TABLERO!N36)</f>
        <v/>
      </c>
      <c r="F36" s="29" t="str">
        <f>IF(TABLERO!$A$25=1,"",TABLERO!CC36)</f>
        <v/>
      </c>
      <c r="G36" s="31" t="str">
        <f>IF(OR(TABLERO!$A$25=1,D36=""),"",TABLERO!BU36)</f>
        <v/>
      </c>
      <c r="H36" s="32" t="str">
        <f>IF(OR(TABLERO!$A$25=1,D36=""),"",TABLERO!DO36)</f>
        <v/>
      </c>
      <c r="I36" s="32" t="str">
        <f>IF(OR(TABLERO!$A$25=1,D36=""),"",TABLERO!DP36)</f>
        <v/>
      </c>
      <c r="J36" s="31" t="str">
        <f>IF(OR(TABLERO!$A$25=1,D36=""),"",TABLERO!DQ36)</f>
        <v/>
      </c>
      <c r="K36" s="31" t="str">
        <f>IF(OR(TABLERO!$A$25=1,D36=""),"",TABLERO!DR36)</f>
        <v/>
      </c>
      <c r="L36" s="31" t="str">
        <f>IF(OR(TABLERO!$A$25=1,D36=""),"",TABLERO!DS36)</f>
        <v/>
      </c>
      <c r="M36" s="31" t="str">
        <f>IF(OR(TABLERO!$A$25=1,D36=""),"",TABLERO!CE36)</f>
        <v/>
      </c>
      <c r="N36" s="30" t="str">
        <f>IF(OR(TABLERO!$A$25=1,D36=""),"",TABLERO!CF36)</f>
        <v/>
      </c>
      <c r="O36" s="31" t="str">
        <f>IF(OR(TABLERO!$A$25=1,D36=""),"",TABLERO!EB36)</f>
        <v/>
      </c>
      <c r="P36" s="31" t="str">
        <f>IF(OR(TABLERO!$A$25=1,D36=""),"",TABLERO!EC36)</f>
        <v/>
      </c>
      <c r="Q36" s="29" t="str">
        <f>IF(OR(TABLERO!$A$25=1,D36=""),"",TABLERO!U36)</f>
        <v/>
      </c>
      <c r="R36" s="33" t="str">
        <f>IF(TABLERO!$A$25=1,"",TABLERO!CG36)</f>
        <v/>
      </c>
    </row>
    <row r="37" spans="1:18">
      <c r="A37" s="28" t="str">
        <f>TABLERO!B37&amp;IF(TABLERO!C37="","",","&amp;TABLERO!C37)&amp;IF(TABLERO!D37="","",","&amp;TABLERO!D37)</f>
        <v>19,21,23</v>
      </c>
      <c r="B37" s="29" t="str">
        <f>IF(OR(TABLERO!$A$25=1,D37=""),"",TABLERO!S37)</f>
        <v/>
      </c>
      <c r="C37" s="30" t="str">
        <f>IF(OR(TABLERO!$A$25=1,D37=""),"",TABLERO!I37)</f>
        <v/>
      </c>
      <c r="D37" s="31" t="str">
        <f>IF(OR(TABLERO!$A$25=1,,TABLERO!Q37=""),"",TABLERO!Q37)</f>
        <v/>
      </c>
      <c r="E37" s="29" t="str">
        <f>IF(OR(TABLERO!$A$25=1,D37=""),"",TABLERO!N37)</f>
        <v/>
      </c>
      <c r="F37" s="29" t="str">
        <f>IF(TABLERO!$A$25=1,"",TABLERO!CC37)</f>
        <v/>
      </c>
      <c r="G37" s="31" t="str">
        <f>IF(OR(TABLERO!$A$25=1,D37=""),"",TABLERO!BU37)</f>
        <v/>
      </c>
      <c r="H37" s="32" t="str">
        <f>IF(OR(TABLERO!$A$25=1,D37=""),"",TABLERO!DO37)</f>
        <v/>
      </c>
      <c r="I37" s="32" t="str">
        <f>IF(OR(TABLERO!$A$25=1,D37=""),"",TABLERO!DP37)</f>
        <v/>
      </c>
      <c r="J37" s="31" t="str">
        <f>IF(OR(TABLERO!$A$25=1,D37=""),"",TABLERO!DQ37)</f>
        <v/>
      </c>
      <c r="K37" s="31" t="str">
        <f>IF(OR(TABLERO!$A$25=1,D37=""),"",TABLERO!DR37)</f>
        <v/>
      </c>
      <c r="L37" s="31" t="str">
        <f>IF(OR(TABLERO!$A$25=1,D37=""),"",TABLERO!DS37)</f>
        <v/>
      </c>
      <c r="M37" s="31" t="str">
        <f>IF(OR(TABLERO!$A$25=1,D37=""),"",TABLERO!CE37)</f>
        <v/>
      </c>
      <c r="N37" s="30" t="str">
        <f>IF(OR(TABLERO!$A$25=1,D37=""),"",TABLERO!CF37)</f>
        <v/>
      </c>
      <c r="O37" s="31" t="str">
        <f>IF(OR(TABLERO!$A$25=1,D37=""),"",TABLERO!EB37)</f>
        <v/>
      </c>
      <c r="P37" s="31" t="str">
        <f>IF(OR(TABLERO!$A$25=1,D37=""),"",TABLERO!EC37)</f>
        <v/>
      </c>
      <c r="Q37" s="29" t="str">
        <f>IF(OR(TABLERO!$A$25=1,D37=""),"",TABLERO!U37)</f>
        <v/>
      </c>
      <c r="R37" s="33" t="str">
        <f>IF(TABLERO!$A$25=1,"",TABLERO!CG37)</f>
        <v/>
      </c>
    </row>
    <row r="38" spans="1:18">
      <c r="A38" s="28" t="str">
        <f>TABLERO!B38&amp;IF(TABLERO!C38="","",","&amp;TABLERO!C38)&amp;IF(TABLERO!D38="","",","&amp;TABLERO!D38)</f>
        <v>24,26,28</v>
      </c>
      <c r="B38" s="29" t="str">
        <f>IF(OR(TABLERO!$A$25=1,D38=""),"",TABLERO!S38)</f>
        <v/>
      </c>
      <c r="C38" s="30" t="str">
        <f>IF(OR(TABLERO!$A$25=1,D38=""),"",TABLERO!I38)</f>
        <v/>
      </c>
      <c r="D38" s="31" t="str">
        <f>IF(OR(TABLERO!$A$25=1,,TABLERO!Q38=""),"",TABLERO!Q38)</f>
        <v/>
      </c>
      <c r="E38" s="29" t="str">
        <f>IF(OR(TABLERO!$A$25=1,D38=""),"",TABLERO!N38)</f>
        <v/>
      </c>
      <c r="F38" s="29" t="str">
        <f>IF(TABLERO!$A$25=1,"",TABLERO!CC38)</f>
        <v/>
      </c>
      <c r="G38" s="31" t="str">
        <f>IF(OR(TABLERO!$A$25=1,D38=""),"",TABLERO!BU38)</f>
        <v/>
      </c>
      <c r="H38" s="32" t="str">
        <f>IF(OR(TABLERO!$A$25=1,D38=""),"",TABLERO!DO38)</f>
        <v/>
      </c>
      <c r="I38" s="32" t="str">
        <f>IF(OR(TABLERO!$A$25=1,D38=""),"",TABLERO!DP38)</f>
        <v/>
      </c>
      <c r="J38" s="31" t="str">
        <f>IF(OR(TABLERO!$A$25=1,D38=""),"",TABLERO!DQ38)</f>
        <v/>
      </c>
      <c r="K38" s="31" t="str">
        <f>IF(OR(TABLERO!$A$25=1,D38=""),"",TABLERO!DR38)</f>
        <v/>
      </c>
      <c r="L38" s="31" t="str">
        <f>IF(OR(TABLERO!$A$25=1,D38=""),"",TABLERO!DS38)</f>
        <v/>
      </c>
      <c r="M38" s="31" t="str">
        <f>IF(OR(TABLERO!$A$25=1,D38=""),"",TABLERO!CE38)</f>
        <v/>
      </c>
      <c r="N38" s="30" t="str">
        <f>IF(OR(TABLERO!$A$25=1,D38=""),"",TABLERO!CF38)</f>
        <v/>
      </c>
      <c r="O38" s="31" t="str">
        <f>IF(OR(TABLERO!$A$25=1,D38=""),"",TABLERO!EB38)</f>
        <v/>
      </c>
      <c r="P38" s="31" t="str">
        <f>IF(OR(TABLERO!$A$25=1,D38=""),"",TABLERO!EC38)</f>
        <v/>
      </c>
      <c r="Q38" s="29" t="str">
        <f>IF(OR(TABLERO!$A$25=1,D38=""),"",TABLERO!U38)</f>
        <v/>
      </c>
      <c r="R38" s="33" t="str">
        <f>IF(TABLERO!$A$25=1,"",TABLERO!CG38)</f>
        <v/>
      </c>
    </row>
    <row r="39" spans="1:18">
      <c r="A39" s="28" t="str">
        <f>TABLERO!B39&amp;IF(TABLERO!C39="","",","&amp;TABLERO!C39)&amp;IF(TABLERO!D39="","",","&amp;TABLERO!D39)</f>
        <v>25,27,29</v>
      </c>
      <c r="B39" s="29" t="str">
        <f>IF(OR(TABLERO!$A$25=1,D39=""),"",TABLERO!S39)</f>
        <v/>
      </c>
      <c r="C39" s="30" t="str">
        <f>IF(OR(TABLERO!$A$25=1,D39=""),"",TABLERO!I39)</f>
        <v/>
      </c>
      <c r="D39" s="31" t="str">
        <f>IF(OR(TABLERO!$A$25=1,,TABLERO!Q39=""),"",TABLERO!Q39)</f>
        <v/>
      </c>
      <c r="E39" s="29" t="str">
        <f>IF(OR(TABLERO!$A$25=1,D39=""),"",TABLERO!N39)</f>
        <v/>
      </c>
      <c r="F39" s="29" t="str">
        <f>IF(TABLERO!$A$25=1,"",TABLERO!CC39)</f>
        <v/>
      </c>
      <c r="G39" s="31" t="str">
        <f>IF(OR(TABLERO!$A$25=1,D39=""),"",TABLERO!BU39)</f>
        <v/>
      </c>
      <c r="H39" s="32" t="str">
        <f>IF(OR(TABLERO!$A$25=1,D39=""),"",TABLERO!DO39)</f>
        <v/>
      </c>
      <c r="I39" s="32" t="str">
        <f>IF(OR(TABLERO!$A$25=1,D39=""),"",TABLERO!DP39)</f>
        <v/>
      </c>
      <c r="J39" s="31" t="str">
        <f>IF(OR(TABLERO!$A$25=1,D39=""),"",TABLERO!DQ39)</f>
        <v/>
      </c>
      <c r="K39" s="31" t="str">
        <f>IF(OR(TABLERO!$A$25=1,D39=""),"",TABLERO!DR39)</f>
        <v/>
      </c>
      <c r="L39" s="31" t="str">
        <f>IF(OR(TABLERO!$A$25=1,D39=""),"",TABLERO!DS39)</f>
        <v/>
      </c>
      <c r="M39" s="31" t="str">
        <f>IF(OR(TABLERO!$A$25=1,D39=""),"",TABLERO!CE39)</f>
        <v/>
      </c>
      <c r="N39" s="30" t="str">
        <f>IF(OR(TABLERO!$A$25=1,D39=""),"",TABLERO!CF39)</f>
        <v/>
      </c>
      <c r="O39" s="31" t="str">
        <f>IF(OR(TABLERO!$A$25=1,D39=""),"",TABLERO!EB39)</f>
        <v/>
      </c>
      <c r="P39" s="31" t="str">
        <f>IF(OR(TABLERO!$A$25=1,D39=""),"",TABLERO!EC39)</f>
        <v/>
      </c>
      <c r="Q39" s="29" t="str">
        <f>IF(OR(TABLERO!$A$25=1,D39=""),"",TABLERO!U39)</f>
        <v/>
      </c>
      <c r="R39" s="33" t="str">
        <f>IF(TABLERO!$A$25=1,"",TABLERO!CG39)</f>
        <v/>
      </c>
    </row>
    <row r="40" spans="1:18">
      <c r="A40" s="28" t="str">
        <f>TABLERO!B40&amp;IF(TABLERO!C40="","",","&amp;TABLERO!C40)&amp;IF(TABLERO!D40="","",","&amp;TABLERO!D40)</f>
        <v/>
      </c>
      <c r="B40" s="29" t="str">
        <f>IF(OR(TABLERO!$A$25=1,D40=""),"",TABLERO!S40)</f>
        <v/>
      </c>
      <c r="C40" s="30" t="str">
        <f>IF(OR(TABLERO!$A$25=1,D40=""),"",TABLERO!I40)</f>
        <v/>
      </c>
      <c r="D40" s="31" t="str">
        <f>IF(OR(TABLERO!$A$25=1,,TABLERO!Q40=""),"",TABLERO!Q40)</f>
        <v/>
      </c>
      <c r="E40" s="29" t="str">
        <f>IF(OR(TABLERO!$A$25=1,D40=""),"",TABLERO!N40)</f>
        <v/>
      </c>
      <c r="F40" s="29" t="str">
        <f>IF(TABLERO!$A$25=1,"",TABLERO!CC40)</f>
        <v/>
      </c>
      <c r="G40" s="31" t="str">
        <f>IF(OR(TABLERO!$A$25=1,D40=""),"",TABLERO!BU40)</f>
        <v/>
      </c>
      <c r="H40" s="32" t="str">
        <f>IF(OR(TABLERO!$A$25=1,D40=""),"",TABLERO!DO40)</f>
        <v/>
      </c>
      <c r="I40" s="32" t="str">
        <f>IF(OR(TABLERO!$A$25=1,D40=""),"",TABLERO!DP40)</f>
        <v/>
      </c>
      <c r="J40" s="31" t="str">
        <f>IF(OR(TABLERO!$A$25=1,D40=""),"",TABLERO!DQ40)</f>
        <v/>
      </c>
      <c r="K40" s="31" t="str">
        <f>IF(OR(TABLERO!$A$25=1,D40=""),"",TABLERO!DR40)</f>
        <v/>
      </c>
      <c r="L40" s="31" t="str">
        <f>IF(OR(TABLERO!$A$25=1,D40=""),"",TABLERO!DS40)</f>
        <v/>
      </c>
      <c r="M40" s="31" t="str">
        <f>IF(OR(TABLERO!$A$25=1,D40=""),"",TABLERO!CE40)</f>
        <v/>
      </c>
      <c r="N40" s="30" t="str">
        <f>IF(OR(TABLERO!$A$25=1,D40=""),"",TABLERO!CF40)</f>
        <v/>
      </c>
      <c r="O40" s="31" t="str">
        <f>IF(OR(TABLERO!$A$25=1,D40=""),"",TABLERO!EB40)</f>
        <v/>
      </c>
      <c r="P40" s="31" t="str">
        <f>IF(OR(TABLERO!$A$25=1,D40=""),"",TABLERO!EC40)</f>
        <v/>
      </c>
      <c r="Q40" s="29" t="str">
        <f>IF(OR(TABLERO!$A$25=1,D40=""),"",TABLERO!U40)</f>
        <v/>
      </c>
      <c r="R40" s="33" t="str">
        <f>IF(TABLERO!$A$25=1,"",TABLERO!CG40)</f>
        <v/>
      </c>
    </row>
    <row r="41" spans="1:18">
      <c r="A41" s="28" t="str">
        <f>TABLERO!B41&amp;IF(TABLERO!C41="","",","&amp;TABLERO!C41)&amp;IF(TABLERO!D41="","",","&amp;TABLERO!D41)</f>
        <v/>
      </c>
      <c r="B41" s="29" t="str">
        <f>IF(OR(TABLERO!$A$25=1,D41=""),"",TABLERO!S41)</f>
        <v/>
      </c>
      <c r="C41" s="30" t="str">
        <f>IF(OR(TABLERO!$A$25=1,D41=""),"",TABLERO!I41)</f>
        <v/>
      </c>
      <c r="D41" s="31" t="str">
        <f>IF(OR(TABLERO!$A$25=1,,TABLERO!Q41=""),"",TABLERO!Q41)</f>
        <v/>
      </c>
      <c r="E41" s="29" t="str">
        <f>IF(OR(TABLERO!$A$25=1,D41=""),"",TABLERO!N41)</f>
        <v/>
      </c>
      <c r="F41" s="29" t="str">
        <f>IF(TABLERO!$A$25=1,"",TABLERO!CC41)</f>
        <v/>
      </c>
      <c r="G41" s="31" t="str">
        <f>IF(OR(TABLERO!$A$25=1,D41=""),"",TABLERO!BU41)</f>
        <v/>
      </c>
      <c r="H41" s="32" t="str">
        <f>IF(OR(TABLERO!$A$25=1,D41=""),"",TABLERO!DO41)</f>
        <v/>
      </c>
      <c r="I41" s="32" t="str">
        <f>IF(OR(TABLERO!$A$25=1,D41=""),"",TABLERO!DP41)</f>
        <v/>
      </c>
      <c r="J41" s="31" t="str">
        <f>IF(OR(TABLERO!$A$25=1,D41=""),"",TABLERO!DQ41)</f>
        <v/>
      </c>
      <c r="K41" s="31" t="str">
        <f>IF(OR(TABLERO!$A$25=1,D41=""),"",TABLERO!DR41)</f>
        <v/>
      </c>
      <c r="L41" s="31" t="str">
        <f>IF(OR(TABLERO!$A$25=1,D41=""),"",TABLERO!DS41)</f>
        <v/>
      </c>
      <c r="M41" s="31" t="str">
        <f>IF(OR(TABLERO!$A$25=1,D41=""),"",TABLERO!CE41)</f>
        <v/>
      </c>
      <c r="N41" s="30" t="str">
        <f>IF(OR(TABLERO!$A$25=1,D41=""),"",TABLERO!CF41)</f>
        <v/>
      </c>
      <c r="O41" s="31" t="str">
        <f>IF(OR(TABLERO!$A$25=1,D41=""),"",TABLERO!EB41)</f>
        <v/>
      </c>
      <c r="P41" s="31" t="str">
        <f>IF(OR(TABLERO!$A$25=1,D41=""),"",TABLERO!EC41)</f>
        <v/>
      </c>
      <c r="Q41" s="29" t="str">
        <f>IF(OR(TABLERO!$A$25=1,D41=""),"",TABLERO!U41)</f>
        <v/>
      </c>
      <c r="R41" s="33" t="str">
        <f>IF(TABLERO!$A$25=1,"",TABLERO!CG41)</f>
        <v/>
      </c>
    </row>
    <row r="42" spans="1:18">
      <c r="A42" s="28" t="str">
        <f>TABLERO!B42&amp;IF(TABLERO!C42="","",","&amp;TABLERO!C42)&amp;IF(TABLERO!D42="","",","&amp;TABLERO!D42)</f>
        <v/>
      </c>
      <c r="B42" s="29" t="str">
        <f>IF(OR(TABLERO!$A$25=1,D42=""),"",TABLERO!S42)</f>
        <v/>
      </c>
      <c r="C42" s="30" t="str">
        <f>IF(OR(TABLERO!$A$25=1,D42=""),"",TABLERO!I42)</f>
        <v/>
      </c>
      <c r="D42" s="31" t="str">
        <f>IF(OR(TABLERO!$A$25=1,,TABLERO!Q42=""),"",TABLERO!Q42)</f>
        <v/>
      </c>
      <c r="E42" s="29" t="str">
        <f>IF(OR(TABLERO!$A$25=1,D42=""),"",TABLERO!N42)</f>
        <v/>
      </c>
      <c r="F42" s="29" t="str">
        <f>IF(TABLERO!$A$25=1,"",TABLERO!CC42)</f>
        <v/>
      </c>
      <c r="G42" s="31" t="str">
        <f>IF(OR(TABLERO!$A$25=1,D42=""),"",TABLERO!BU42)</f>
        <v/>
      </c>
      <c r="H42" s="32" t="str">
        <f>IF(OR(TABLERO!$A$25=1,D42=""),"",TABLERO!DO42)</f>
        <v/>
      </c>
      <c r="I42" s="32" t="str">
        <f>IF(OR(TABLERO!$A$25=1,D42=""),"",TABLERO!DP42)</f>
        <v/>
      </c>
      <c r="J42" s="31" t="str">
        <f>IF(OR(TABLERO!$A$25=1,D42=""),"",TABLERO!DQ42)</f>
        <v/>
      </c>
      <c r="K42" s="31" t="str">
        <f>IF(OR(TABLERO!$A$25=1,D42=""),"",TABLERO!DR42)</f>
        <v/>
      </c>
      <c r="L42" s="31" t="str">
        <f>IF(OR(TABLERO!$A$25=1,D42=""),"",TABLERO!DS42)</f>
        <v/>
      </c>
      <c r="M42" s="31" t="str">
        <f>IF(OR(TABLERO!$A$25=1,D42=""),"",TABLERO!CE42)</f>
        <v/>
      </c>
      <c r="N42" s="30" t="str">
        <f>IF(OR(TABLERO!$A$25=1,D42=""),"",TABLERO!CF42)</f>
        <v/>
      </c>
      <c r="O42" s="31" t="str">
        <f>IF(OR(TABLERO!$A$25=1,D42=""),"",TABLERO!EB42)</f>
        <v/>
      </c>
      <c r="P42" s="31" t="str">
        <f>IF(OR(TABLERO!$A$25=1,D42=""),"",TABLERO!EC42)</f>
        <v/>
      </c>
      <c r="Q42" s="29" t="str">
        <f>IF(OR(TABLERO!$A$25=1,D42=""),"",TABLERO!U42)</f>
        <v/>
      </c>
      <c r="R42" s="33" t="str">
        <f>IF(TABLERO!$A$25=1,"",TABLERO!CG42)</f>
        <v/>
      </c>
    </row>
    <row r="43" spans="1:18">
      <c r="A43" s="28" t="str">
        <f>TABLERO!B43&amp;IF(TABLERO!C43="","",","&amp;TABLERO!C43)&amp;IF(TABLERO!D43="","",","&amp;TABLERO!D43)</f>
        <v/>
      </c>
      <c r="B43" s="29" t="str">
        <f>IF(OR(TABLERO!$A$25=1,D43=""),"",TABLERO!S43)</f>
        <v/>
      </c>
      <c r="C43" s="30" t="str">
        <f>IF(OR(TABLERO!$A$25=1,D43=""),"",TABLERO!I43)</f>
        <v/>
      </c>
      <c r="D43" s="31" t="str">
        <f>IF(OR(TABLERO!$A$25=1,,TABLERO!Q43=""),"",TABLERO!Q43)</f>
        <v/>
      </c>
      <c r="E43" s="29" t="str">
        <f>IF(OR(TABLERO!$A$25=1,D43=""),"",TABLERO!N43)</f>
        <v/>
      </c>
      <c r="F43" s="29" t="str">
        <f>IF(TABLERO!$A$25=1,"",TABLERO!CC43)</f>
        <v/>
      </c>
      <c r="G43" s="31" t="str">
        <f>IF(OR(TABLERO!$A$25=1,D43=""),"",TABLERO!BU43)</f>
        <v/>
      </c>
      <c r="H43" s="32" t="str">
        <f>IF(OR(TABLERO!$A$25=1,D43=""),"",TABLERO!DO43)</f>
        <v/>
      </c>
      <c r="I43" s="32" t="str">
        <f>IF(OR(TABLERO!$A$25=1,D43=""),"",TABLERO!DP43)</f>
        <v/>
      </c>
      <c r="J43" s="31" t="str">
        <f>IF(OR(TABLERO!$A$25=1,D43=""),"",TABLERO!DQ43)</f>
        <v/>
      </c>
      <c r="K43" s="31" t="str">
        <f>IF(OR(TABLERO!$A$25=1,D43=""),"",TABLERO!DR43)</f>
        <v/>
      </c>
      <c r="L43" s="31" t="str">
        <f>IF(OR(TABLERO!$A$25=1,D43=""),"",TABLERO!DS43)</f>
        <v/>
      </c>
      <c r="M43" s="31" t="str">
        <f>IF(OR(TABLERO!$A$25=1,D43=""),"",TABLERO!CE43)</f>
        <v/>
      </c>
      <c r="N43" s="30" t="str">
        <f>IF(OR(TABLERO!$A$25=1,D43=""),"",TABLERO!CF43)</f>
        <v/>
      </c>
      <c r="O43" s="31" t="str">
        <f>IF(OR(TABLERO!$A$25=1,D43=""),"",TABLERO!EB43)</f>
        <v/>
      </c>
      <c r="P43" s="31" t="str">
        <f>IF(OR(TABLERO!$A$25=1,D43=""),"",TABLERO!EC43)</f>
        <v/>
      </c>
      <c r="Q43" s="29" t="str">
        <f>IF(OR(TABLERO!$A$25=1,D43=""),"",TABLERO!U43)</f>
        <v/>
      </c>
      <c r="R43" s="33" t="str">
        <f>IF(TABLERO!$A$25=1,"",TABLERO!CG43)</f>
        <v/>
      </c>
    </row>
    <row r="44" spans="1:18">
      <c r="A44" s="28" t="str">
        <f>TABLERO!B44&amp;IF(TABLERO!C44="","",","&amp;TABLERO!C44)&amp;IF(TABLERO!D44="","",","&amp;TABLERO!D44)</f>
        <v/>
      </c>
      <c r="B44" s="29" t="str">
        <f>IF(OR(TABLERO!$A$25=1,D44=""),"",TABLERO!S44)</f>
        <v/>
      </c>
      <c r="C44" s="30" t="str">
        <f>IF(OR(TABLERO!$A$25=1,D44=""),"",TABLERO!I44)</f>
        <v/>
      </c>
      <c r="D44" s="31" t="str">
        <f>IF(OR(TABLERO!$A$25=1,,TABLERO!Q44=""),"",TABLERO!Q44)</f>
        <v/>
      </c>
      <c r="E44" s="29" t="str">
        <f>IF(OR(TABLERO!$A$25=1,D44=""),"",TABLERO!N44)</f>
        <v/>
      </c>
      <c r="F44" s="29" t="str">
        <f>IF(TABLERO!$A$25=1,"",TABLERO!CC44)</f>
        <v/>
      </c>
      <c r="G44" s="31" t="str">
        <f>IF(OR(TABLERO!$A$25=1,D44=""),"",TABLERO!BU44)</f>
        <v/>
      </c>
      <c r="H44" s="32" t="str">
        <f>IF(OR(TABLERO!$A$25=1,D44=""),"",TABLERO!DO44)</f>
        <v/>
      </c>
      <c r="I44" s="32" t="str">
        <f>IF(OR(TABLERO!$A$25=1,D44=""),"",TABLERO!DP44)</f>
        <v/>
      </c>
      <c r="J44" s="31" t="str">
        <f>IF(OR(TABLERO!$A$25=1,D44=""),"",TABLERO!DQ44)</f>
        <v/>
      </c>
      <c r="K44" s="31" t="str">
        <f>IF(OR(TABLERO!$A$25=1,D44=""),"",TABLERO!DR44)</f>
        <v/>
      </c>
      <c r="L44" s="31" t="str">
        <f>IF(OR(TABLERO!$A$25=1,D44=""),"",TABLERO!DS44)</f>
        <v/>
      </c>
      <c r="M44" s="31" t="str">
        <f>IF(OR(TABLERO!$A$25=1,D44=""),"",TABLERO!CE44)</f>
        <v/>
      </c>
      <c r="N44" s="30" t="str">
        <f>IF(OR(TABLERO!$A$25=1,D44=""),"",TABLERO!CF44)</f>
        <v/>
      </c>
      <c r="O44" s="31" t="str">
        <f>IF(OR(TABLERO!$A$25=1,D44=""),"",TABLERO!EB44)</f>
        <v/>
      </c>
      <c r="P44" s="31" t="str">
        <f>IF(OR(TABLERO!$A$25=1,D44=""),"",TABLERO!EC44)</f>
        <v/>
      </c>
      <c r="Q44" s="29" t="str">
        <f>IF(OR(TABLERO!$A$25=1,D44=""),"",TABLERO!U44)</f>
        <v/>
      </c>
      <c r="R44" s="33" t="str">
        <f>IF(TABLERO!$A$25=1,"",TABLERO!CG44)</f>
        <v/>
      </c>
    </row>
    <row r="45" spans="1:18">
      <c r="A45" s="28" t="str">
        <f>TABLERO!B45&amp;IF(TABLERO!C45="","",","&amp;TABLERO!C45)&amp;IF(TABLERO!D45="","",","&amp;TABLERO!D45)</f>
        <v/>
      </c>
      <c r="B45" s="29" t="str">
        <f>IF(OR(TABLERO!$A$25=1,D45=""),"",TABLERO!S45)</f>
        <v/>
      </c>
      <c r="C45" s="30" t="str">
        <f>IF(OR(TABLERO!$A$25=1,D45=""),"",TABLERO!I45)</f>
        <v/>
      </c>
      <c r="D45" s="31" t="str">
        <f>IF(OR(TABLERO!$A$25=1,,TABLERO!Q45=""),"",TABLERO!Q45)</f>
        <v/>
      </c>
      <c r="E45" s="29" t="str">
        <f>IF(OR(TABLERO!$A$25=1,D45=""),"",TABLERO!N45)</f>
        <v/>
      </c>
      <c r="F45" s="29" t="str">
        <f>IF(TABLERO!$A$25=1,"",TABLERO!CC45)</f>
        <v/>
      </c>
      <c r="G45" s="31" t="str">
        <f>IF(OR(TABLERO!$A$25=1,D45=""),"",TABLERO!BU45)</f>
        <v/>
      </c>
      <c r="H45" s="32" t="str">
        <f>IF(OR(TABLERO!$A$25=1,D45=""),"",TABLERO!DO45)</f>
        <v/>
      </c>
      <c r="I45" s="32" t="str">
        <f>IF(OR(TABLERO!$A$25=1,D45=""),"",TABLERO!DP45)</f>
        <v/>
      </c>
      <c r="J45" s="31" t="str">
        <f>IF(OR(TABLERO!$A$25=1,D45=""),"",TABLERO!DQ45)</f>
        <v/>
      </c>
      <c r="K45" s="31" t="str">
        <f>IF(OR(TABLERO!$A$25=1,D45=""),"",TABLERO!DR45)</f>
        <v/>
      </c>
      <c r="L45" s="31" t="str">
        <f>IF(OR(TABLERO!$A$25=1,D45=""),"",TABLERO!DS45)</f>
        <v/>
      </c>
      <c r="M45" s="31" t="str">
        <f>IF(OR(TABLERO!$A$25=1,D45=""),"",TABLERO!CE45)</f>
        <v/>
      </c>
      <c r="N45" s="30" t="str">
        <f>IF(OR(TABLERO!$A$25=1,D45=""),"",TABLERO!CF45)</f>
        <v/>
      </c>
      <c r="O45" s="31" t="str">
        <f>IF(OR(TABLERO!$A$25=1,D45=""),"",TABLERO!EB45)</f>
        <v/>
      </c>
      <c r="P45" s="31" t="str">
        <f>IF(OR(TABLERO!$A$25=1,D45=""),"",TABLERO!EC45)</f>
        <v/>
      </c>
      <c r="Q45" s="29" t="str">
        <f>IF(OR(TABLERO!$A$25=1,D45=""),"",TABLERO!U45)</f>
        <v/>
      </c>
      <c r="R45" s="33" t="str">
        <f>IF(TABLERO!$A$25=1,"",TABLERO!CG45)</f>
        <v/>
      </c>
    </row>
    <row r="46" spans="1:18">
      <c r="A46" s="28" t="str">
        <f>TABLERO!B46&amp;IF(TABLERO!C46="","",","&amp;TABLERO!C46)&amp;IF(TABLERO!D46="","",","&amp;TABLERO!D46)</f>
        <v/>
      </c>
      <c r="B46" s="29" t="str">
        <f>IF(OR(TABLERO!$A$25=1,D46=""),"",TABLERO!S46)</f>
        <v/>
      </c>
      <c r="C46" s="30" t="str">
        <f>IF(OR(TABLERO!$A$25=1,D46=""),"",TABLERO!I46)</f>
        <v/>
      </c>
      <c r="D46" s="31" t="str">
        <f>IF(OR(TABLERO!$A$25=1,,TABLERO!Q46=""),"",TABLERO!Q46)</f>
        <v/>
      </c>
      <c r="E46" s="29" t="str">
        <f>IF(OR(TABLERO!$A$25=1,D46=""),"",TABLERO!N46)</f>
        <v/>
      </c>
      <c r="F46" s="29" t="str">
        <f>IF(TABLERO!$A$25=1,"",TABLERO!CC46)</f>
        <v/>
      </c>
      <c r="G46" s="31" t="str">
        <f>IF(OR(TABLERO!$A$25=1,D46=""),"",TABLERO!BU46)</f>
        <v/>
      </c>
      <c r="H46" s="32" t="str">
        <f>IF(OR(TABLERO!$A$25=1,D46=""),"",TABLERO!DO46)</f>
        <v/>
      </c>
      <c r="I46" s="32" t="str">
        <f>IF(OR(TABLERO!$A$25=1,D46=""),"",TABLERO!DP46)</f>
        <v/>
      </c>
      <c r="J46" s="31" t="str">
        <f>IF(OR(TABLERO!$A$25=1,D46=""),"",TABLERO!DQ46)</f>
        <v/>
      </c>
      <c r="K46" s="31" t="str">
        <f>IF(OR(TABLERO!$A$25=1,D46=""),"",TABLERO!DR46)</f>
        <v/>
      </c>
      <c r="L46" s="31" t="str">
        <f>IF(OR(TABLERO!$A$25=1,D46=""),"",TABLERO!DS46)</f>
        <v/>
      </c>
      <c r="M46" s="31" t="str">
        <f>IF(OR(TABLERO!$A$25=1,D46=""),"",TABLERO!CE46)</f>
        <v/>
      </c>
      <c r="N46" s="30" t="str">
        <f>IF(OR(TABLERO!$A$25=1,D46=""),"",TABLERO!CF46)</f>
        <v/>
      </c>
      <c r="O46" s="31" t="str">
        <f>IF(OR(TABLERO!$A$25=1,D46=""),"",TABLERO!EB46)</f>
        <v/>
      </c>
      <c r="P46" s="31" t="str">
        <f>IF(OR(TABLERO!$A$25=1,D46=""),"",TABLERO!EC46)</f>
        <v/>
      </c>
      <c r="Q46" s="29" t="str">
        <f>IF(OR(TABLERO!$A$25=1,D46=""),"",TABLERO!U46)</f>
        <v/>
      </c>
      <c r="R46" s="33" t="str">
        <f>IF(TABLERO!$A$25=1,"",TABLERO!CG46)</f>
        <v/>
      </c>
    </row>
    <row r="47" spans="1:18">
      <c r="A47" s="28" t="str">
        <f>TABLERO!B47&amp;IF(TABLERO!C47="","",","&amp;TABLERO!C47)&amp;IF(TABLERO!D47="","",","&amp;TABLERO!D47)</f>
        <v/>
      </c>
      <c r="B47" s="29" t="str">
        <f>IF(OR(TABLERO!$A$25=1,D47=""),"",TABLERO!S47)</f>
        <v/>
      </c>
      <c r="C47" s="30" t="str">
        <f>IF(OR(TABLERO!$A$25=1,D47=""),"",TABLERO!I47)</f>
        <v/>
      </c>
      <c r="D47" s="31" t="str">
        <f>IF(OR(TABLERO!$A$25=1,,TABLERO!Q47=""),"",TABLERO!Q47)</f>
        <v/>
      </c>
      <c r="E47" s="29" t="str">
        <f>IF(OR(TABLERO!$A$25=1,D47=""),"",TABLERO!N47)</f>
        <v/>
      </c>
      <c r="F47" s="29" t="str">
        <f>IF(TABLERO!$A$25=1,"",TABLERO!CC47)</f>
        <v/>
      </c>
      <c r="G47" s="31" t="str">
        <f>IF(OR(TABLERO!$A$25=1,D47=""),"",TABLERO!BU47)</f>
        <v/>
      </c>
      <c r="H47" s="32" t="str">
        <f>IF(OR(TABLERO!$A$25=1,D47=""),"",TABLERO!DO47)</f>
        <v/>
      </c>
      <c r="I47" s="32" t="str">
        <f>IF(OR(TABLERO!$A$25=1,D47=""),"",TABLERO!DP47)</f>
        <v/>
      </c>
      <c r="J47" s="31" t="str">
        <f>IF(OR(TABLERO!$A$25=1,D47=""),"",TABLERO!DQ47)</f>
        <v/>
      </c>
      <c r="K47" s="31" t="str">
        <f>IF(OR(TABLERO!$A$25=1,D47=""),"",TABLERO!DR47)</f>
        <v/>
      </c>
      <c r="L47" s="31" t="str">
        <f>IF(OR(TABLERO!$A$25=1,D47=""),"",TABLERO!DS47)</f>
        <v/>
      </c>
      <c r="M47" s="31" t="str">
        <f>IF(OR(TABLERO!$A$25=1,D47=""),"",TABLERO!CE47)</f>
        <v/>
      </c>
      <c r="N47" s="30" t="str">
        <f>IF(OR(TABLERO!$A$25=1,D47=""),"",TABLERO!CF47)</f>
        <v/>
      </c>
      <c r="O47" s="31" t="str">
        <f>IF(OR(TABLERO!$A$25=1,D47=""),"",TABLERO!EB47)</f>
        <v/>
      </c>
      <c r="P47" s="31" t="str">
        <f>IF(OR(TABLERO!$A$25=1,D47=""),"",TABLERO!EC47)</f>
        <v/>
      </c>
      <c r="Q47" s="29" t="str">
        <f>IF(OR(TABLERO!$A$25=1,D47=""),"",TABLERO!U47)</f>
        <v/>
      </c>
      <c r="R47" s="33" t="str">
        <f>IF(TABLERO!$A$25=1,"",TABLERO!CG47)</f>
        <v/>
      </c>
    </row>
    <row r="48" spans="1:18">
      <c r="A48" s="28" t="str">
        <f>TABLERO!B48&amp;IF(TABLERO!C48="","",","&amp;TABLERO!C48)&amp;IF(TABLERO!D48="","",","&amp;TABLERO!D48)</f>
        <v/>
      </c>
      <c r="B48" s="29" t="str">
        <f>IF(OR(TABLERO!$A$25=1,D48=""),"",TABLERO!S48)</f>
        <v/>
      </c>
      <c r="C48" s="30" t="str">
        <f>IF(OR(TABLERO!$A$25=1,D48=""),"",TABLERO!I48)</f>
        <v/>
      </c>
      <c r="D48" s="31" t="str">
        <f>IF(OR(TABLERO!$A$25=1,,TABLERO!Q48=""),"",TABLERO!Q48)</f>
        <v/>
      </c>
      <c r="E48" s="29" t="str">
        <f>IF(OR(TABLERO!$A$25=1,D48=""),"",TABLERO!N48)</f>
        <v/>
      </c>
      <c r="F48" s="29" t="str">
        <f>IF(TABLERO!$A$25=1,"",TABLERO!CC48)</f>
        <v/>
      </c>
      <c r="G48" s="31" t="str">
        <f>IF(OR(TABLERO!$A$25=1,D48=""),"",TABLERO!BU48)</f>
        <v/>
      </c>
      <c r="H48" s="32" t="str">
        <f>IF(OR(TABLERO!$A$25=1,D48=""),"",TABLERO!DO48)</f>
        <v/>
      </c>
      <c r="I48" s="32" t="str">
        <f>IF(OR(TABLERO!$A$25=1,D48=""),"",TABLERO!DP48)</f>
        <v/>
      </c>
      <c r="J48" s="31" t="str">
        <f>IF(OR(TABLERO!$A$25=1,D48=""),"",TABLERO!DQ48)</f>
        <v/>
      </c>
      <c r="K48" s="31" t="str">
        <f>IF(OR(TABLERO!$A$25=1,D48=""),"",TABLERO!DR48)</f>
        <v/>
      </c>
      <c r="L48" s="31" t="str">
        <f>IF(OR(TABLERO!$A$25=1,D48=""),"",TABLERO!DS48)</f>
        <v/>
      </c>
      <c r="M48" s="31" t="str">
        <f>IF(OR(TABLERO!$A$25=1,D48=""),"",TABLERO!CE48)</f>
        <v/>
      </c>
      <c r="N48" s="30" t="str">
        <f>IF(OR(TABLERO!$A$25=1,D48=""),"",TABLERO!CF48)</f>
        <v/>
      </c>
      <c r="O48" s="31" t="str">
        <f>IF(OR(TABLERO!$A$25=1,D48=""),"",TABLERO!EB48)</f>
        <v/>
      </c>
      <c r="P48" s="31" t="str">
        <f>IF(OR(TABLERO!$A$25=1,D48=""),"",TABLERO!EC48)</f>
        <v/>
      </c>
      <c r="Q48" s="29" t="str">
        <f>IF(OR(TABLERO!$A$25=1,D48=""),"",TABLERO!U48)</f>
        <v/>
      </c>
      <c r="R48" s="33" t="str">
        <f>IF(TABLERO!$A$25=1,"",TABLERO!CG48)</f>
        <v/>
      </c>
    </row>
    <row r="49" spans="1:18">
      <c r="A49" s="28" t="str">
        <f>TABLERO!B49&amp;IF(TABLERO!C49="","",","&amp;TABLERO!C49)&amp;IF(TABLERO!D49="","",","&amp;TABLERO!D49)</f>
        <v/>
      </c>
      <c r="B49" s="29" t="str">
        <f>IF(OR(TABLERO!$A$25=1,D49=""),"",TABLERO!S49)</f>
        <v/>
      </c>
      <c r="C49" s="30" t="str">
        <f>IF(OR(TABLERO!$A$25=1,D49=""),"",TABLERO!I49)</f>
        <v/>
      </c>
      <c r="D49" s="31" t="str">
        <f>IF(OR(TABLERO!$A$25=1,,TABLERO!Q49=""),"",TABLERO!Q49)</f>
        <v/>
      </c>
      <c r="E49" s="29" t="str">
        <f>IF(OR(TABLERO!$A$25=1,D49=""),"",TABLERO!N49)</f>
        <v/>
      </c>
      <c r="F49" s="29" t="str">
        <f>IF(TABLERO!$A$25=1,"",TABLERO!CC49)</f>
        <v/>
      </c>
      <c r="G49" s="31" t="str">
        <f>IF(OR(TABLERO!$A$25=1,D49=""),"",TABLERO!BU49)</f>
        <v/>
      </c>
      <c r="H49" s="32" t="str">
        <f>IF(OR(TABLERO!$A$25=1,D49=""),"",TABLERO!DO49)</f>
        <v/>
      </c>
      <c r="I49" s="32" t="str">
        <f>IF(OR(TABLERO!$A$25=1,D49=""),"",TABLERO!DP49)</f>
        <v/>
      </c>
      <c r="J49" s="31" t="str">
        <f>IF(OR(TABLERO!$A$25=1,D49=""),"",TABLERO!DQ49)</f>
        <v/>
      </c>
      <c r="K49" s="31" t="str">
        <f>IF(OR(TABLERO!$A$25=1,D49=""),"",TABLERO!DR49)</f>
        <v/>
      </c>
      <c r="L49" s="31" t="str">
        <f>IF(OR(TABLERO!$A$25=1,D49=""),"",TABLERO!DS49)</f>
        <v/>
      </c>
      <c r="M49" s="31" t="str">
        <f>IF(OR(TABLERO!$A$25=1,D49=""),"",TABLERO!CE49)</f>
        <v/>
      </c>
      <c r="N49" s="30" t="str">
        <f>IF(OR(TABLERO!$A$25=1,D49=""),"",TABLERO!CF49)</f>
        <v/>
      </c>
      <c r="O49" s="31" t="str">
        <f>IF(OR(TABLERO!$A$25=1,D49=""),"",TABLERO!EB49)</f>
        <v/>
      </c>
      <c r="P49" s="31" t="str">
        <f>IF(OR(TABLERO!$A$25=1,D49=""),"",TABLERO!EC49)</f>
        <v/>
      </c>
      <c r="Q49" s="29" t="str">
        <f>IF(OR(TABLERO!$A$25=1,D49=""),"",TABLERO!U49)</f>
        <v/>
      </c>
      <c r="R49" s="33" t="str">
        <f>IF(TABLERO!$A$25=1,"",TABLERO!CG49)</f>
        <v/>
      </c>
    </row>
    <row r="50" spans="1:18">
      <c r="A50" s="28" t="str">
        <f>TABLERO!B50&amp;IF(TABLERO!C50="","",","&amp;TABLERO!C50)&amp;IF(TABLERO!D50="","",","&amp;TABLERO!D50)</f>
        <v/>
      </c>
      <c r="B50" s="29" t="str">
        <f>IF(OR(TABLERO!$A$25=1,D50=""),"",TABLERO!S50)</f>
        <v/>
      </c>
      <c r="C50" s="30" t="str">
        <f>IF(OR(TABLERO!$A$25=1,D50=""),"",TABLERO!I50)</f>
        <v/>
      </c>
      <c r="D50" s="31" t="str">
        <f>IF(OR(TABLERO!$A$25=1,,TABLERO!Q50=""),"",TABLERO!Q50)</f>
        <v/>
      </c>
      <c r="E50" s="29" t="str">
        <f>IF(OR(TABLERO!$A$25=1,D50=""),"",TABLERO!N50)</f>
        <v/>
      </c>
      <c r="F50" s="29" t="str">
        <f>IF(TABLERO!$A$25=1,"",TABLERO!CC50)</f>
        <v/>
      </c>
      <c r="G50" s="31" t="str">
        <f>IF(OR(TABLERO!$A$25=1,D50=""),"",TABLERO!BU50)</f>
        <v/>
      </c>
      <c r="H50" s="32" t="str">
        <f>IF(OR(TABLERO!$A$25=1,D50=""),"",TABLERO!DO50)</f>
        <v/>
      </c>
      <c r="I50" s="32" t="str">
        <f>IF(OR(TABLERO!$A$25=1,D50=""),"",TABLERO!DP50)</f>
        <v/>
      </c>
      <c r="J50" s="31" t="str">
        <f>IF(OR(TABLERO!$A$25=1,D50=""),"",TABLERO!DQ50)</f>
        <v/>
      </c>
      <c r="K50" s="31" t="str">
        <f>IF(OR(TABLERO!$A$25=1,D50=""),"",TABLERO!DR50)</f>
        <v/>
      </c>
      <c r="L50" s="31" t="str">
        <f>IF(OR(TABLERO!$A$25=1,D50=""),"",TABLERO!DS50)</f>
        <v/>
      </c>
      <c r="M50" s="31" t="str">
        <f>IF(OR(TABLERO!$A$25=1,D50=""),"",TABLERO!CE50)</f>
        <v/>
      </c>
      <c r="N50" s="30" t="str">
        <f>IF(OR(TABLERO!$A$25=1,D50=""),"",TABLERO!CF50)</f>
        <v/>
      </c>
      <c r="O50" s="31" t="str">
        <f>IF(OR(TABLERO!$A$25=1,D50=""),"",TABLERO!EB50)</f>
        <v/>
      </c>
      <c r="P50" s="31" t="str">
        <f>IF(OR(TABLERO!$A$25=1,D50=""),"",TABLERO!EC50)</f>
        <v/>
      </c>
      <c r="Q50" s="29" t="str">
        <f>IF(OR(TABLERO!$A$25=1,D50=""),"",TABLERO!U50)</f>
        <v/>
      </c>
      <c r="R50" s="33" t="str">
        <f>IF(TABLERO!$A$25=1,"",TABLERO!CG50)</f>
        <v/>
      </c>
    </row>
    <row r="51" spans="1:18">
      <c r="A51" s="28" t="str">
        <f>TABLERO!B51&amp;IF(TABLERO!C51="","",","&amp;TABLERO!C51)&amp;IF(TABLERO!D51="","",","&amp;TABLERO!D51)</f>
        <v/>
      </c>
      <c r="B51" s="29" t="str">
        <f>IF(OR(TABLERO!$A$25=1,D51=""),"",TABLERO!S51)</f>
        <v/>
      </c>
      <c r="C51" s="30" t="str">
        <f>IF(OR(TABLERO!$A$25=1,D51=""),"",TABLERO!I51)</f>
        <v/>
      </c>
      <c r="D51" s="31" t="str">
        <f>IF(OR(TABLERO!$A$25=1,,TABLERO!Q51=""),"",TABLERO!Q51)</f>
        <v/>
      </c>
      <c r="E51" s="29" t="str">
        <f>IF(OR(TABLERO!$A$25=1,D51=""),"",TABLERO!N51)</f>
        <v/>
      </c>
      <c r="F51" s="29" t="str">
        <f>IF(TABLERO!$A$25=1,"",TABLERO!CC51)</f>
        <v/>
      </c>
      <c r="G51" s="31" t="str">
        <f>IF(OR(TABLERO!$A$25=1,D51=""),"",TABLERO!BU51)</f>
        <v/>
      </c>
      <c r="H51" s="32" t="str">
        <f>IF(OR(TABLERO!$A$25=1,D51=""),"",TABLERO!DO51)</f>
        <v/>
      </c>
      <c r="I51" s="32" t="str">
        <f>IF(OR(TABLERO!$A$25=1,D51=""),"",TABLERO!DP51)</f>
        <v/>
      </c>
      <c r="J51" s="31" t="str">
        <f>IF(OR(TABLERO!$A$25=1,D51=""),"",TABLERO!DQ51)</f>
        <v/>
      </c>
      <c r="K51" s="31" t="str">
        <f>IF(OR(TABLERO!$A$25=1,D51=""),"",TABLERO!DR51)</f>
        <v/>
      </c>
      <c r="L51" s="31" t="str">
        <f>IF(OR(TABLERO!$A$25=1,D51=""),"",TABLERO!DS51)</f>
        <v/>
      </c>
      <c r="M51" s="31" t="str">
        <f>IF(OR(TABLERO!$A$25=1,D51=""),"",TABLERO!CE51)</f>
        <v/>
      </c>
      <c r="N51" s="30" t="str">
        <f>IF(OR(TABLERO!$A$25=1,D51=""),"",TABLERO!CF51)</f>
        <v/>
      </c>
      <c r="O51" s="31" t="str">
        <f>IF(OR(TABLERO!$A$25=1,D51=""),"",TABLERO!EB51)</f>
        <v/>
      </c>
      <c r="P51" s="31" t="str">
        <f>IF(OR(TABLERO!$A$25=1,D51=""),"",TABLERO!EC51)</f>
        <v/>
      </c>
      <c r="Q51" s="29" t="str">
        <f>IF(OR(TABLERO!$A$25=1,D51=""),"",TABLERO!U51)</f>
        <v/>
      </c>
      <c r="R51" s="33" t="str">
        <f>IF(TABLERO!$A$25=1,"",TABLERO!CG51)</f>
        <v/>
      </c>
    </row>
    <row r="52" spans="1:18">
      <c r="A52" s="28" t="str">
        <f>TABLERO!B52&amp;IF(TABLERO!C52="","",","&amp;TABLERO!C52)&amp;IF(TABLERO!D52="","",","&amp;TABLERO!D52)</f>
        <v/>
      </c>
      <c r="B52" s="29" t="str">
        <f>IF(OR(TABLERO!$A$25=1,D52=""),"",TABLERO!S52)</f>
        <v/>
      </c>
      <c r="C52" s="30" t="str">
        <f>IF(OR(TABLERO!$A$25=1,D52=""),"",TABLERO!I52)</f>
        <v/>
      </c>
      <c r="D52" s="31" t="str">
        <f>IF(OR(TABLERO!$A$25=1,,TABLERO!Q52=""),"",TABLERO!Q52)</f>
        <v/>
      </c>
      <c r="E52" s="29" t="str">
        <f>IF(OR(TABLERO!$A$25=1,D52=""),"",TABLERO!N52)</f>
        <v/>
      </c>
      <c r="F52" s="29" t="str">
        <f>IF(TABLERO!$A$25=1,"",TABLERO!CC52)</f>
        <v/>
      </c>
      <c r="G52" s="31" t="str">
        <f>IF(OR(TABLERO!$A$25=1,D52=""),"",TABLERO!BU52)</f>
        <v/>
      </c>
      <c r="H52" s="32" t="str">
        <f>IF(OR(TABLERO!$A$25=1,D52=""),"",TABLERO!DO52)</f>
        <v/>
      </c>
      <c r="I52" s="32" t="str">
        <f>IF(OR(TABLERO!$A$25=1,D52=""),"",TABLERO!DP52)</f>
        <v/>
      </c>
      <c r="J52" s="31" t="str">
        <f>IF(OR(TABLERO!$A$25=1,D52=""),"",TABLERO!DQ52)</f>
        <v/>
      </c>
      <c r="K52" s="31" t="str">
        <f>IF(OR(TABLERO!$A$25=1,D52=""),"",TABLERO!DR52)</f>
        <v/>
      </c>
      <c r="L52" s="31" t="str">
        <f>IF(OR(TABLERO!$A$25=1,D52=""),"",TABLERO!DS52)</f>
        <v/>
      </c>
      <c r="M52" s="31" t="str">
        <f>IF(OR(TABLERO!$A$25=1,D52=""),"",TABLERO!CE52)</f>
        <v/>
      </c>
      <c r="N52" s="30" t="str">
        <f>IF(OR(TABLERO!$A$25=1,D52=""),"",TABLERO!CF52)</f>
        <v/>
      </c>
      <c r="O52" s="31" t="str">
        <f>IF(OR(TABLERO!$A$25=1,D52=""),"",TABLERO!EB52)</f>
        <v/>
      </c>
      <c r="P52" s="31" t="str">
        <f>IF(OR(TABLERO!$A$25=1,D52=""),"",TABLERO!EC52)</f>
        <v/>
      </c>
      <c r="Q52" s="29" t="str">
        <f>IF(OR(TABLERO!$A$25=1,D52=""),"",TABLERO!U52)</f>
        <v/>
      </c>
      <c r="R52" s="33" t="str">
        <f>IF(TABLERO!$A$25=1,"",TABLERO!CG52)</f>
        <v/>
      </c>
    </row>
    <row r="53" spans="1:18">
      <c r="A53" s="28" t="str">
        <f>TABLERO!B53&amp;IF(TABLERO!C53="","",","&amp;TABLERO!C53)&amp;IF(TABLERO!D53="","",","&amp;TABLERO!D53)</f>
        <v/>
      </c>
      <c r="B53" s="29" t="str">
        <f>IF(OR(TABLERO!$A$25=1,D53=""),"",TABLERO!S53)</f>
        <v/>
      </c>
      <c r="C53" s="30" t="str">
        <f>IF(OR(TABLERO!$A$25=1,D53=""),"",TABLERO!I53)</f>
        <v/>
      </c>
      <c r="D53" s="31" t="str">
        <f>IF(OR(TABLERO!$A$25=1,,TABLERO!Q53=""),"",TABLERO!Q53)</f>
        <v/>
      </c>
      <c r="E53" s="29" t="str">
        <f>IF(OR(TABLERO!$A$25=1,D53=""),"",TABLERO!N53)</f>
        <v/>
      </c>
      <c r="F53" s="29" t="str">
        <f>IF(TABLERO!$A$25=1,"",TABLERO!CC53)</f>
        <v/>
      </c>
      <c r="G53" s="31" t="str">
        <f>IF(OR(TABLERO!$A$25=1,D53=""),"",TABLERO!BU53)</f>
        <v/>
      </c>
      <c r="H53" s="32" t="str">
        <f>IF(OR(TABLERO!$A$25=1,D53=""),"",TABLERO!DO53)</f>
        <v/>
      </c>
      <c r="I53" s="32" t="str">
        <f>IF(OR(TABLERO!$A$25=1,D53=""),"",TABLERO!DP53)</f>
        <v/>
      </c>
      <c r="J53" s="31" t="str">
        <f>IF(OR(TABLERO!$A$25=1,D53=""),"",TABLERO!DQ53)</f>
        <v/>
      </c>
      <c r="K53" s="31" t="str">
        <f>IF(OR(TABLERO!$A$25=1,D53=""),"",TABLERO!DR53)</f>
        <v/>
      </c>
      <c r="L53" s="31" t="str">
        <f>IF(OR(TABLERO!$A$25=1,D53=""),"",TABLERO!DS53)</f>
        <v/>
      </c>
      <c r="M53" s="31" t="str">
        <f>IF(OR(TABLERO!$A$25=1,D53=""),"",TABLERO!CE53)</f>
        <v/>
      </c>
      <c r="N53" s="30" t="str">
        <f>IF(OR(TABLERO!$A$25=1,D53=""),"",TABLERO!CF53)</f>
        <v/>
      </c>
      <c r="O53" s="31" t="str">
        <f>IF(OR(TABLERO!$A$25=1,D53=""),"",TABLERO!EB53)</f>
        <v/>
      </c>
      <c r="P53" s="31" t="str">
        <f>IF(OR(TABLERO!$A$25=1,D53=""),"",TABLERO!EC53)</f>
        <v/>
      </c>
      <c r="Q53" s="29" t="str">
        <f>IF(OR(TABLERO!$A$25=1,D53=""),"",TABLERO!U53)</f>
        <v/>
      </c>
      <c r="R53" s="33" t="str">
        <f>IF(TABLERO!$A$25=1,"",TABLERO!CG53)</f>
        <v/>
      </c>
    </row>
    <row r="54" spans="1:18">
      <c r="A54" s="28" t="str">
        <f>TABLERO!B54&amp;IF(TABLERO!C54="","",","&amp;TABLERO!C54)&amp;IF(TABLERO!D54="","",","&amp;TABLERO!D54)</f>
        <v/>
      </c>
      <c r="B54" s="29" t="str">
        <f>IF(OR(TABLERO!$A$25=1,D54=""),"",TABLERO!S54)</f>
        <v/>
      </c>
      <c r="C54" s="30" t="str">
        <f>IF(OR(TABLERO!$A$25=1,D54=""),"",TABLERO!I54)</f>
        <v/>
      </c>
      <c r="D54" s="31" t="str">
        <f>IF(OR(TABLERO!$A$25=1,,TABLERO!Q54=""),"",TABLERO!Q54)</f>
        <v/>
      </c>
      <c r="E54" s="29" t="str">
        <f>IF(OR(TABLERO!$A$25=1,D54=""),"",TABLERO!N54)</f>
        <v/>
      </c>
      <c r="F54" s="29" t="str">
        <f>IF(TABLERO!$A$25=1,"",TABLERO!CC54)</f>
        <v/>
      </c>
      <c r="G54" s="31" t="str">
        <f>IF(OR(TABLERO!$A$25=1,D54=""),"",TABLERO!BU54)</f>
        <v/>
      </c>
      <c r="H54" s="32" t="str">
        <f>IF(OR(TABLERO!$A$25=1,D54=""),"",TABLERO!DO54)</f>
        <v/>
      </c>
      <c r="I54" s="32" t="str">
        <f>IF(OR(TABLERO!$A$25=1,D54=""),"",TABLERO!DP54)</f>
        <v/>
      </c>
      <c r="J54" s="31" t="str">
        <f>IF(OR(TABLERO!$A$25=1,D54=""),"",TABLERO!DQ54)</f>
        <v/>
      </c>
      <c r="K54" s="31" t="str">
        <f>IF(OR(TABLERO!$A$25=1,D54=""),"",TABLERO!DR54)</f>
        <v/>
      </c>
      <c r="L54" s="31" t="str">
        <f>IF(OR(TABLERO!$A$25=1,D54=""),"",TABLERO!DS54)</f>
        <v/>
      </c>
      <c r="M54" s="31" t="str">
        <f>IF(OR(TABLERO!$A$25=1,D54=""),"",TABLERO!CE54)</f>
        <v/>
      </c>
      <c r="N54" s="30" t="str">
        <f>IF(OR(TABLERO!$A$25=1,D54=""),"",TABLERO!CF54)</f>
        <v/>
      </c>
      <c r="O54" s="31" t="str">
        <f>IF(OR(TABLERO!$A$25=1,D54=""),"",TABLERO!EB54)</f>
        <v/>
      </c>
      <c r="P54" s="31" t="str">
        <f>IF(OR(TABLERO!$A$25=1,D54=""),"",TABLERO!EC54)</f>
        <v/>
      </c>
      <c r="Q54" s="29" t="str">
        <f>IF(OR(TABLERO!$A$25=1,D54=""),"",TABLERO!U54)</f>
        <v/>
      </c>
      <c r="R54" s="33" t="str">
        <f>IF(TABLERO!$A$25=1,"",TABLERO!CG54)</f>
        <v/>
      </c>
    </row>
    <row r="55" spans="1:18">
      <c r="A55" s="28" t="str">
        <f>TABLERO!B55&amp;IF(TABLERO!C55="","",","&amp;TABLERO!C55)&amp;IF(TABLERO!D55="","",","&amp;TABLERO!D55)</f>
        <v/>
      </c>
      <c r="B55" s="29" t="str">
        <f>IF(OR(TABLERO!$A$25=1,D55=""),"",TABLERO!S55)</f>
        <v/>
      </c>
      <c r="C55" s="30" t="str">
        <f>IF(OR(TABLERO!$A$25=1,D55=""),"",TABLERO!I55)</f>
        <v/>
      </c>
      <c r="D55" s="31" t="str">
        <f>IF(OR(TABLERO!$A$25=1,,TABLERO!Q55=""),"",TABLERO!Q55)</f>
        <v/>
      </c>
      <c r="E55" s="29" t="str">
        <f>IF(OR(TABLERO!$A$25=1,D55=""),"",TABLERO!N55)</f>
        <v/>
      </c>
      <c r="F55" s="29" t="str">
        <f>IF(TABLERO!$A$25=1,"",TABLERO!CC55)</f>
        <v/>
      </c>
      <c r="G55" s="31" t="str">
        <f>IF(OR(TABLERO!$A$25=1,D55=""),"",TABLERO!BU55)</f>
        <v/>
      </c>
      <c r="H55" s="32" t="str">
        <f>IF(OR(TABLERO!$A$25=1,D55=""),"",TABLERO!DO55)</f>
        <v/>
      </c>
      <c r="I55" s="32" t="str">
        <f>IF(OR(TABLERO!$A$25=1,D55=""),"",TABLERO!DP55)</f>
        <v/>
      </c>
      <c r="J55" s="31" t="str">
        <f>IF(OR(TABLERO!$A$25=1,D55=""),"",TABLERO!DQ55)</f>
        <v/>
      </c>
      <c r="K55" s="31" t="str">
        <f>IF(OR(TABLERO!$A$25=1,D55=""),"",TABLERO!DR55)</f>
        <v/>
      </c>
      <c r="L55" s="31" t="str">
        <f>IF(OR(TABLERO!$A$25=1,D55=""),"",TABLERO!DS55)</f>
        <v/>
      </c>
      <c r="M55" s="31" t="str">
        <f>IF(OR(TABLERO!$A$25=1,D55=""),"",TABLERO!CE55)</f>
        <v/>
      </c>
      <c r="N55" s="30" t="str">
        <f>IF(OR(TABLERO!$A$25=1,D55=""),"",TABLERO!CF55)</f>
        <v/>
      </c>
      <c r="O55" s="31" t="str">
        <f>IF(OR(TABLERO!$A$25=1,D55=""),"",TABLERO!EB55)</f>
        <v/>
      </c>
      <c r="P55" s="31" t="str">
        <f>IF(OR(TABLERO!$A$25=1,D55=""),"",TABLERO!EC55)</f>
        <v/>
      </c>
      <c r="Q55" s="29" t="str">
        <f>IF(OR(TABLERO!$A$25=1,D55=""),"",TABLERO!U55)</f>
        <v/>
      </c>
      <c r="R55" s="33" t="str">
        <f>IF(TABLERO!$A$25=1,"",TABLERO!CG55)</f>
        <v/>
      </c>
    </row>
    <row r="56" spans="1:18">
      <c r="A56" s="28" t="str">
        <f>TABLERO!B56&amp;IF(TABLERO!C56="","",","&amp;TABLERO!C56)&amp;IF(TABLERO!D56="","",","&amp;TABLERO!D56)</f>
        <v/>
      </c>
      <c r="B56" s="29" t="str">
        <f>IF(OR(TABLERO!$A$25=1,D56=""),"",TABLERO!S56)</f>
        <v/>
      </c>
      <c r="C56" s="30" t="str">
        <f>IF(OR(TABLERO!$A$25=1,D56=""),"",TABLERO!I56)</f>
        <v/>
      </c>
      <c r="D56" s="31" t="str">
        <f>IF(OR(TABLERO!$A$25=1,,TABLERO!Q56=""),"",TABLERO!Q56)</f>
        <v/>
      </c>
      <c r="E56" s="29" t="str">
        <f>IF(OR(TABLERO!$A$25=1,D56=""),"",TABLERO!N56)</f>
        <v/>
      </c>
      <c r="F56" s="29" t="str">
        <f>IF(TABLERO!$A$25=1,"",TABLERO!CC56)</f>
        <v/>
      </c>
      <c r="G56" s="31" t="str">
        <f>IF(OR(TABLERO!$A$25=1,D56=""),"",TABLERO!BU56)</f>
        <v/>
      </c>
      <c r="H56" s="32" t="str">
        <f>IF(OR(TABLERO!$A$25=1,D56=""),"",TABLERO!DO56)</f>
        <v/>
      </c>
      <c r="I56" s="32" t="str">
        <f>IF(OR(TABLERO!$A$25=1,D56=""),"",TABLERO!DP56)</f>
        <v/>
      </c>
      <c r="J56" s="31" t="str">
        <f>IF(OR(TABLERO!$A$25=1,D56=""),"",TABLERO!DQ56)</f>
        <v/>
      </c>
      <c r="K56" s="31" t="str">
        <f>IF(OR(TABLERO!$A$25=1,D56=""),"",TABLERO!DR56)</f>
        <v/>
      </c>
      <c r="L56" s="31" t="str">
        <f>IF(OR(TABLERO!$A$25=1,D56=""),"",TABLERO!DS56)</f>
        <v/>
      </c>
      <c r="M56" s="31" t="str">
        <f>IF(OR(TABLERO!$A$25=1,D56=""),"",TABLERO!CE56)</f>
        <v/>
      </c>
      <c r="N56" s="30" t="str">
        <f>IF(OR(TABLERO!$A$25=1,D56=""),"",TABLERO!CF56)</f>
        <v/>
      </c>
      <c r="O56" s="31" t="str">
        <f>IF(OR(TABLERO!$A$25=1,D56=""),"",TABLERO!EB56)</f>
        <v/>
      </c>
      <c r="P56" s="31" t="str">
        <f>IF(OR(TABLERO!$A$25=1,D56=""),"",TABLERO!EC56)</f>
        <v/>
      </c>
      <c r="Q56" s="29" t="str">
        <f>IF(OR(TABLERO!$A$25=1,D56=""),"",TABLERO!U56)</f>
        <v/>
      </c>
      <c r="R56" s="33" t="str">
        <f>IF(TABLERO!$A$25=1,"",TABLERO!CG56)</f>
        <v/>
      </c>
    </row>
    <row r="57" spans="1:18">
      <c r="A57" s="28" t="str">
        <f>TABLERO!B57&amp;IF(TABLERO!C57="","",","&amp;TABLERO!C57)&amp;IF(TABLERO!D57="","",","&amp;TABLERO!D57)</f>
        <v/>
      </c>
      <c r="B57" s="29" t="str">
        <f>IF(OR(TABLERO!$A$25=1,D57=""),"",TABLERO!S57)</f>
        <v/>
      </c>
      <c r="C57" s="30" t="str">
        <f>IF(OR(TABLERO!$A$25=1,D57=""),"",TABLERO!I57)</f>
        <v/>
      </c>
      <c r="D57" s="31" t="str">
        <f>IF(OR(TABLERO!$A$25=1,,TABLERO!Q57=""),"",TABLERO!Q57)</f>
        <v/>
      </c>
      <c r="E57" s="29" t="str">
        <f>IF(OR(TABLERO!$A$25=1,D57=""),"",TABLERO!N57)</f>
        <v/>
      </c>
      <c r="F57" s="29" t="str">
        <f>IF(TABLERO!$A$25=1,"",TABLERO!CC57)</f>
        <v/>
      </c>
      <c r="G57" s="31" t="str">
        <f>IF(OR(TABLERO!$A$25=1,D57=""),"",TABLERO!BU57)</f>
        <v/>
      </c>
      <c r="H57" s="32" t="str">
        <f>IF(OR(TABLERO!$A$25=1,D57=""),"",TABLERO!DO57)</f>
        <v/>
      </c>
      <c r="I57" s="32" t="str">
        <f>IF(OR(TABLERO!$A$25=1,D57=""),"",TABLERO!DP57)</f>
        <v/>
      </c>
      <c r="J57" s="31" t="str">
        <f>IF(OR(TABLERO!$A$25=1,D57=""),"",TABLERO!DQ57)</f>
        <v/>
      </c>
      <c r="K57" s="31" t="str">
        <f>IF(OR(TABLERO!$A$25=1,D57=""),"",TABLERO!DR57)</f>
        <v/>
      </c>
      <c r="L57" s="31" t="str">
        <f>IF(OR(TABLERO!$A$25=1,D57=""),"",TABLERO!DS57)</f>
        <v/>
      </c>
      <c r="M57" s="31" t="str">
        <f>IF(OR(TABLERO!$A$25=1,D57=""),"",TABLERO!CE57)</f>
        <v/>
      </c>
      <c r="N57" s="30" t="str">
        <f>IF(OR(TABLERO!$A$25=1,D57=""),"",TABLERO!CF57)</f>
        <v/>
      </c>
      <c r="O57" s="31" t="str">
        <f>IF(OR(TABLERO!$A$25=1,D57=""),"",TABLERO!EB57)</f>
        <v/>
      </c>
      <c r="P57" s="31" t="str">
        <f>IF(OR(TABLERO!$A$25=1,D57=""),"",TABLERO!EC57)</f>
        <v/>
      </c>
      <c r="Q57" s="29" t="str">
        <f>IF(OR(TABLERO!$A$25=1,D57=""),"",TABLERO!U57)</f>
        <v/>
      </c>
      <c r="R57" s="33" t="str">
        <f>IF(TABLERO!$A$25=1,"",TABLERO!CG57)</f>
        <v/>
      </c>
    </row>
    <row r="58" spans="1:18">
      <c r="A58" s="28" t="str">
        <f>TABLERO!B58&amp;IF(TABLERO!C58="","",","&amp;TABLERO!C58)&amp;IF(TABLERO!D58="","",","&amp;TABLERO!D58)</f>
        <v/>
      </c>
      <c r="B58" s="29" t="str">
        <f>IF(OR(TABLERO!$A$25=1,D58=""),"",TABLERO!S58)</f>
        <v/>
      </c>
      <c r="C58" s="30" t="str">
        <f>IF(OR(TABLERO!$A$25=1,D58=""),"",TABLERO!I58)</f>
        <v/>
      </c>
      <c r="D58" s="31" t="str">
        <f>IF(OR(TABLERO!$A$25=1,,TABLERO!Q58=""),"",TABLERO!Q58)</f>
        <v/>
      </c>
      <c r="E58" s="29" t="str">
        <f>IF(OR(TABLERO!$A$25=1,D58=""),"",TABLERO!N58)</f>
        <v/>
      </c>
      <c r="F58" s="29" t="str">
        <f>IF(TABLERO!$A$25=1,"",TABLERO!CC58)</f>
        <v/>
      </c>
      <c r="G58" s="31" t="str">
        <f>IF(OR(TABLERO!$A$25=1,D58=""),"",TABLERO!BU58)</f>
        <v/>
      </c>
      <c r="H58" s="32" t="str">
        <f>IF(OR(TABLERO!$A$25=1,D58=""),"",TABLERO!DO58)</f>
        <v/>
      </c>
      <c r="I58" s="32" t="str">
        <f>IF(OR(TABLERO!$A$25=1,D58=""),"",TABLERO!DP58)</f>
        <v/>
      </c>
      <c r="J58" s="31" t="str">
        <f>IF(OR(TABLERO!$A$25=1,D58=""),"",TABLERO!DQ58)</f>
        <v/>
      </c>
      <c r="K58" s="31" t="str">
        <f>IF(OR(TABLERO!$A$25=1,D58=""),"",TABLERO!DR58)</f>
        <v/>
      </c>
      <c r="L58" s="31" t="str">
        <f>IF(OR(TABLERO!$A$25=1,D58=""),"",TABLERO!DS58)</f>
        <v/>
      </c>
      <c r="M58" s="31" t="str">
        <f>IF(OR(TABLERO!$A$25=1,D58=""),"",TABLERO!CE58)</f>
        <v/>
      </c>
      <c r="N58" s="30" t="str">
        <f>IF(OR(TABLERO!$A$25=1,D58=""),"",TABLERO!CF58)</f>
        <v/>
      </c>
      <c r="O58" s="31" t="str">
        <f>IF(OR(TABLERO!$A$25=1,D58=""),"",TABLERO!EB58)</f>
        <v/>
      </c>
      <c r="P58" s="31" t="str">
        <f>IF(OR(TABLERO!$A$25=1,D58=""),"",TABLERO!EC58)</f>
        <v/>
      </c>
      <c r="Q58" s="29" t="str">
        <f>IF(OR(TABLERO!$A$25=1,D58=""),"",TABLERO!U58)</f>
        <v/>
      </c>
      <c r="R58" s="33" t="str">
        <f>IF(TABLERO!$A$25=1,"",TABLERO!CG58)</f>
        <v/>
      </c>
    </row>
    <row r="59" spans="1:18">
      <c r="A59" s="28" t="str">
        <f>TABLERO!B59&amp;IF(TABLERO!C59="","",","&amp;TABLERO!C59)&amp;IF(TABLERO!D59="","",","&amp;TABLERO!D59)</f>
        <v/>
      </c>
      <c r="B59" s="29" t="str">
        <f>IF(OR(TABLERO!$A$25=1,D59=""),"",TABLERO!S59)</f>
        <v/>
      </c>
      <c r="C59" s="30" t="str">
        <f>IF(OR(TABLERO!$A$25=1,D59=""),"",TABLERO!I59)</f>
        <v/>
      </c>
      <c r="D59" s="31" t="str">
        <f>IF(OR(TABLERO!$A$25=1,,TABLERO!Q59=""),"",TABLERO!Q59)</f>
        <v/>
      </c>
      <c r="E59" s="29" t="str">
        <f>IF(OR(TABLERO!$A$25=1,D59=""),"",TABLERO!N59)</f>
        <v/>
      </c>
      <c r="F59" s="29" t="str">
        <f>IF(TABLERO!$A$25=1,"",TABLERO!CC59)</f>
        <v/>
      </c>
      <c r="G59" s="31" t="str">
        <f>IF(OR(TABLERO!$A$25=1,D59=""),"",TABLERO!BU59)</f>
        <v/>
      </c>
      <c r="H59" s="32" t="str">
        <f>IF(OR(TABLERO!$A$25=1,D59=""),"",TABLERO!DO59)</f>
        <v/>
      </c>
      <c r="I59" s="32" t="str">
        <f>IF(OR(TABLERO!$A$25=1,D59=""),"",TABLERO!DP59)</f>
        <v/>
      </c>
      <c r="J59" s="31" t="str">
        <f>IF(OR(TABLERO!$A$25=1,D59=""),"",TABLERO!DQ59)</f>
        <v/>
      </c>
      <c r="K59" s="31" t="str">
        <f>IF(OR(TABLERO!$A$25=1,D59=""),"",TABLERO!DR59)</f>
        <v/>
      </c>
      <c r="L59" s="31" t="str">
        <f>IF(OR(TABLERO!$A$25=1,D59=""),"",TABLERO!DS59)</f>
        <v/>
      </c>
      <c r="M59" s="31" t="str">
        <f>IF(OR(TABLERO!$A$25=1,D59=""),"",TABLERO!CE59)</f>
        <v/>
      </c>
      <c r="N59" s="30" t="str">
        <f>IF(OR(TABLERO!$A$25=1,D59=""),"",TABLERO!CF59)</f>
        <v/>
      </c>
      <c r="O59" s="31" t="str">
        <f>IF(OR(TABLERO!$A$25=1,D59=""),"",TABLERO!EB59)</f>
        <v/>
      </c>
      <c r="P59" s="31" t="str">
        <f>IF(OR(TABLERO!$A$25=1,D59=""),"",TABLERO!EC59)</f>
        <v/>
      </c>
      <c r="Q59" s="29" t="str">
        <f>IF(OR(TABLERO!$A$25=1,D59=""),"",TABLERO!U59)</f>
        <v/>
      </c>
      <c r="R59" s="33" t="str">
        <f>IF(TABLERO!$A$25=1,"",TABLERO!CG59)</f>
        <v/>
      </c>
    </row>
    <row r="60" spans="1:18">
      <c r="A60" s="28" t="str">
        <f>TABLERO!B60&amp;IF(TABLERO!C60="","",","&amp;TABLERO!C60)&amp;IF(TABLERO!D60="","",","&amp;TABLERO!D60)</f>
        <v/>
      </c>
      <c r="B60" s="29" t="str">
        <f>IF(OR(TABLERO!$A$25=1,D60=""),"",TABLERO!S60)</f>
        <v/>
      </c>
      <c r="C60" s="30" t="str">
        <f>IF(OR(TABLERO!$A$25=1,D60=""),"",TABLERO!I60)</f>
        <v/>
      </c>
      <c r="D60" s="31" t="str">
        <f>IF(OR(TABLERO!$A$25=1,,TABLERO!Q60=""),"",TABLERO!Q60)</f>
        <v/>
      </c>
      <c r="E60" s="29" t="str">
        <f>IF(OR(TABLERO!$A$25=1,D60=""),"",TABLERO!N60)</f>
        <v/>
      </c>
      <c r="F60" s="29" t="str">
        <f>IF(TABLERO!$A$25=1,"",TABLERO!CC60)</f>
        <v/>
      </c>
      <c r="G60" s="31" t="str">
        <f>IF(OR(TABLERO!$A$25=1,D60=""),"",TABLERO!BU60)</f>
        <v/>
      </c>
      <c r="H60" s="32" t="str">
        <f>IF(OR(TABLERO!$A$25=1,D60=""),"",TABLERO!DO60)</f>
        <v/>
      </c>
      <c r="I60" s="32" t="str">
        <f>IF(OR(TABLERO!$A$25=1,D60=""),"",TABLERO!DP60)</f>
        <v/>
      </c>
      <c r="J60" s="31" t="str">
        <f>IF(OR(TABLERO!$A$25=1,D60=""),"",TABLERO!DQ60)</f>
        <v/>
      </c>
      <c r="K60" s="31" t="str">
        <f>IF(OR(TABLERO!$A$25=1,D60=""),"",TABLERO!DR60)</f>
        <v/>
      </c>
      <c r="L60" s="31" t="str">
        <f>IF(OR(TABLERO!$A$25=1,D60=""),"",TABLERO!DS60)</f>
        <v/>
      </c>
      <c r="M60" s="31" t="str">
        <f>IF(OR(TABLERO!$A$25=1,D60=""),"",TABLERO!CE60)</f>
        <v/>
      </c>
      <c r="N60" s="30" t="str">
        <f>IF(OR(TABLERO!$A$25=1,D60=""),"",TABLERO!CF60)</f>
        <v/>
      </c>
      <c r="O60" s="31" t="str">
        <f>IF(OR(TABLERO!$A$25=1,D60=""),"",TABLERO!EB60)</f>
        <v/>
      </c>
      <c r="P60" s="31" t="str">
        <f>IF(OR(TABLERO!$A$25=1,D60=""),"",TABLERO!EC60)</f>
        <v/>
      </c>
      <c r="Q60" s="29" t="str">
        <f>IF(OR(TABLERO!$A$25=1,D60=""),"",TABLERO!U60)</f>
        <v/>
      </c>
      <c r="R60" s="33" t="str">
        <f>IF(TABLERO!$A$25=1,"",TABLERO!CG60)</f>
        <v/>
      </c>
    </row>
    <row r="61" spans="1:18">
      <c r="A61" s="28" t="str">
        <f>TABLERO!B61&amp;IF(TABLERO!C61="","",","&amp;TABLERO!C61)&amp;IF(TABLERO!D61="","",","&amp;TABLERO!D61)</f>
        <v>31</v>
      </c>
      <c r="B61" s="29" t="str">
        <f>IF(OR(TABLERO!$A$25=1,D61=""),"",TABLERO!S61)</f>
        <v/>
      </c>
      <c r="C61" s="30" t="str">
        <f>IF(OR(TABLERO!$A$25=1,D61=""),"",TABLERO!I61)</f>
        <v/>
      </c>
      <c r="D61" s="31" t="str">
        <f>IF(OR(TABLERO!$A$25=1,,TABLERO!Q61=""),"",TABLERO!Q61)</f>
        <v/>
      </c>
      <c r="E61" s="29" t="str">
        <f>IF(OR(TABLERO!$A$25=1,D61=""),"",TABLERO!N61)</f>
        <v/>
      </c>
      <c r="F61" s="29" t="str">
        <f>IF(TABLERO!$A$25=1,"",TABLERO!CC61)</f>
        <v/>
      </c>
      <c r="G61" s="31" t="str">
        <f>IF(OR(TABLERO!$A$25=1,D61=""),"",TABLERO!BU61)</f>
        <v/>
      </c>
      <c r="H61" s="32" t="str">
        <f>IF(OR(TABLERO!$A$25=1,D61=""),"",TABLERO!DO61)</f>
        <v/>
      </c>
      <c r="I61" s="32" t="str">
        <f>IF(OR(TABLERO!$A$25=1,D61=""),"",TABLERO!DP61)</f>
        <v/>
      </c>
      <c r="J61" s="31" t="str">
        <f>IF(OR(TABLERO!$A$25=1,D61=""),"",TABLERO!DQ61)</f>
        <v/>
      </c>
      <c r="K61" s="31" t="str">
        <f>IF(OR(TABLERO!$A$25=1,D61=""),"",TABLERO!DR61)</f>
        <v/>
      </c>
      <c r="L61" s="31" t="str">
        <f>IF(OR(TABLERO!$A$25=1,D61=""),"",TABLERO!DS61)</f>
        <v/>
      </c>
      <c r="M61" s="31" t="str">
        <f>IF(OR(TABLERO!$A$25=1,D61=""),"",TABLERO!CE61)</f>
        <v/>
      </c>
      <c r="N61" s="30" t="str">
        <f>IF(OR(TABLERO!$A$25=1,D61=""),"",TABLERO!CF61)</f>
        <v/>
      </c>
      <c r="O61" s="31" t="str">
        <f>IF(OR(TABLERO!$A$25=1,D61=""),"",TABLERO!EB61)</f>
        <v/>
      </c>
      <c r="P61" s="31" t="str">
        <f>IF(OR(TABLERO!$A$25=1,D61=""),"",TABLERO!EC61)</f>
        <v/>
      </c>
      <c r="Q61" s="29" t="str">
        <f>IF(OR(TABLERO!$A$25=1,D61=""),"",TABLERO!U61)</f>
        <v/>
      </c>
      <c r="R61" s="33" t="str">
        <f>IF(TABLERO!$A$25=1,"",TABLERO!CG61)</f>
        <v/>
      </c>
    </row>
    <row r="62" spans="1:18">
      <c r="A62" s="28" t="str">
        <f>TABLERO!B62&amp;IF(TABLERO!C62="","",","&amp;TABLERO!C62)&amp;IF(TABLERO!D62="","",","&amp;TABLERO!D62)</f>
        <v>32</v>
      </c>
      <c r="B62" s="29" t="str">
        <f>IF(OR(TABLERO!$A$25=1,D62=""),"",TABLERO!S62)</f>
        <v/>
      </c>
      <c r="C62" s="30" t="str">
        <f>IF(OR(TABLERO!$A$25=1,D62=""),"",TABLERO!I62)</f>
        <v/>
      </c>
      <c r="D62" s="31" t="str">
        <f>IF(OR(TABLERO!$A$25=1,,TABLERO!Q62=""),"",TABLERO!Q62)</f>
        <v/>
      </c>
      <c r="E62" s="29" t="str">
        <f>IF(OR(TABLERO!$A$25=1,D62=""),"",TABLERO!N62)</f>
        <v/>
      </c>
      <c r="F62" s="29" t="str">
        <f>IF(TABLERO!$A$25=1,"",TABLERO!CC62)</f>
        <v/>
      </c>
      <c r="G62" s="31" t="str">
        <f>IF(OR(TABLERO!$A$25=1,D62=""),"",TABLERO!BU62)</f>
        <v/>
      </c>
      <c r="H62" s="32" t="str">
        <f>IF(OR(TABLERO!$A$25=1,D62=""),"",TABLERO!DO62)</f>
        <v/>
      </c>
      <c r="I62" s="32" t="str">
        <f>IF(OR(TABLERO!$A$25=1,D62=""),"",TABLERO!DP62)</f>
        <v/>
      </c>
      <c r="J62" s="31" t="str">
        <f>IF(OR(TABLERO!$A$25=1,D62=""),"",TABLERO!DQ62)</f>
        <v/>
      </c>
      <c r="K62" s="31" t="str">
        <f>IF(OR(TABLERO!$A$25=1,D62=""),"",TABLERO!DR62)</f>
        <v/>
      </c>
      <c r="L62" s="31" t="str">
        <f>IF(OR(TABLERO!$A$25=1,D62=""),"",TABLERO!DS62)</f>
        <v/>
      </c>
      <c r="M62" s="31" t="str">
        <f>IF(OR(TABLERO!$A$25=1,D62=""),"",TABLERO!CE62)</f>
        <v/>
      </c>
      <c r="N62" s="30" t="str">
        <f>IF(OR(TABLERO!$A$25=1,D62=""),"",TABLERO!CF62)</f>
        <v/>
      </c>
      <c r="O62" s="31" t="str">
        <f>IF(OR(TABLERO!$A$25=1,D62=""),"",TABLERO!EB62)</f>
        <v/>
      </c>
      <c r="P62" s="31" t="str">
        <f>IF(OR(TABLERO!$A$25=1,D62=""),"",TABLERO!EC62)</f>
        <v/>
      </c>
      <c r="Q62" s="29" t="str">
        <f>IF(OR(TABLERO!$A$25=1,D62=""),"",TABLERO!U62)</f>
        <v/>
      </c>
      <c r="R62" s="33" t="str">
        <f>IF(TABLERO!$A$25=1,"",TABLERO!CG62)</f>
        <v/>
      </c>
    </row>
    <row r="63" spans="1:18">
      <c r="A63" s="28" t="str">
        <f>TABLERO!B63&amp;IF(TABLERO!C63="","",","&amp;TABLERO!C63)&amp;IF(TABLERO!D63="","",","&amp;TABLERO!D63)</f>
        <v>33</v>
      </c>
      <c r="B63" s="29" t="str">
        <f>IF(OR(TABLERO!$A$25=1,D63=""),"",TABLERO!S63)</f>
        <v/>
      </c>
      <c r="C63" s="30" t="str">
        <f>IF(OR(TABLERO!$A$25=1,D63=""),"",TABLERO!I63)</f>
        <v/>
      </c>
      <c r="D63" s="31" t="str">
        <f>IF(OR(TABLERO!$A$25=1,,TABLERO!Q63=""),"",TABLERO!Q63)</f>
        <v/>
      </c>
      <c r="E63" s="29" t="str">
        <f>IF(OR(TABLERO!$A$25=1,D63=""),"",TABLERO!N63)</f>
        <v/>
      </c>
      <c r="F63" s="29" t="str">
        <f>IF(TABLERO!$A$25=1,"",TABLERO!CC63)</f>
        <v/>
      </c>
      <c r="G63" s="31" t="str">
        <f>IF(OR(TABLERO!$A$25=1,D63=""),"",TABLERO!BU63)</f>
        <v/>
      </c>
      <c r="H63" s="32" t="str">
        <f>IF(OR(TABLERO!$A$25=1,D63=""),"",TABLERO!DO63)</f>
        <v/>
      </c>
      <c r="I63" s="32" t="str">
        <f>IF(OR(TABLERO!$A$25=1,D63=""),"",TABLERO!DP63)</f>
        <v/>
      </c>
      <c r="J63" s="31" t="str">
        <f>IF(OR(TABLERO!$A$25=1,D63=""),"",TABLERO!DQ63)</f>
        <v/>
      </c>
      <c r="K63" s="31" t="str">
        <f>IF(OR(TABLERO!$A$25=1,D63=""),"",TABLERO!DR63)</f>
        <v/>
      </c>
      <c r="L63" s="31" t="str">
        <f>IF(OR(TABLERO!$A$25=1,D63=""),"",TABLERO!DS63)</f>
        <v/>
      </c>
      <c r="M63" s="31" t="str">
        <f>IF(OR(TABLERO!$A$25=1,D63=""),"",TABLERO!CE63)</f>
        <v/>
      </c>
      <c r="N63" s="30" t="str">
        <f>IF(OR(TABLERO!$A$25=1,D63=""),"",TABLERO!CF63)</f>
        <v/>
      </c>
      <c r="O63" s="31" t="str">
        <f>IF(OR(TABLERO!$A$25=1,D63=""),"",TABLERO!EB63)</f>
        <v/>
      </c>
      <c r="P63" s="31" t="str">
        <f>IF(OR(TABLERO!$A$25=1,D63=""),"",TABLERO!EC63)</f>
        <v/>
      </c>
      <c r="Q63" s="29" t="str">
        <f>IF(OR(TABLERO!$A$25=1,D63=""),"",TABLERO!U63)</f>
        <v/>
      </c>
      <c r="R63" s="33" t="str">
        <f>IF(TABLERO!$A$25=1,"",TABLERO!CG63)</f>
        <v/>
      </c>
    </row>
    <row r="64" spans="1:18">
      <c r="A64" s="28" t="str">
        <f>TABLERO!B64&amp;IF(TABLERO!C64="","",","&amp;TABLERO!C64)&amp;IF(TABLERO!D64="","",","&amp;TABLERO!D64)</f>
        <v>34</v>
      </c>
      <c r="B64" s="29" t="str">
        <f>IF(OR(TABLERO!$A$25=1,D64=""),"",TABLERO!S64)</f>
        <v/>
      </c>
      <c r="C64" s="30" t="str">
        <f>IF(OR(TABLERO!$A$25=1,D64=""),"",TABLERO!I64)</f>
        <v/>
      </c>
      <c r="D64" s="31" t="str">
        <f>IF(OR(TABLERO!$A$25=1,,TABLERO!Q64=""),"",TABLERO!Q64)</f>
        <v/>
      </c>
      <c r="E64" s="29" t="str">
        <f>IF(OR(TABLERO!$A$25=1,D64=""),"",TABLERO!N64)</f>
        <v/>
      </c>
      <c r="F64" s="29" t="str">
        <f>IF(TABLERO!$A$25=1,"",TABLERO!CC64)</f>
        <v/>
      </c>
      <c r="G64" s="31" t="str">
        <f>IF(OR(TABLERO!$A$25=1,D64=""),"",TABLERO!BU64)</f>
        <v/>
      </c>
      <c r="H64" s="32" t="str">
        <f>IF(OR(TABLERO!$A$25=1,D64=""),"",TABLERO!DO64)</f>
        <v/>
      </c>
      <c r="I64" s="32" t="str">
        <f>IF(OR(TABLERO!$A$25=1,D64=""),"",TABLERO!DP64)</f>
        <v/>
      </c>
      <c r="J64" s="31" t="str">
        <f>IF(OR(TABLERO!$A$25=1,D64=""),"",TABLERO!DQ64)</f>
        <v/>
      </c>
      <c r="K64" s="31" t="str">
        <f>IF(OR(TABLERO!$A$25=1,D64=""),"",TABLERO!DR64)</f>
        <v/>
      </c>
      <c r="L64" s="31" t="str">
        <f>IF(OR(TABLERO!$A$25=1,D64=""),"",TABLERO!DS64)</f>
        <v/>
      </c>
      <c r="M64" s="31" t="str">
        <f>IF(OR(TABLERO!$A$25=1,D64=""),"",TABLERO!CE64)</f>
        <v/>
      </c>
      <c r="N64" s="30" t="str">
        <f>IF(OR(TABLERO!$A$25=1,D64=""),"",TABLERO!CF64)</f>
        <v/>
      </c>
      <c r="O64" s="31" t="str">
        <f>IF(OR(TABLERO!$A$25=1,D64=""),"",TABLERO!EB64)</f>
        <v/>
      </c>
      <c r="P64" s="31" t="str">
        <f>IF(OR(TABLERO!$A$25=1,D64=""),"",TABLERO!EC64)</f>
        <v/>
      </c>
      <c r="Q64" s="29" t="str">
        <f>IF(OR(TABLERO!$A$25=1,D64=""),"",TABLERO!U64)</f>
        <v/>
      </c>
      <c r="R64" s="33" t="str">
        <f>IF(TABLERO!$A$25=1,"",TABLERO!CG64)</f>
        <v/>
      </c>
    </row>
    <row r="65" spans="1:18">
      <c r="A65" s="28" t="str">
        <f>TABLERO!B65&amp;IF(TABLERO!C65="","",","&amp;TABLERO!C65)&amp;IF(TABLERO!D65="","",","&amp;TABLERO!D65)</f>
        <v>35</v>
      </c>
      <c r="B65" s="29" t="str">
        <f>IF(OR(TABLERO!$A$25=1,D65=""),"",TABLERO!S65)</f>
        <v/>
      </c>
      <c r="C65" s="30" t="str">
        <f>IF(OR(TABLERO!$A$25=1,D65=""),"",TABLERO!I65)</f>
        <v/>
      </c>
      <c r="D65" s="31" t="str">
        <f>IF(OR(TABLERO!$A$25=1,,TABLERO!Q65=""),"",TABLERO!Q65)</f>
        <v/>
      </c>
      <c r="E65" s="29" t="str">
        <f>IF(OR(TABLERO!$A$25=1,D65=""),"",TABLERO!N65)</f>
        <v/>
      </c>
      <c r="F65" s="29" t="str">
        <f>IF(TABLERO!$A$25=1,"",TABLERO!CC65)</f>
        <v/>
      </c>
      <c r="G65" s="31" t="str">
        <f>IF(OR(TABLERO!$A$25=1,D65=""),"",TABLERO!BU65)</f>
        <v/>
      </c>
      <c r="H65" s="32" t="str">
        <f>IF(OR(TABLERO!$A$25=1,D65=""),"",TABLERO!DO65)</f>
        <v/>
      </c>
      <c r="I65" s="32" t="str">
        <f>IF(OR(TABLERO!$A$25=1,D65=""),"",TABLERO!DP65)</f>
        <v/>
      </c>
      <c r="J65" s="31" t="str">
        <f>IF(OR(TABLERO!$A$25=1,D65=""),"",TABLERO!DQ65)</f>
        <v/>
      </c>
      <c r="K65" s="31" t="str">
        <f>IF(OR(TABLERO!$A$25=1,D65=""),"",TABLERO!DR65)</f>
        <v/>
      </c>
      <c r="L65" s="31" t="str">
        <f>IF(OR(TABLERO!$A$25=1,D65=""),"",TABLERO!DS65)</f>
        <v/>
      </c>
      <c r="M65" s="31" t="str">
        <f>IF(OR(TABLERO!$A$25=1,D65=""),"",TABLERO!CE65)</f>
        <v/>
      </c>
      <c r="N65" s="30" t="str">
        <f>IF(OR(TABLERO!$A$25=1,D65=""),"",TABLERO!CF65)</f>
        <v/>
      </c>
      <c r="O65" s="31" t="str">
        <f>IF(OR(TABLERO!$A$25=1,D65=""),"",TABLERO!EB65)</f>
        <v/>
      </c>
      <c r="P65" s="31" t="str">
        <f>IF(OR(TABLERO!$A$25=1,D65=""),"",TABLERO!EC65)</f>
        <v/>
      </c>
      <c r="Q65" s="29" t="str">
        <f>IF(OR(TABLERO!$A$25=1,D65=""),"",TABLERO!U65)</f>
        <v/>
      </c>
      <c r="R65" s="33" t="str">
        <f>IF(TABLERO!$A$25=1,"",TABLERO!CG65)</f>
        <v/>
      </c>
    </row>
    <row r="66" spans="1:18">
      <c r="A66" s="28" t="str">
        <f>TABLERO!B66&amp;IF(TABLERO!C66="","",","&amp;TABLERO!C66)&amp;IF(TABLERO!D66="","",","&amp;TABLERO!D66)</f>
        <v>36</v>
      </c>
      <c r="B66" s="29" t="str">
        <f>IF(OR(TABLERO!$A$25=1,D66=""),"",TABLERO!S66)</f>
        <v/>
      </c>
      <c r="C66" s="30" t="str">
        <f>IF(OR(TABLERO!$A$25=1,D66=""),"",TABLERO!I66)</f>
        <v/>
      </c>
      <c r="D66" s="31" t="str">
        <f>IF(OR(TABLERO!$A$25=1,,TABLERO!Q66=""),"",TABLERO!Q66)</f>
        <v/>
      </c>
      <c r="E66" s="29" t="str">
        <f>IF(OR(TABLERO!$A$25=1,D66=""),"",TABLERO!N66)</f>
        <v/>
      </c>
      <c r="F66" s="29" t="str">
        <f>IF(TABLERO!$A$25=1,"",TABLERO!CC66)</f>
        <v/>
      </c>
      <c r="G66" s="31" t="str">
        <f>IF(OR(TABLERO!$A$25=1,D66=""),"",TABLERO!BU66)</f>
        <v/>
      </c>
      <c r="H66" s="32" t="str">
        <f>IF(OR(TABLERO!$A$25=1,D66=""),"",TABLERO!DO66)</f>
        <v/>
      </c>
      <c r="I66" s="32" t="str">
        <f>IF(OR(TABLERO!$A$25=1,D66=""),"",TABLERO!DP66)</f>
        <v/>
      </c>
      <c r="J66" s="31" t="str">
        <f>IF(OR(TABLERO!$A$25=1,D66=""),"",TABLERO!DQ66)</f>
        <v/>
      </c>
      <c r="K66" s="31" t="str">
        <f>IF(OR(TABLERO!$A$25=1,D66=""),"",TABLERO!DR66)</f>
        <v/>
      </c>
      <c r="L66" s="31" t="str">
        <f>IF(OR(TABLERO!$A$25=1,D66=""),"",TABLERO!DS66)</f>
        <v/>
      </c>
      <c r="M66" s="31" t="str">
        <f>IF(OR(TABLERO!$A$25=1,D66=""),"",TABLERO!CE66)</f>
        <v/>
      </c>
      <c r="N66" s="30" t="str">
        <f>IF(OR(TABLERO!$A$25=1,D66=""),"",TABLERO!CF66)</f>
        <v/>
      </c>
      <c r="O66" s="31" t="str">
        <f>IF(OR(TABLERO!$A$25=1,D66=""),"",TABLERO!EB66)</f>
        <v/>
      </c>
      <c r="P66" s="31" t="str">
        <f>IF(OR(TABLERO!$A$25=1,D66=""),"",TABLERO!EC66)</f>
        <v/>
      </c>
      <c r="Q66" s="29" t="str">
        <f>IF(OR(TABLERO!$A$25=1,D66=""),"",TABLERO!U66)</f>
        <v/>
      </c>
      <c r="R66" s="33" t="str">
        <f>IF(TABLERO!$A$25=1,"",TABLERO!CG66)</f>
        <v/>
      </c>
    </row>
    <row r="67" spans="1:18">
      <c r="A67" s="28" t="str">
        <f>TABLERO!B67&amp;IF(TABLERO!C67="","",","&amp;TABLERO!C67)&amp;IF(TABLERO!D67="","",","&amp;TABLERO!D67)</f>
        <v>37</v>
      </c>
      <c r="B67" s="29" t="str">
        <f>IF(OR(TABLERO!$A$25=1,D67=""),"",TABLERO!S67)</f>
        <v/>
      </c>
      <c r="C67" s="30" t="str">
        <f>IF(OR(TABLERO!$A$25=1,D67=""),"",TABLERO!I67)</f>
        <v/>
      </c>
      <c r="D67" s="31" t="str">
        <f>IF(OR(TABLERO!$A$25=1,,TABLERO!Q67=""),"",TABLERO!Q67)</f>
        <v/>
      </c>
      <c r="E67" s="29" t="str">
        <f>IF(OR(TABLERO!$A$25=1,D67=""),"",TABLERO!N67)</f>
        <v/>
      </c>
      <c r="F67" s="29" t="str">
        <f>IF(TABLERO!$A$25=1,"",TABLERO!CC67)</f>
        <v/>
      </c>
      <c r="G67" s="31" t="str">
        <f>IF(OR(TABLERO!$A$25=1,D67=""),"",TABLERO!BU67)</f>
        <v/>
      </c>
      <c r="H67" s="32" t="str">
        <f>IF(OR(TABLERO!$A$25=1,D67=""),"",TABLERO!DO67)</f>
        <v/>
      </c>
      <c r="I67" s="32" t="str">
        <f>IF(OR(TABLERO!$A$25=1,D67=""),"",TABLERO!DP67)</f>
        <v/>
      </c>
      <c r="J67" s="31" t="str">
        <f>IF(OR(TABLERO!$A$25=1,D67=""),"",TABLERO!DQ67)</f>
        <v/>
      </c>
      <c r="K67" s="31" t="str">
        <f>IF(OR(TABLERO!$A$25=1,D67=""),"",TABLERO!DR67)</f>
        <v/>
      </c>
      <c r="L67" s="31" t="str">
        <f>IF(OR(TABLERO!$A$25=1,D67=""),"",TABLERO!DS67)</f>
        <v/>
      </c>
      <c r="M67" s="31" t="str">
        <f>IF(OR(TABLERO!$A$25=1,D67=""),"",TABLERO!CE67)</f>
        <v/>
      </c>
      <c r="N67" s="30" t="str">
        <f>IF(OR(TABLERO!$A$25=1,D67=""),"",TABLERO!CF67)</f>
        <v/>
      </c>
      <c r="O67" s="31" t="str">
        <f>IF(OR(TABLERO!$A$25=1,D67=""),"",TABLERO!EB67)</f>
        <v/>
      </c>
      <c r="P67" s="31" t="str">
        <f>IF(OR(TABLERO!$A$25=1,D67=""),"",TABLERO!EC67)</f>
        <v/>
      </c>
      <c r="Q67" s="29" t="str">
        <f>IF(OR(TABLERO!$A$25=1,D67=""),"",TABLERO!U67)</f>
        <v/>
      </c>
      <c r="R67" s="33" t="str">
        <f>IF(TABLERO!$A$25=1,"",TABLERO!CG67)</f>
        <v/>
      </c>
    </row>
    <row r="68" spans="1:18">
      <c r="A68" s="28" t="str">
        <f>TABLERO!B68&amp;IF(TABLERO!C68="","",","&amp;TABLERO!C68)&amp;IF(TABLERO!D68="","",","&amp;TABLERO!D68)</f>
        <v>38</v>
      </c>
      <c r="B68" s="29" t="str">
        <f>IF(OR(TABLERO!$A$25=1,D68=""),"",TABLERO!S68)</f>
        <v/>
      </c>
      <c r="C68" s="30" t="str">
        <f>IF(OR(TABLERO!$A$25=1,D68=""),"",TABLERO!I68)</f>
        <v/>
      </c>
      <c r="D68" s="31" t="str">
        <f>IF(OR(TABLERO!$A$25=1,,TABLERO!Q68=""),"",TABLERO!Q68)</f>
        <v/>
      </c>
      <c r="E68" s="29" t="str">
        <f>IF(OR(TABLERO!$A$25=1,D68=""),"",TABLERO!N68)</f>
        <v/>
      </c>
      <c r="F68" s="29" t="str">
        <f>IF(TABLERO!$A$25=1,"",TABLERO!CC68)</f>
        <v/>
      </c>
      <c r="G68" s="31" t="str">
        <f>IF(OR(TABLERO!$A$25=1,D68=""),"",TABLERO!BU68)</f>
        <v/>
      </c>
      <c r="H68" s="32" t="str">
        <f>IF(OR(TABLERO!$A$25=1,D68=""),"",TABLERO!DO68)</f>
        <v/>
      </c>
      <c r="I68" s="32" t="str">
        <f>IF(OR(TABLERO!$A$25=1,D68=""),"",TABLERO!DP68)</f>
        <v/>
      </c>
      <c r="J68" s="31" t="str">
        <f>IF(OR(TABLERO!$A$25=1,D68=""),"",TABLERO!DQ68)</f>
        <v/>
      </c>
      <c r="K68" s="31" t="str">
        <f>IF(OR(TABLERO!$A$25=1,D68=""),"",TABLERO!DR68)</f>
        <v/>
      </c>
      <c r="L68" s="31" t="str">
        <f>IF(OR(TABLERO!$A$25=1,D68=""),"",TABLERO!DS68)</f>
        <v/>
      </c>
      <c r="M68" s="31" t="str">
        <f>IF(OR(TABLERO!$A$25=1,D68=""),"",TABLERO!CE68)</f>
        <v/>
      </c>
      <c r="N68" s="30" t="str">
        <f>IF(OR(TABLERO!$A$25=1,D68=""),"",TABLERO!CF68)</f>
        <v/>
      </c>
      <c r="O68" s="31" t="str">
        <f>IF(OR(TABLERO!$A$25=1,D68=""),"",TABLERO!EB68)</f>
        <v/>
      </c>
      <c r="P68" s="31" t="str">
        <f>IF(OR(TABLERO!$A$25=1,D68=""),"",TABLERO!EC68)</f>
        <v/>
      </c>
      <c r="Q68" s="29" t="str">
        <f>IF(OR(TABLERO!$A$25=1,D68=""),"",TABLERO!U68)</f>
        <v/>
      </c>
      <c r="R68" s="33" t="str">
        <f>IF(TABLERO!$A$25=1,"",TABLERO!CG68)</f>
        <v/>
      </c>
    </row>
    <row r="69" spans="1:18">
      <c r="A69" s="28" t="str">
        <f>TABLERO!B69&amp;IF(TABLERO!C69="","",","&amp;TABLERO!C69)&amp;IF(TABLERO!D69="","",","&amp;TABLERO!D69)</f>
        <v>39</v>
      </c>
      <c r="B69" s="29" t="str">
        <f>IF(OR(TABLERO!$A$25=1,D69=""),"",TABLERO!S69)</f>
        <v/>
      </c>
      <c r="C69" s="30" t="str">
        <f>IF(OR(TABLERO!$A$25=1,D69=""),"",TABLERO!I69)</f>
        <v/>
      </c>
      <c r="D69" s="31" t="str">
        <f>IF(OR(TABLERO!$A$25=1,,TABLERO!Q69=""),"",TABLERO!Q69)</f>
        <v/>
      </c>
      <c r="E69" s="29" t="str">
        <f>IF(OR(TABLERO!$A$25=1,D69=""),"",TABLERO!N69)</f>
        <v/>
      </c>
      <c r="F69" s="29" t="str">
        <f>IF(TABLERO!$A$25=1,"",TABLERO!CC69)</f>
        <v/>
      </c>
      <c r="G69" s="31" t="str">
        <f>IF(OR(TABLERO!$A$25=1,D69=""),"",TABLERO!BU69)</f>
        <v/>
      </c>
      <c r="H69" s="32" t="str">
        <f>IF(OR(TABLERO!$A$25=1,D69=""),"",TABLERO!DO69)</f>
        <v/>
      </c>
      <c r="I69" s="32" t="str">
        <f>IF(OR(TABLERO!$A$25=1,D69=""),"",TABLERO!DP69)</f>
        <v/>
      </c>
      <c r="J69" s="31" t="str">
        <f>IF(OR(TABLERO!$A$25=1,D69=""),"",TABLERO!DQ69)</f>
        <v/>
      </c>
      <c r="K69" s="31" t="str">
        <f>IF(OR(TABLERO!$A$25=1,D69=""),"",TABLERO!DR69)</f>
        <v/>
      </c>
      <c r="L69" s="31" t="str">
        <f>IF(OR(TABLERO!$A$25=1,D69=""),"",TABLERO!DS69)</f>
        <v/>
      </c>
      <c r="M69" s="31" t="str">
        <f>IF(OR(TABLERO!$A$25=1,D69=""),"",TABLERO!CE69)</f>
        <v/>
      </c>
      <c r="N69" s="30" t="str">
        <f>IF(OR(TABLERO!$A$25=1,D69=""),"",TABLERO!CF69)</f>
        <v/>
      </c>
      <c r="O69" s="31" t="str">
        <f>IF(OR(TABLERO!$A$25=1,D69=""),"",TABLERO!EB69)</f>
        <v/>
      </c>
      <c r="P69" s="31" t="str">
        <f>IF(OR(TABLERO!$A$25=1,D69=""),"",TABLERO!EC69)</f>
        <v/>
      </c>
      <c r="Q69" s="29" t="str">
        <f>IF(OR(TABLERO!$A$25=1,D69=""),"",TABLERO!U69)</f>
        <v/>
      </c>
      <c r="R69" s="33" t="str">
        <f>IF(TABLERO!$A$25=1,"",TABLERO!CG69)</f>
        <v/>
      </c>
    </row>
    <row r="70" spans="1:18">
      <c r="A70" s="28" t="str">
        <f>TABLERO!B70&amp;IF(TABLERO!C70="","",","&amp;TABLERO!C70)&amp;IF(TABLERO!D70="","",","&amp;TABLERO!D70)</f>
        <v>40</v>
      </c>
      <c r="B70" s="29" t="str">
        <f>IF(OR(TABLERO!$A$25=1,D70=""),"",TABLERO!S70)</f>
        <v/>
      </c>
      <c r="C70" s="30" t="str">
        <f>IF(OR(TABLERO!$A$25=1,D70=""),"",TABLERO!I70)</f>
        <v/>
      </c>
      <c r="D70" s="31" t="str">
        <f>IF(OR(TABLERO!$A$25=1,,TABLERO!Q70=""),"",TABLERO!Q70)</f>
        <v/>
      </c>
      <c r="E70" s="29" t="str">
        <f>IF(OR(TABLERO!$A$25=1,D70=""),"",TABLERO!N70)</f>
        <v/>
      </c>
      <c r="F70" s="29" t="str">
        <f>IF(TABLERO!$A$25=1,"",TABLERO!CC70)</f>
        <v/>
      </c>
      <c r="G70" s="31" t="str">
        <f>IF(OR(TABLERO!$A$25=1,D70=""),"",TABLERO!BU70)</f>
        <v/>
      </c>
      <c r="H70" s="32" t="str">
        <f>IF(OR(TABLERO!$A$25=1,D70=""),"",TABLERO!DO70)</f>
        <v/>
      </c>
      <c r="I70" s="32" t="str">
        <f>IF(OR(TABLERO!$A$25=1,D70=""),"",TABLERO!DP70)</f>
        <v/>
      </c>
      <c r="J70" s="31" t="str">
        <f>IF(OR(TABLERO!$A$25=1,D70=""),"",TABLERO!DQ70)</f>
        <v/>
      </c>
      <c r="K70" s="31" t="str">
        <f>IF(OR(TABLERO!$A$25=1,D70=""),"",TABLERO!DR70)</f>
        <v/>
      </c>
      <c r="L70" s="31" t="str">
        <f>IF(OR(TABLERO!$A$25=1,D70=""),"",TABLERO!DS70)</f>
        <v/>
      </c>
      <c r="M70" s="31" t="str">
        <f>IF(OR(TABLERO!$A$25=1,D70=""),"",TABLERO!CE70)</f>
        <v/>
      </c>
      <c r="N70" s="30" t="str">
        <f>IF(OR(TABLERO!$A$25=1,D70=""),"",TABLERO!CF70)</f>
        <v/>
      </c>
      <c r="O70" s="31" t="str">
        <f>IF(OR(TABLERO!$A$25=1,D70=""),"",TABLERO!EB70)</f>
        <v/>
      </c>
      <c r="P70" s="31" t="str">
        <f>IF(OR(TABLERO!$A$25=1,D70=""),"",TABLERO!EC70)</f>
        <v/>
      </c>
      <c r="Q70" s="29" t="str">
        <f>IF(OR(TABLERO!$A$25=1,D70=""),"",TABLERO!U70)</f>
        <v/>
      </c>
      <c r="R70" s="33" t="str">
        <f>IF(TABLERO!$A$25=1,"",TABLERO!CG70)</f>
        <v/>
      </c>
    </row>
    <row r="71" spans="1:18">
      <c r="A71" s="28" t="str">
        <f>TABLERO!B71&amp;IF(TABLERO!C71="","",","&amp;TABLERO!C71)&amp;IF(TABLERO!D71="","",","&amp;TABLERO!D71)</f>
        <v>41</v>
      </c>
      <c r="B71" s="29" t="str">
        <f>IF(OR(TABLERO!$A$25=1,D71=""),"",TABLERO!S71)</f>
        <v/>
      </c>
      <c r="C71" s="30" t="str">
        <f>IF(OR(TABLERO!$A$25=1,D71=""),"",TABLERO!I71)</f>
        <v/>
      </c>
      <c r="D71" s="31" t="str">
        <f>IF(OR(TABLERO!$A$25=1,,TABLERO!Q71=""),"",TABLERO!Q71)</f>
        <v/>
      </c>
      <c r="E71" s="29" t="str">
        <f>IF(OR(TABLERO!$A$25=1,D71=""),"",TABLERO!N71)</f>
        <v/>
      </c>
      <c r="F71" s="29" t="str">
        <f>IF(TABLERO!$A$25=1,"",TABLERO!CC71)</f>
        <v/>
      </c>
      <c r="G71" s="31" t="str">
        <f>IF(OR(TABLERO!$A$25=1,D71=""),"",TABLERO!BU71)</f>
        <v/>
      </c>
      <c r="H71" s="32" t="str">
        <f>IF(OR(TABLERO!$A$25=1,D71=""),"",TABLERO!DO71)</f>
        <v/>
      </c>
      <c r="I71" s="32" t="str">
        <f>IF(OR(TABLERO!$A$25=1,D71=""),"",TABLERO!DP71)</f>
        <v/>
      </c>
      <c r="J71" s="31" t="str">
        <f>IF(OR(TABLERO!$A$25=1,D71=""),"",TABLERO!DQ71)</f>
        <v/>
      </c>
      <c r="K71" s="31" t="str">
        <f>IF(OR(TABLERO!$A$25=1,D71=""),"",TABLERO!DR71)</f>
        <v/>
      </c>
      <c r="L71" s="31" t="str">
        <f>IF(OR(TABLERO!$A$25=1,D71=""),"",TABLERO!DS71)</f>
        <v/>
      </c>
      <c r="M71" s="31" t="str">
        <f>IF(OR(TABLERO!$A$25=1,D71=""),"",TABLERO!CE71)</f>
        <v/>
      </c>
      <c r="N71" s="30" t="str">
        <f>IF(OR(TABLERO!$A$25=1,D71=""),"",TABLERO!CF71)</f>
        <v/>
      </c>
      <c r="O71" s="31" t="str">
        <f>IF(OR(TABLERO!$A$25=1,D71=""),"",TABLERO!EB71)</f>
        <v/>
      </c>
      <c r="P71" s="31" t="str">
        <f>IF(OR(TABLERO!$A$25=1,D71=""),"",TABLERO!EC71)</f>
        <v/>
      </c>
      <c r="Q71" s="29" t="str">
        <f>IF(OR(TABLERO!$A$25=1,D71=""),"",TABLERO!U71)</f>
        <v/>
      </c>
      <c r="R71" s="33" t="str">
        <f>IF(TABLERO!$A$25=1,"",TABLERO!CG71)</f>
        <v/>
      </c>
    </row>
    <row r="72" spans="1:18">
      <c r="A72" s="28" t="str">
        <f>TABLERO!B72&amp;IF(TABLERO!C72="","",","&amp;TABLERO!C72)&amp;IF(TABLERO!D72="","",","&amp;TABLERO!D72)</f>
        <v>42</v>
      </c>
      <c r="B72" s="29" t="str">
        <f>IF(OR(TABLERO!$A$25=1,D72=""),"",TABLERO!S72)</f>
        <v/>
      </c>
      <c r="C72" s="30" t="str">
        <f>IF(OR(TABLERO!$A$25=1,D72=""),"",TABLERO!I72)</f>
        <v/>
      </c>
      <c r="D72" s="31" t="str">
        <f>IF(OR(TABLERO!$A$25=1,,TABLERO!Q72=""),"",TABLERO!Q72)</f>
        <v/>
      </c>
      <c r="E72" s="29" t="str">
        <f>IF(OR(TABLERO!$A$25=1,D72=""),"",TABLERO!N72)</f>
        <v/>
      </c>
      <c r="F72" s="29" t="str">
        <f>IF(TABLERO!$A$25=1,"",TABLERO!CC72)</f>
        <v/>
      </c>
      <c r="G72" s="31" t="str">
        <f>IF(OR(TABLERO!$A$25=1,D72=""),"",TABLERO!BU72)</f>
        <v/>
      </c>
      <c r="H72" s="32" t="str">
        <f>IF(OR(TABLERO!$A$25=1,D72=""),"",TABLERO!DO72)</f>
        <v/>
      </c>
      <c r="I72" s="32" t="str">
        <f>IF(OR(TABLERO!$A$25=1,D72=""),"",TABLERO!DP72)</f>
        <v/>
      </c>
      <c r="J72" s="31" t="str">
        <f>IF(OR(TABLERO!$A$25=1,D72=""),"",TABLERO!DQ72)</f>
        <v/>
      </c>
      <c r="K72" s="31" t="str">
        <f>IF(OR(TABLERO!$A$25=1,D72=""),"",TABLERO!DR72)</f>
        <v/>
      </c>
      <c r="L72" s="31" t="str">
        <f>IF(OR(TABLERO!$A$25=1,D72=""),"",TABLERO!DS72)</f>
        <v/>
      </c>
      <c r="M72" s="31" t="str">
        <f>IF(OR(TABLERO!$A$25=1,D72=""),"",TABLERO!CE72)</f>
        <v/>
      </c>
      <c r="N72" s="30" t="str">
        <f>IF(TABLERO!$A$25=1,"",TABLERO!CF72)</f>
        <v/>
      </c>
      <c r="O72" s="31" t="str">
        <f>IF(OR(TABLERO!$A$25=1,D72=""),"",TABLERO!EB72)</f>
        <v/>
      </c>
      <c r="P72" s="31" t="str">
        <f>IF(OR(TABLERO!$A$25=1,D72=""),"",TABLERO!EC72)</f>
        <v/>
      </c>
      <c r="Q72" s="29" t="str">
        <f>IF(OR(TABLERO!$A$25=1,D72=""),"",TABLERO!U72)</f>
        <v/>
      </c>
      <c r="R72" s="33" t="str">
        <f>IF(TABLERO!$A$25=1,"",TABLERO!CG72)</f>
        <v/>
      </c>
    </row>
    <row r="73" spans="1:18">
      <c r="A73" s="28" t="str">
        <f>TABLERO!B73&amp;IF(TABLERO!C73="","",","&amp;TABLERO!C73)&amp;IF(TABLERO!D73="","",","&amp;TABLERO!D73)</f>
        <v>43</v>
      </c>
      <c r="B73" s="29" t="str">
        <f>IF(OR(TABLERO!$A$25=1,D73=""),"",TABLERO!S73)</f>
        <v/>
      </c>
      <c r="C73" s="30" t="str">
        <f>IF(OR(TABLERO!$A$25=1,D73=""),"",TABLERO!I73)</f>
        <v/>
      </c>
      <c r="D73" s="31" t="str">
        <f>IF(OR(TABLERO!$A$25=1,,TABLERO!Q73=""),"",TABLERO!Q73)</f>
        <v/>
      </c>
      <c r="E73" s="29" t="str">
        <f>IF(OR(TABLERO!$A$25=1,D73=""),"",TABLERO!N73)</f>
        <v/>
      </c>
      <c r="F73" s="29" t="str">
        <f>IF(TABLERO!$A$25=1,"",TABLERO!CC73)</f>
        <v/>
      </c>
      <c r="G73" s="31" t="str">
        <f>IF(OR(TABLERO!$A$25=1,D73=""),"",TABLERO!BU73)</f>
        <v/>
      </c>
      <c r="H73" s="32" t="str">
        <f>IF(OR(TABLERO!$A$25=1,D73=""),"",TABLERO!DO73)</f>
        <v/>
      </c>
      <c r="I73" s="32" t="str">
        <f>IF(OR(TABLERO!$A$25=1,D73=""),"",TABLERO!DP73)</f>
        <v/>
      </c>
      <c r="J73" s="31" t="str">
        <f>IF(OR(TABLERO!$A$25=1,D73=""),"",TABLERO!DQ73)</f>
        <v/>
      </c>
      <c r="K73" s="31" t="str">
        <f>IF(OR(TABLERO!$A$25=1,D73=""),"",TABLERO!DR73)</f>
        <v/>
      </c>
      <c r="L73" s="31" t="str">
        <f>IF(OR(TABLERO!$A$25=1,D73=""),"",TABLERO!DS73)</f>
        <v/>
      </c>
      <c r="M73" s="31" t="str">
        <f>IF(OR(TABLERO!$A$25=1,D73=""),"",TABLERO!CE73)</f>
        <v/>
      </c>
      <c r="N73" s="30" t="str">
        <f>IF(TABLERO!$A$25=1,"",TABLERO!CF73)</f>
        <v/>
      </c>
      <c r="O73" s="31" t="str">
        <f>IF(OR(TABLERO!$A$25=1,D73=""),"",TABLERO!EB73)</f>
        <v/>
      </c>
      <c r="P73" s="31" t="str">
        <f>IF(OR(TABLERO!$A$25=1,D73=""),"",TABLERO!EC73)</f>
        <v/>
      </c>
      <c r="Q73" s="29" t="str">
        <f>IF(OR(TABLERO!$A$25=1,D73=""),"",TABLERO!U73)</f>
        <v/>
      </c>
      <c r="R73" s="33" t="str">
        <f>IF(TABLERO!$A$25=1,"",TABLERO!CG73)</f>
        <v/>
      </c>
    </row>
    <row r="74" spans="1:18">
      <c r="A74" s="28" t="str">
        <f>TABLERO!B74&amp;IF(TABLERO!C74="","",","&amp;TABLERO!C74)&amp;IF(TABLERO!D74="","",","&amp;TABLERO!D74)</f>
        <v>44</v>
      </c>
      <c r="B74" s="29" t="str">
        <f>IF(OR(TABLERO!$A$25=1,D74=""),"",TABLERO!S74)</f>
        <v/>
      </c>
      <c r="C74" s="30" t="str">
        <f>IF(OR(TABLERO!$A$25=1,D74=""),"",TABLERO!I74)</f>
        <v/>
      </c>
      <c r="D74" s="31" t="str">
        <f>IF(OR(TABLERO!$A$25=1,,TABLERO!Q74=""),"",TABLERO!Q74)</f>
        <v/>
      </c>
      <c r="E74" s="29" t="str">
        <f>IF(OR(TABLERO!$A$25=1,D74=""),"",TABLERO!N74)</f>
        <v/>
      </c>
      <c r="F74" s="29" t="str">
        <f>IF(TABLERO!$A$25=1,"",TABLERO!CC74)</f>
        <v/>
      </c>
      <c r="G74" s="31" t="str">
        <f>IF(OR(TABLERO!$A$25=1,D74=""),"",TABLERO!BU74)</f>
        <v/>
      </c>
      <c r="H74" s="32" t="str">
        <f>IF(OR(TABLERO!$A$25=1,D74=""),"",TABLERO!DO74)</f>
        <v/>
      </c>
      <c r="I74" s="32" t="str">
        <f>IF(OR(TABLERO!$A$25=1,D74=""),"",TABLERO!DP74)</f>
        <v/>
      </c>
      <c r="J74" s="31" t="str">
        <f>IF(OR(TABLERO!$A$25=1,D74=""),"",TABLERO!DQ74)</f>
        <v/>
      </c>
      <c r="K74" s="31" t="str">
        <f>IF(OR(TABLERO!$A$25=1,D74=""),"",TABLERO!DR74)</f>
        <v/>
      </c>
      <c r="L74" s="31" t="str">
        <f>IF(OR(TABLERO!$A$25=1,D74=""),"",TABLERO!DS74)</f>
        <v/>
      </c>
      <c r="M74" s="31" t="str">
        <f>IF(OR(TABLERO!$A$25=1,D74=""),"",TABLERO!CE74)</f>
        <v/>
      </c>
      <c r="N74" s="30" t="str">
        <f>IF(TABLERO!$A$25=1,"",TABLERO!CF74)</f>
        <v/>
      </c>
      <c r="O74" s="31" t="str">
        <f>IF(OR(TABLERO!$A$25=1,D74=""),"",TABLERO!EB74)</f>
        <v/>
      </c>
      <c r="P74" s="31" t="str">
        <f>IF(OR(TABLERO!$A$25=1,D74=""),"",TABLERO!EC74)</f>
        <v/>
      </c>
      <c r="Q74" s="29" t="str">
        <f>IF(OR(TABLERO!$A$25=1,D74=""),"",TABLERO!U74)</f>
        <v/>
      </c>
      <c r="R74" s="33" t="str">
        <f>IF(TABLERO!$A$25=1,"",TABLERO!CG74)</f>
        <v/>
      </c>
    </row>
    <row r="75" spans="1:18">
      <c r="A75" s="28" t="str">
        <f>TABLERO!B75&amp;IF(TABLERO!C75="","",","&amp;TABLERO!C75)&amp;IF(TABLERO!D75="","",","&amp;TABLERO!D75)</f>
        <v>45</v>
      </c>
      <c r="B75" s="29" t="str">
        <f>IF(OR(TABLERO!$A$25=1,D75=""),"",TABLERO!S75)</f>
        <v/>
      </c>
      <c r="C75" s="30" t="str">
        <f>IF(OR(TABLERO!$A$25=1,D75=""),"",TABLERO!I75)</f>
        <v/>
      </c>
      <c r="D75" s="31" t="str">
        <f>IF(OR(TABLERO!$A$25=1,,TABLERO!Q75=""),"",TABLERO!Q75)</f>
        <v/>
      </c>
      <c r="E75" s="29" t="str">
        <f>IF(OR(TABLERO!$A$25=1,D75=""),"",TABLERO!N75)</f>
        <v/>
      </c>
      <c r="F75" s="29" t="str">
        <f>IF(TABLERO!$A$25=1,"",TABLERO!CC75)</f>
        <v/>
      </c>
      <c r="G75" s="31" t="str">
        <f>IF(OR(TABLERO!$A$25=1,D75=""),"",TABLERO!BU75)</f>
        <v/>
      </c>
      <c r="H75" s="32" t="str">
        <f>IF(OR(TABLERO!$A$25=1,D75=""),"",TABLERO!DO75)</f>
        <v/>
      </c>
      <c r="I75" s="32" t="str">
        <f>IF(OR(TABLERO!$A$25=1,D75=""),"",TABLERO!DP75)</f>
        <v/>
      </c>
      <c r="J75" s="31" t="str">
        <f>IF(OR(TABLERO!$A$25=1,D75=""),"",TABLERO!DQ75)</f>
        <v/>
      </c>
      <c r="K75" s="31" t="str">
        <f>IF(OR(TABLERO!$A$25=1,D75=""),"",TABLERO!DR75)</f>
        <v/>
      </c>
      <c r="L75" s="31" t="str">
        <f>IF(OR(TABLERO!$A$25=1,D75=""),"",TABLERO!DS75)</f>
        <v/>
      </c>
      <c r="M75" s="31" t="str">
        <f>IF(OR(TABLERO!$A$25=1,D75=""),"",TABLERO!CE75)</f>
        <v/>
      </c>
      <c r="N75" s="30" t="str">
        <f>IF(TABLERO!$A$25=1,"",TABLERO!CF75)</f>
        <v/>
      </c>
      <c r="O75" s="31" t="str">
        <f>IF(OR(TABLERO!$A$25=1,D75=""),"",TABLERO!EB75)</f>
        <v/>
      </c>
      <c r="P75" s="31" t="str">
        <f>IF(OR(TABLERO!$A$25=1,D75=""),"",TABLERO!EC75)</f>
        <v/>
      </c>
      <c r="Q75" s="29" t="str">
        <f>IF(OR(TABLERO!$A$25=1,D75=""),"",TABLERO!U75)</f>
        <v/>
      </c>
      <c r="R75" s="33" t="str">
        <f>IF(TABLERO!$A$25=1,"",TABLERO!CG75)</f>
        <v/>
      </c>
    </row>
    <row r="76" spans="1:18">
      <c r="A76" s="28" t="str">
        <f>TABLERO!B76&amp;IF(TABLERO!C76="","",","&amp;TABLERO!C76)&amp;IF(TABLERO!D76="","",","&amp;TABLERO!D76)</f>
        <v>46</v>
      </c>
      <c r="B76" s="29" t="str">
        <f>IF(OR(TABLERO!$A$25=1,D76=""),"",TABLERO!S76)</f>
        <v/>
      </c>
      <c r="C76" s="30" t="str">
        <f>IF(OR(TABLERO!$A$25=1,D76=""),"",TABLERO!I76)</f>
        <v/>
      </c>
      <c r="D76" s="31" t="str">
        <f>IF(OR(TABLERO!$A$25=1,,TABLERO!Q76=""),"",TABLERO!Q76)</f>
        <v/>
      </c>
      <c r="E76" s="29" t="str">
        <f>IF(OR(TABLERO!$A$25=1,D76=""),"",TABLERO!N76)</f>
        <v/>
      </c>
      <c r="F76" s="29" t="str">
        <f>IF(TABLERO!$A$25=1,"",TABLERO!CC76)</f>
        <v/>
      </c>
      <c r="G76" s="31" t="str">
        <f>IF(OR(TABLERO!$A$25=1,D76=""),"",TABLERO!BU76)</f>
        <v/>
      </c>
      <c r="H76" s="32" t="str">
        <f>IF(OR(TABLERO!$A$25=1,D76=""),"",TABLERO!DO76)</f>
        <v/>
      </c>
      <c r="I76" s="32" t="str">
        <f>IF(OR(TABLERO!$A$25=1,D76=""),"",TABLERO!DP76)</f>
        <v/>
      </c>
      <c r="J76" s="31" t="str">
        <f>IF(OR(TABLERO!$A$25=1,D76=""),"",TABLERO!DQ76)</f>
        <v/>
      </c>
      <c r="K76" s="31" t="str">
        <f>IF(OR(TABLERO!$A$25=1,D76=""),"",TABLERO!DR76)</f>
        <v/>
      </c>
      <c r="L76" s="31" t="str">
        <f>IF(OR(TABLERO!$A$25=1,D76=""),"",TABLERO!DS76)</f>
        <v/>
      </c>
      <c r="M76" s="31" t="str">
        <f>IF(OR(TABLERO!$A$25=1,D76=""),"",TABLERO!CE76)</f>
        <v/>
      </c>
      <c r="N76" s="30" t="str">
        <f>IF(TABLERO!$A$25=1,"",TABLERO!CF76)</f>
        <v/>
      </c>
      <c r="O76" s="31" t="str">
        <f>IF(OR(TABLERO!$A$25=1,D76=""),"",TABLERO!EB76)</f>
        <v/>
      </c>
      <c r="P76" s="31" t="str">
        <f>IF(OR(TABLERO!$A$25=1,D76=""),"",TABLERO!EC76)</f>
        <v/>
      </c>
      <c r="Q76" s="29" t="str">
        <f>IF(OR(TABLERO!$A$25=1,D76=""),"",TABLERO!U76)</f>
        <v/>
      </c>
      <c r="R76" s="33" t="str">
        <f>IF(TABLERO!$A$25=1,"",TABLERO!CG76)</f>
        <v/>
      </c>
    </row>
    <row r="77" spans="1:18">
      <c r="A77" s="28" t="str">
        <f>TABLERO!B77&amp;IF(TABLERO!C77="","",","&amp;TABLERO!C77)&amp;IF(TABLERO!D77="","",","&amp;TABLERO!D77)</f>
        <v>47</v>
      </c>
      <c r="B77" s="29" t="str">
        <f>IF(OR(TABLERO!$A$25=1,D77=""),"",TABLERO!S77)</f>
        <v/>
      </c>
      <c r="C77" s="30" t="str">
        <f>IF(OR(TABLERO!$A$25=1,D77=""),"",TABLERO!I77)</f>
        <v/>
      </c>
      <c r="D77" s="31" t="str">
        <f>IF(OR(TABLERO!$A$25=1,,TABLERO!Q77=""),"",TABLERO!Q77)</f>
        <v/>
      </c>
      <c r="E77" s="29" t="str">
        <f>IF(OR(TABLERO!$A$25=1,D77=""),"",TABLERO!N77)</f>
        <v/>
      </c>
      <c r="F77" s="29" t="str">
        <f>IF(TABLERO!$A$25=1,"",TABLERO!CC77)</f>
        <v/>
      </c>
      <c r="G77" s="31" t="str">
        <f>IF(OR(TABLERO!$A$25=1,D77=""),"",TABLERO!BU77)</f>
        <v/>
      </c>
      <c r="H77" s="32" t="str">
        <f>IF(OR(TABLERO!$A$25=1,D77=""),"",TABLERO!DO77)</f>
        <v/>
      </c>
      <c r="I77" s="32" t="str">
        <f>IF(OR(TABLERO!$A$25=1,D77=""),"",TABLERO!DP77)</f>
        <v/>
      </c>
      <c r="J77" s="31" t="str">
        <f>IF(OR(TABLERO!$A$25=1,D77=""),"",TABLERO!DQ77)</f>
        <v/>
      </c>
      <c r="K77" s="31" t="str">
        <f>IF(OR(TABLERO!$A$25=1,D77=""),"",TABLERO!DR77)</f>
        <v/>
      </c>
      <c r="L77" s="31" t="str">
        <f>IF(OR(TABLERO!$A$25=1,D77=""),"",TABLERO!DS77)</f>
        <v/>
      </c>
      <c r="M77" s="31" t="str">
        <f>IF(OR(TABLERO!$A$25=1,D77=""),"",TABLERO!CE77)</f>
        <v/>
      </c>
      <c r="N77" s="30" t="str">
        <f>IF(TABLERO!$A$25=1,"",TABLERO!CF77)</f>
        <v/>
      </c>
      <c r="O77" s="31" t="str">
        <f>IF(OR(TABLERO!$A$25=1,D77=""),"",TABLERO!EB77)</f>
        <v/>
      </c>
      <c r="P77" s="31" t="str">
        <f>IF(OR(TABLERO!$A$25=1,D77=""),"",TABLERO!EC77)</f>
        <v/>
      </c>
      <c r="Q77" s="29" t="str">
        <f>IF(OR(TABLERO!$A$25=1,D77=""),"",TABLERO!U77)</f>
        <v/>
      </c>
      <c r="R77" s="33" t="str">
        <f>IF(TABLERO!$A$25=1,"",TABLERO!CG77)</f>
        <v/>
      </c>
    </row>
    <row r="78" spans="1:18">
      <c r="A78" s="28" t="str">
        <f>TABLERO!B78&amp;IF(TABLERO!C78="","",","&amp;TABLERO!C78)&amp;IF(TABLERO!D78="","",","&amp;TABLERO!D78)</f>
        <v>48</v>
      </c>
      <c r="B78" s="29" t="str">
        <f>IF(OR(TABLERO!$A$25=1,D78=""),"",TABLERO!S78)</f>
        <v/>
      </c>
      <c r="C78" s="30" t="str">
        <f>IF(OR(TABLERO!$A$25=1,D78=""),"",TABLERO!I78)</f>
        <v/>
      </c>
      <c r="D78" s="31" t="str">
        <f>IF(OR(TABLERO!$A$25=1,,TABLERO!Q78=""),"",TABLERO!Q78)</f>
        <v/>
      </c>
      <c r="E78" s="29" t="str">
        <f>IF(OR(TABLERO!$A$25=1,D78=""),"",TABLERO!N78)</f>
        <v/>
      </c>
      <c r="F78" s="29" t="str">
        <f>IF(TABLERO!$A$25=1,"",TABLERO!CC78)</f>
        <v/>
      </c>
      <c r="G78" s="31" t="str">
        <f>IF(OR(TABLERO!$A$25=1,D78=""),"",TABLERO!BU78)</f>
        <v/>
      </c>
      <c r="H78" s="32" t="str">
        <f>IF(OR(TABLERO!$A$25=1,D78=""),"",TABLERO!DO78)</f>
        <v/>
      </c>
      <c r="I78" s="32" t="str">
        <f>IF(OR(TABLERO!$A$25=1,D78=""),"",TABLERO!DP78)</f>
        <v/>
      </c>
      <c r="J78" s="31" t="str">
        <f>IF(OR(TABLERO!$A$25=1,D78=""),"",TABLERO!DQ78)</f>
        <v/>
      </c>
      <c r="K78" s="31" t="str">
        <f>IF(OR(TABLERO!$A$25=1,D78=""),"",TABLERO!DR78)</f>
        <v/>
      </c>
      <c r="L78" s="31" t="str">
        <f>IF(OR(TABLERO!$A$25=1,D78=""),"",TABLERO!DS78)</f>
        <v/>
      </c>
      <c r="M78" s="31" t="str">
        <f>IF(OR(TABLERO!$A$25=1,D78=""),"",TABLERO!CE78)</f>
        <v/>
      </c>
      <c r="N78" s="30" t="str">
        <f>IF(TABLERO!$A$25=1,"",TABLERO!CF78)</f>
        <v/>
      </c>
      <c r="O78" s="31" t="str">
        <f>IF(OR(TABLERO!$A$25=1,D78=""),"",TABLERO!EB78)</f>
        <v/>
      </c>
      <c r="P78" s="31" t="str">
        <f>IF(OR(TABLERO!$A$25=1,D78=""),"",TABLERO!EC78)</f>
        <v/>
      </c>
      <c r="Q78" s="29" t="str">
        <f>IF(OR(TABLERO!$A$25=1,D78=""),"",TABLERO!U78)</f>
        <v/>
      </c>
      <c r="R78" s="33" t="str">
        <f>IF(TABLERO!$A$25=1,"",TABLERO!CG78)</f>
        <v/>
      </c>
    </row>
    <row r="79" spans="1:18">
      <c r="A79" s="28" t="str">
        <f>TABLERO!B79&amp;IF(TABLERO!C79="","",","&amp;TABLERO!C79)&amp;IF(TABLERO!D79="","",","&amp;TABLERO!D79)</f>
        <v>49</v>
      </c>
      <c r="B79" s="29" t="str">
        <f>IF(OR(TABLERO!$A$25=1,D79=""),"",TABLERO!S79)</f>
        <v/>
      </c>
      <c r="C79" s="30" t="str">
        <f>IF(OR(TABLERO!$A$25=1,D79=""),"",TABLERO!I79)</f>
        <v/>
      </c>
      <c r="D79" s="31" t="str">
        <f>IF(OR(TABLERO!$A$25=1,,TABLERO!Q79=""),"",TABLERO!Q79)</f>
        <v/>
      </c>
      <c r="E79" s="29" t="str">
        <f>IF(OR(TABLERO!$A$25=1,D79=""),"",TABLERO!N79)</f>
        <v/>
      </c>
      <c r="F79" s="29" t="str">
        <f>IF(TABLERO!$A$25=1,"",TABLERO!CC79)</f>
        <v/>
      </c>
      <c r="G79" s="31" t="str">
        <f>IF(OR(TABLERO!$A$25=1,D79=""),"",TABLERO!BU79)</f>
        <v/>
      </c>
      <c r="H79" s="32" t="str">
        <f>IF(OR(TABLERO!$A$25=1,D79=""),"",TABLERO!DO79)</f>
        <v/>
      </c>
      <c r="I79" s="32" t="str">
        <f>IF(OR(TABLERO!$A$25=1,D79=""),"",TABLERO!DP79)</f>
        <v/>
      </c>
      <c r="J79" s="31" t="str">
        <f>IF(OR(TABLERO!$A$25=1,D79=""),"",TABLERO!DQ79)</f>
        <v/>
      </c>
      <c r="K79" s="31" t="str">
        <f>IF(OR(TABLERO!$A$25=1,D79=""),"",TABLERO!DR79)</f>
        <v/>
      </c>
      <c r="L79" s="31" t="str">
        <f>IF(OR(TABLERO!$A$25=1,D79=""),"",TABLERO!DS79)</f>
        <v/>
      </c>
      <c r="M79" s="31" t="str">
        <f>IF(OR(TABLERO!$A$25=1,D79=""),"",TABLERO!CE79)</f>
        <v/>
      </c>
      <c r="N79" s="30" t="str">
        <f>IF(TABLERO!$A$25=1,"",TABLERO!CF79)</f>
        <v/>
      </c>
      <c r="O79" s="31" t="str">
        <f>IF(OR(TABLERO!$A$25=1,D79=""),"",TABLERO!EB79)</f>
        <v/>
      </c>
      <c r="P79" s="31" t="str">
        <f>IF(OR(TABLERO!$A$25=1,D79=""),"",TABLERO!EC79)</f>
        <v/>
      </c>
      <c r="Q79" s="29" t="str">
        <f>IF(OR(TABLERO!$A$25=1,D79=""),"",TABLERO!U79)</f>
        <v/>
      </c>
      <c r="R79" s="33" t="str">
        <f>IF(TABLERO!$A$25=1,"",TABLERO!CG79)</f>
        <v/>
      </c>
    </row>
    <row r="80" spans="1:18">
      <c r="A80" s="28" t="str">
        <f>TABLERO!B80&amp;IF(TABLERO!C80="","",","&amp;TABLERO!C80)&amp;IF(TABLERO!D80="","",","&amp;TABLERO!D80)</f>
        <v>50</v>
      </c>
      <c r="B80" s="29" t="str">
        <f>IF(OR(TABLERO!$A$25=1,D80=""),"",TABLERO!S80)</f>
        <v/>
      </c>
      <c r="C80" s="30" t="str">
        <f>IF(OR(TABLERO!$A$25=1,D80=""),"",TABLERO!I80)</f>
        <v/>
      </c>
      <c r="D80" s="31" t="str">
        <f>IF(OR(TABLERO!$A$25=1,,TABLERO!Q80=""),"",TABLERO!Q80)</f>
        <v/>
      </c>
      <c r="E80" s="29" t="str">
        <f>IF(OR(TABLERO!$A$25=1,D80=""),"",TABLERO!N80)</f>
        <v/>
      </c>
      <c r="F80" s="29" t="str">
        <f>IF(TABLERO!$A$25=1,"",TABLERO!CC80)</f>
        <v/>
      </c>
      <c r="G80" s="31" t="str">
        <f>IF(OR(TABLERO!$A$25=1,D80=""),"",TABLERO!BU80)</f>
        <v/>
      </c>
      <c r="H80" s="32" t="str">
        <f>IF(OR(TABLERO!$A$25=1,D80=""),"",TABLERO!DO80)</f>
        <v/>
      </c>
      <c r="I80" s="32" t="str">
        <f>IF(OR(TABLERO!$A$25=1,D80=""),"",TABLERO!DP80)</f>
        <v/>
      </c>
      <c r="J80" s="31" t="str">
        <f>IF(OR(TABLERO!$A$25=1,D80=""),"",TABLERO!DQ80)</f>
        <v/>
      </c>
      <c r="K80" s="31" t="str">
        <f>IF(OR(TABLERO!$A$25=1,D80=""),"",TABLERO!DR80)</f>
        <v/>
      </c>
      <c r="L80" s="31" t="str">
        <f>IF(OR(TABLERO!$A$25=1,D80=""),"",TABLERO!DS80)</f>
        <v/>
      </c>
      <c r="M80" s="31" t="str">
        <f>IF(OR(TABLERO!$A$25=1,D80=""),"",TABLERO!CE80)</f>
        <v/>
      </c>
      <c r="N80" s="30" t="str">
        <f>IF(TABLERO!$A$25=1,"",TABLERO!CF80)</f>
        <v/>
      </c>
      <c r="O80" s="31" t="str">
        <f>IF(OR(TABLERO!$A$25=1,D80=""),"",TABLERO!EB80)</f>
        <v/>
      </c>
      <c r="P80" s="31" t="str">
        <f>IF(OR(TABLERO!$A$25=1,D80=""),"",TABLERO!EC80)</f>
        <v/>
      </c>
      <c r="Q80" s="29" t="str">
        <f>IF(OR(TABLERO!$A$25=1,D80=""),"",TABLERO!U80)</f>
        <v/>
      </c>
      <c r="R80" s="33" t="str">
        <f>IF(TABLERO!$A$25=1,"",TABLERO!CG80)</f>
        <v/>
      </c>
    </row>
    <row r="81" spans="1:18">
      <c r="A81" s="28" t="str">
        <f>TABLERO!B81&amp;IF(TABLERO!C81="","",","&amp;TABLERO!C81)&amp;IF(TABLERO!D81="","",","&amp;TABLERO!D81)</f>
        <v>51</v>
      </c>
      <c r="B81" s="29" t="str">
        <f>IF(OR(TABLERO!$A$25=1,D81=""),"",TABLERO!S81)</f>
        <v/>
      </c>
      <c r="C81" s="30" t="str">
        <f>IF(OR(TABLERO!$A$25=1,D81=""),"",TABLERO!I81)</f>
        <v/>
      </c>
      <c r="D81" s="31" t="str">
        <f>IF(OR(TABLERO!$A$25=1,,TABLERO!Q81=""),"",TABLERO!Q81)</f>
        <v/>
      </c>
      <c r="E81" s="29" t="str">
        <f>IF(OR(TABLERO!$A$25=1,D81=""),"",TABLERO!N81)</f>
        <v/>
      </c>
      <c r="F81" s="29" t="str">
        <f>IF(TABLERO!$A$25=1,"",TABLERO!CC81)</f>
        <v/>
      </c>
      <c r="G81" s="31" t="str">
        <f>IF(OR(TABLERO!$A$25=1,D81=""),"",TABLERO!BU81)</f>
        <v/>
      </c>
      <c r="H81" s="32" t="str">
        <f>IF(OR(TABLERO!$A$25=1,D81=""),"",TABLERO!DO81)</f>
        <v/>
      </c>
      <c r="I81" s="32" t="str">
        <f>IF(OR(TABLERO!$A$25=1,D81=""),"",TABLERO!DP81)</f>
        <v/>
      </c>
      <c r="J81" s="31" t="str">
        <f>IF(OR(TABLERO!$A$25=1,D81=""),"",TABLERO!DQ81)</f>
        <v/>
      </c>
      <c r="K81" s="31" t="str">
        <f>IF(OR(TABLERO!$A$25=1,D81=""),"",TABLERO!DR81)</f>
        <v/>
      </c>
      <c r="L81" s="31" t="str">
        <f>IF(OR(TABLERO!$A$25=1,D81=""),"",TABLERO!DS81)</f>
        <v/>
      </c>
      <c r="M81" s="31" t="str">
        <f>IF(OR(TABLERO!$A$25=1,D81=""),"",TABLERO!CE81)</f>
        <v/>
      </c>
      <c r="N81" s="30" t="str">
        <f>IF(TABLERO!$A$25=1,"",TABLERO!CF81)</f>
        <v/>
      </c>
      <c r="O81" s="31" t="str">
        <f>IF(OR(TABLERO!$A$25=1,D81=""),"",TABLERO!EB81)</f>
        <v/>
      </c>
      <c r="P81" s="31" t="str">
        <f>IF(OR(TABLERO!$A$25=1,D81=""),"",TABLERO!EC81)</f>
        <v/>
      </c>
      <c r="Q81" s="29" t="str">
        <f>IF(OR(TABLERO!$A$25=1,D81=""),"",TABLERO!U81)</f>
        <v/>
      </c>
      <c r="R81" s="33" t="str">
        <f>IF(TABLERO!$A$25=1,"",TABLERO!CG81)</f>
        <v/>
      </c>
    </row>
    <row r="82" spans="1:18">
      <c r="A82" s="28" t="str">
        <f>TABLERO!B82&amp;IF(TABLERO!C82="","",","&amp;TABLERO!C82)&amp;IF(TABLERO!D82="","",","&amp;TABLERO!D82)</f>
        <v>52</v>
      </c>
      <c r="B82" s="29" t="str">
        <f>IF(OR(TABLERO!$A$25=1,D82=""),"",TABLERO!S82)</f>
        <v/>
      </c>
      <c r="C82" s="30" t="str">
        <f>IF(OR(TABLERO!$A$25=1,D82=""),"",TABLERO!I82)</f>
        <v/>
      </c>
      <c r="D82" s="31" t="str">
        <f>IF(OR(TABLERO!$A$25=1,,TABLERO!Q82=""),"",TABLERO!Q82)</f>
        <v/>
      </c>
      <c r="E82" s="29" t="str">
        <f>IF(OR(TABLERO!$A$25=1,D82=""),"",TABLERO!N82)</f>
        <v/>
      </c>
      <c r="F82" s="29" t="str">
        <f>IF(TABLERO!$A$25=1,"",TABLERO!CC82)</f>
        <v/>
      </c>
      <c r="G82" s="31" t="str">
        <f>IF(OR(TABLERO!$A$25=1,D82=""),"",TABLERO!BU82)</f>
        <v/>
      </c>
      <c r="H82" s="32" t="str">
        <f>IF(OR(TABLERO!$A$25=1,D82=""),"",TABLERO!DO82)</f>
        <v/>
      </c>
      <c r="I82" s="32" t="str">
        <f>IF(OR(TABLERO!$A$25=1,D82=""),"",TABLERO!DP82)</f>
        <v/>
      </c>
      <c r="J82" s="31" t="str">
        <f>IF(OR(TABLERO!$A$25=1,D82=""),"",TABLERO!DQ82)</f>
        <v/>
      </c>
      <c r="K82" s="31" t="str">
        <f>IF(OR(TABLERO!$A$25=1,D82=""),"",TABLERO!DR82)</f>
        <v/>
      </c>
      <c r="L82" s="31" t="str">
        <f>IF(OR(TABLERO!$A$25=1,D82=""),"",TABLERO!DS82)</f>
        <v/>
      </c>
      <c r="M82" s="31" t="str">
        <f>IF(OR(TABLERO!$A$25=1,D82=""),"",TABLERO!CE82)</f>
        <v/>
      </c>
      <c r="N82" s="30" t="str">
        <f>IF(TABLERO!$A$25=1,"",TABLERO!CF82)</f>
        <v/>
      </c>
      <c r="O82" s="31" t="str">
        <f>IF(OR(TABLERO!$A$25=1,D82=""),"",TABLERO!EB82)</f>
        <v/>
      </c>
      <c r="P82" s="31" t="str">
        <f>IF(OR(TABLERO!$A$25=1,D82=""),"",TABLERO!EC82)</f>
        <v/>
      </c>
      <c r="Q82" s="29" t="str">
        <f>IF(OR(TABLERO!$A$25=1,D82=""),"",TABLERO!U82)</f>
        <v/>
      </c>
      <c r="R82" s="33" t="str">
        <f>IF(TABLERO!$A$25=1,"",TABLERO!CG82)</f>
        <v/>
      </c>
    </row>
    <row r="83" spans="1:18">
      <c r="A83" s="28" t="str">
        <f>TABLERO!B83&amp;IF(TABLERO!C83="","",","&amp;TABLERO!C83)&amp;IF(TABLERO!D83="","",","&amp;TABLERO!D83)</f>
        <v>53</v>
      </c>
      <c r="B83" s="29" t="str">
        <f>IF(OR(TABLERO!$A$25=1,D83=""),"",TABLERO!S83)</f>
        <v/>
      </c>
      <c r="C83" s="30" t="str">
        <f>IF(OR(TABLERO!$A$25=1,D83=""),"",TABLERO!I83)</f>
        <v/>
      </c>
      <c r="D83" s="31" t="str">
        <f>IF(OR(TABLERO!$A$25=1,,TABLERO!Q83=""),"",TABLERO!Q83)</f>
        <v/>
      </c>
      <c r="E83" s="29" t="str">
        <f>IF(OR(TABLERO!$A$25=1,D83=""),"",TABLERO!N83)</f>
        <v/>
      </c>
      <c r="F83" s="29" t="str">
        <f>IF(TABLERO!$A$25=1,"",TABLERO!CC83)</f>
        <v/>
      </c>
      <c r="G83" s="31" t="str">
        <f>IF(OR(TABLERO!$A$25=1,D83=""),"",TABLERO!BU83)</f>
        <v/>
      </c>
      <c r="H83" s="32" t="str">
        <f>IF(OR(TABLERO!$A$25=1,D83=""),"",TABLERO!DO83)</f>
        <v/>
      </c>
      <c r="I83" s="32" t="str">
        <f>IF(OR(TABLERO!$A$25=1,D83=""),"",TABLERO!DP83)</f>
        <v/>
      </c>
      <c r="J83" s="31" t="str">
        <f>IF(OR(TABLERO!$A$25=1,D83=""),"",TABLERO!DQ83)</f>
        <v/>
      </c>
      <c r="K83" s="31" t="str">
        <f>IF(OR(TABLERO!$A$25=1,D83=""),"",TABLERO!DR83)</f>
        <v/>
      </c>
      <c r="L83" s="31" t="str">
        <f>IF(OR(TABLERO!$A$25=1,D83=""),"",TABLERO!DS83)</f>
        <v/>
      </c>
      <c r="M83" s="31" t="str">
        <f>IF(OR(TABLERO!$A$25=1,D83=""),"",TABLERO!CE83)</f>
        <v/>
      </c>
      <c r="N83" s="30" t="str">
        <f>IF(TABLERO!$A$25=1,"",TABLERO!CF83)</f>
        <v/>
      </c>
      <c r="O83" s="31" t="str">
        <f>IF(OR(TABLERO!$A$25=1,D83=""),"",TABLERO!EB83)</f>
        <v/>
      </c>
      <c r="P83" s="31" t="str">
        <f>IF(OR(TABLERO!$A$25=1,D83=""),"",TABLERO!EC83)</f>
        <v/>
      </c>
      <c r="Q83" s="29" t="str">
        <f>IF(OR(TABLERO!$A$25=1,D83=""),"",TABLERO!U83)</f>
        <v/>
      </c>
      <c r="R83" s="33" t="str">
        <f>IF(TABLERO!$A$25=1,"",TABLERO!CG83)</f>
        <v/>
      </c>
    </row>
    <row r="84" spans="1:18">
      <c r="A84" s="28" t="str">
        <f>TABLERO!B84&amp;IF(TABLERO!C84="","",","&amp;TABLERO!C84)&amp;IF(TABLERO!D84="","",","&amp;TABLERO!D84)</f>
        <v>54</v>
      </c>
      <c r="B84" s="29" t="str">
        <f>IF(OR(TABLERO!$A$25=1,D84=""),"",TABLERO!S84)</f>
        <v/>
      </c>
      <c r="C84" s="30" t="str">
        <f>IF(OR(TABLERO!$A$25=1,D84=""),"",TABLERO!I84)</f>
        <v/>
      </c>
      <c r="D84" s="31" t="str">
        <f>IF(OR(TABLERO!$A$25=1,,TABLERO!Q84=""),"",TABLERO!Q84)</f>
        <v/>
      </c>
      <c r="E84" s="29" t="str">
        <f>IF(OR(TABLERO!$A$25=1,D84=""),"",TABLERO!N84)</f>
        <v/>
      </c>
      <c r="F84" s="29" t="str">
        <f>IF(TABLERO!$A$25=1,"",TABLERO!CC84)</f>
        <v/>
      </c>
      <c r="G84" s="31" t="str">
        <f>IF(OR(TABLERO!$A$25=1,D84=""),"",TABLERO!BU84)</f>
        <v/>
      </c>
      <c r="H84" s="32" t="str">
        <f>IF(OR(TABLERO!$A$25=1,D84=""),"",TABLERO!DO84)</f>
        <v/>
      </c>
      <c r="I84" s="32" t="str">
        <f>IF(OR(TABLERO!$A$25=1,D84=""),"",TABLERO!DP84)</f>
        <v/>
      </c>
      <c r="J84" s="31" t="str">
        <f>IF(OR(TABLERO!$A$25=1,D84=""),"",TABLERO!DQ84)</f>
        <v/>
      </c>
      <c r="K84" s="31" t="str">
        <f>IF(OR(TABLERO!$A$25=1,D84=""),"",TABLERO!DR84)</f>
        <v/>
      </c>
      <c r="L84" s="31" t="str">
        <f>IF(OR(TABLERO!$A$25=1,D84=""),"",TABLERO!DS84)</f>
        <v/>
      </c>
      <c r="M84" s="31" t="str">
        <f>IF(OR(TABLERO!$A$25=1,D84=""),"",TABLERO!CE84)</f>
        <v/>
      </c>
      <c r="N84" s="30" t="str">
        <f>IF(TABLERO!$A$25=1,"",TABLERO!CF84)</f>
        <v/>
      </c>
      <c r="O84" s="31" t="str">
        <f>IF(OR(TABLERO!$A$25=1,D84=""),"",TABLERO!EB84)</f>
        <v/>
      </c>
      <c r="P84" s="31" t="str">
        <f>IF(OR(TABLERO!$A$25=1,D84=""),"",TABLERO!EC84)</f>
        <v/>
      </c>
      <c r="Q84" s="29" t="str">
        <f>IF(OR(TABLERO!$A$25=1,D84=""),"",TABLERO!U84)</f>
        <v/>
      </c>
      <c r="R84" s="33" t="str">
        <f>IF(TABLERO!$A$25=1,"",TABLERO!CG84)</f>
        <v/>
      </c>
    </row>
    <row r="85" spans="1:18">
      <c r="A85" s="28" t="str">
        <f>TABLERO!B85&amp;IF(TABLERO!C85="","",","&amp;TABLERO!C85)&amp;IF(TABLERO!D85="","",","&amp;TABLERO!D85)</f>
        <v>55</v>
      </c>
      <c r="B85" s="29" t="str">
        <f>IF(OR(TABLERO!$A$25=1,D85=""),"",TABLERO!S85)</f>
        <v/>
      </c>
      <c r="C85" s="30" t="str">
        <f>IF(OR(TABLERO!$A$25=1,D85=""),"",TABLERO!I85)</f>
        <v/>
      </c>
      <c r="D85" s="31" t="str">
        <f>IF(OR(TABLERO!$A$25=1,,TABLERO!Q85=""),"",TABLERO!Q85)</f>
        <v/>
      </c>
      <c r="E85" s="29" t="str">
        <f>IF(OR(TABLERO!$A$25=1,D85=""),"",TABLERO!N85)</f>
        <v/>
      </c>
      <c r="F85" s="29" t="str">
        <f>IF(TABLERO!$A$25=1,"",TABLERO!CC85)</f>
        <v/>
      </c>
      <c r="G85" s="31" t="str">
        <f>IF(OR(TABLERO!$A$25=1,D85=""),"",TABLERO!BU85)</f>
        <v/>
      </c>
      <c r="H85" s="32" t="str">
        <f>IF(OR(TABLERO!$A$25=1,D85=""),"",TABLERO!DO85)</f>
        <v/>
      </c>
      <c r="I85" s="32" t="str">
        <f>IF(OR(TABLERO!$A$25=1,D85=""),"",TABLERO!DP85)</f>
        <v/>
      </c>
      <c r="J85" s="31" t="str">
        <f>IF(OR(TABLERO!$A$25=1,D85=""),"",TABLERO!DQ85)</f>
        <v/>
      </c>
      <c r="K85" s="31" t="str">
        <f>IF(OR(TABLERO!$A$25=1,D85=""),"",TABLERO!DR85)</f>
        <v/>
      </c>
      <c r="L85" s="31" t="str">
        <f>IF(OR(TABLERO!$A$25=1,D85=""),"",TABLERO!DS85)</f>
        <v/>
      </c>
      <c r="M85" s="31" t="str">
        <f>IF(OR(TABLERO!$A$25=1,D85=""),"",TABLERO!CE85)</f>
        <v/>
      </c>
      <c r="N85" s="30" t="str">
        <f>IF(TABLERO!$A$25=1,"",TABLERO!CF85)</f>
        <v/>
      </c>
      <c r="O85" s="31" t="str">
        <f>IF(OR(TABLERO!$A$25=1,D85=""),"",TABLERO!EB85)</f>
        <v/>
      </c>
      <c r="P85" s="31" t="str">
        <f>IF(OR(TABLERO!$A$25=1,D85=""),"",TABLERO!EC85)</f>
        <v/>
      </c>
      <c r="Q85" s="29" t="str">
        <f>IF(OR(TABLERO!$A$25=1,D85=""),"",TABLERO!U85)</f>
        <v/>
      </c>
      <c r="R85" s="33" t="str">
        <f>IF(TABLERO!$A$25=1,"",TABLERO!CG85)</f>
        <v/>
      </c>
    </row>
    <row r="86" spans="1:18">
      <c r="A86" s="28" t="str">
        <f>TABLERO!B86&amp;IF(TABLERO!C86="","",","&amp;TABLERO!C86)&amp;IF(TABLERO!D86="","",","&amp;TABLERO!D86)</f>
        <v>56</v>
      </c>
      <c r="B86" s="29" t="str">
        <f>IF(OR(TABLERO!$A$25=1,D86=""),"",TABLERO!S86)</f>
        <v/>
      </c>
      <c r="C86" s="30" t="str">
        <f>IF(OR(TABLERO!$A$25=1,D86=""),"",TABLERO!I86)</f>
        <v/>
      </c>
      <c r="D86" s="31" t="str">
        <f>IF(OR(TABLERO!$A$25=1,,TABLERO!Q86=""),"",TABLERO!Q86)</f>
        <v/>
      </c>
      <c r="E86" s="29" t="str">
        <f>IF(OR(TABLERO!$A$25=1,D86=""),"",TABLERO!N86)</f>
        <v/>
      </c>
      <c r="F86" s="29" t="str">
        <f>IF(TABLERO!$A$25=1,"",TABLERO!CC86)</f>
        <v/>
      </c>
      <c r="G86" s="31" t="str">
        <f>IF(OR(TABLERO!$A$25=1,D86=""),"",TABLERO!BU86)</f>
        <v/>
      </c>
      <c r="H86" s="32" t="str">
        <f>IF(OR(TABLERO!$A$25=1,D86=""),"",TABLERO!DO86)</f>
        <v/>
      </c>
      <c r="I86" s="32" t="str">
        <f>IF(OR(TABLERO!$A$25=1,D86=""),"",TABLERO!DP86)</f>
        <v/>
      </c>
      <c r="J86" s="31" t="str">
        <f>IF(OR(TABLERO!$A$25=1,D86=""),"",TABLERO!DQ86)</f>
        <v/>
      </c>
      <c r="K86" s="31" t="str">
        <f>IF(OR(TABLERO!$A$25=1,D86=""),"",TABLERO!DR86)</f>
        <v/>
      </c>
      <c r="L86" s="31" t="str">
        <f>IF(OR(TABLERO!$A$25=1,D86=""),"",TABLERO!DS86)</f>
        <v/>
      </c>
      <c r="M86" s="31" t="str">
        <f>IF(OR(TABLERO!$A$25=1,D86=""),"",TABLERO!CE86)</f>
        <v/>
      </c>
      <c r="N86" s="30" t="str">
        <f>IF(TABLERO!$A$25=1,"",TABLERO!CF86)</f>
        <v/>
      </c>
      <c r="O86" s="31" t="str">
        <f>IF(OR(TABLERO!$A$25=1,D86=""),"",TABLERO!EB86)</f>
        <v/>
      </c>
      <c r="P86" s="31" t="str">
        <f>IF(OR(TABLERO!$A$25=1,D86=""),"",TABLERO!EC86)</f>
        <v/>
      </c>
      <c r="Q86" s="29" t="str">
        <f>IF(OR(TABLERO!$A$25=1,D86=""),"",TABLERO!U86)</f>
        <v/>
      </c>
      <c r="R86" s="33" t="str">
        <f>IF(TABLERO!$A$25=1,"",TABLERO!CG86)</f>
        <v/>
      </c>
    </row>
    <row r="87" spans="1:18">
      <c r="A87" s="28" t="str">
        <f>TABLERO!B87&amp;IF(TABLERO!C87="","",","&amp;TABLERO!C87)&amp;IF(TABLERO!D87="","",","&amp;TABLERO!D87)</f>
        <v>57</v>
      </c>
      <c r="B87" s="29" t="str">
        <f>IF(OR(TABLERO!$A$25=1,D87=""),"",TABLERO!S87)</f>
        <v/>
      </c>
      <c r="C87" s="30" t="str">
        <f>IF(OR(TABLERO!$A$25=1,D87=""),"",TABLERO!I87)</f>
        <v/>
      </c>
      <c r="D87" s="31" t="str">
        <f>IF(OR(TABLERO!$A$25=1,,TABLERO!Q87=""),"",TABLERO!Q87)</f>
        <v/>
      </c>
      <c r="E87" s="29" t="str">
        <f>IF(OR(TABLERO!$A$25=1,D87=""),"",TABLERO!N87)</f>
        <v/>
      </c>
      <c r="F87" s="29" t="str">
        <f>IF(TABLERO!$A$25=1,"",TABLERO!CC87)</f>
        <v/>
      </c>
      <c r="G87" s="31" t="str">
        <f>IF(OR(TABLERO!$A$25=1,D87=""),"",TABLERO!BU87)</f>
        <v/>
      </c>
      <c r="H87" s="32" t="str">
        <f>IF(OR(TABLERO!$A$25=1,D87=""),"",TABLERO!DO87)</f>
        <v/>
      </c>
      <c r="I87" s="32" t="str">
        <f>IF(OR(TABLERO!$A$25=1,D87=""),"",TABLERO!DP87)</f>
        <v/>
      </c>
      <c r="J87" s="31" t="str">
        <f>IF(OR(TABLERO!$A$25=1,D87=""),"",TABLERO!DQ87)</f>
        <v/>
      </c>
      <c r="K87" s="31" t="str">
        <f>IF(OR(TABLERO!$A$25=1,D87=""),"",TABLERO!DR87)</f>
        <v/>
      </c>
      <c r="L87" s="31" t="str">
        <f>IF(OR(TABLERO!$A$25=1,D87=""),"",TABLERO!DS87)</f>
        <v/>
      </c>
      <c r="M87" s="31" t="str">
        <f>IF(OR(TABLERO!$A$25=1,D87=""),"",TABLERO!CE87)</f>
        <v/>
      </c>
      <c r="N87" s="30" t="str">
        <f>IF(TABLERO!$A$25=1,"",TABLERO!CF87)</f>
        <v/>
      </c>
      <c r="O87" s="31" t="str">
        <f>IF(OR(TABLERO!$A$25=1,D87=""),"",TABLERO!EB87)</f>
        <v/>
      </c>
      <c r="P87" s="31" t="str">
        <f>IF(OR(TABLERO!$A$25=1,D87=""),"",TABLERO!EC87)</f>
        <v/>
      </c>
      <c r="Q87" s="29" t="str">
        <f>IF(OR(TABLERO!$A$25=1,D87=""),"",TABLERO!U87)</f>
        <v/>
      </c>
      <c r="R87" s="33" t="str">
        <f>IF(TABLERO!$A$25=1,"",TABLERO!CG87)</f>
        <v/>
      </c>
    </row>
    <row r="88" spans="1:18">
      <c r="A88" s="28" t="str">
        <f>TABLERO!B88&amp;IF(TABLERO!C88="","",","&amp;TABLERO!C88)&amp;IF(TABLERO!D88="","",","&amp;TABLERO!D88)</f>
        <v>58</v>
      </c>
      <c r="B88" s="29" t="str">
        <f>IF(OR(TABLERO!$A$25=1,D88=""),"",TABLERO!S88)</f>
        <v/>
      </c>
      <c r="C88" s="30" t="str">
        <f>IF(OR(TABLERO!$A$25=1,D88=""),"",TABLERO!I88)</f>
        <v/>
      </c>
      <c r="D88" s="31" t="str">
        <f>IF(OR(TABLERO!$A$25=1,,TABLERO!Q88=""),"",TABLERO!Q88)</f>
        <v/>
      </c>
      <c r="E88" s="29" t="str">
        <f>IF(OR(TABLERO!$A$25=1,D88=""),"",TABLERO!N88)</f>
        <v/>
      </c>
      <c r="F88" s="29" t="str">
        <f>IF(TABLERO!$A$25=1,"",TABLERO!CC88)</f>
        <v/>
      </c>
      <c r="G88" s="31" t="str">
        <f>IF(OR(TABLERO!$A$25=1,D88=""),"",TABLERO!BU88)</f>
        <v/>
      </c>
      <c r="H88" s="32" t="str">
        <f>IF(OR(TABLERO!$A$25=1,D88=""),"",TABLERO!DO88)</f>
        <v/>
      </c>
      <c r="I88" s="32" t="str">
        <f>IF(OR(TABLERO!$A$25=1,D88=""),"",TABLERO!DP88)</f>
        <v/>
      </c>
      <c r="J88" s="31" t="str">
        <f>IF(OR(TABLERO!$A$25=1,D88=""),"",TABLERO!DQ88)</f>
        <v/>
      </c>
      <c r="K88" s="31" t="str">
        <f>IF(OR(TABLERO!$A$25=1,D88=""),"",TABLERO!DR88)</f>
        <v/>
      </c>
      <c r="L88" s="31" t="str">
        <f>IF(OR(TABLERO!$A$25=1,D88=""),"",TABLERO!DS88)</f>
        <v/>
      </c>
      <c r="M88" s="31" t="str">
        <f>IF(OR(TABLERO!$A$25=1,D88=""),"",TABLERO!CE88)</f>
        <v/>
      </c>
      <c r="N88" s="30" t="str">
        <f>IF(TABLERO!$A$25=1,"",TABLERO!CF88)</f>
        <v/>
      </c>
      <c r="O88" s="31" t="str">
        <f>IF(OR(TABLERO!$A$25=1,D88=""),"",TABLERO!EB88)</f>
        <v/>
      </c>
      <c r="P88" s="31" t="str">
        <f>IF(OR(TABLERO!$A$25=1,D88=""),"",TABLERO!EC88)</f>
        <v/>
      </c>
      <c r="Q88" s="29" t="str">
        <f>IF(OR(TABLERO!$A$25=1,D88=""),"",TABLERO!U88)</f>
        <v/>
      </c>
      <c r="R88" s="33" t="str">
        <f>IF(TABLERO!$A$25=1,"",TABLERO!CG88)</f>
        <v/>
      </c>
    </row>
    <row r="89" spans="1:18">
      <c r="A89" s="28" t="str">
        <f>TABLERO!B89&amp;IF(TABLERO!C89="","",","&amp;TABLERO!C89)&amp;IF(TABLERO!D89="","",","&amp;TABLERO!D89)</f>
        <v>59</v>
      </c>
      <c r="B89" s="29" t="str">
        <f>IF(OR(TABLERO!$A$25=1,D89=""),"",TABLERO!S89)</f>
        <v/>
      </c>
      <c r="C89" s="30" t="str">
        <f>IF(OR(TABLERO!$A$25=1,D89=""),"",TABLERO!I89)</f>
        <v/>
      </c>
      <c r="D89" s="31" t="str">
        <f>IF(OR(TABLERO!$A$25=1,,TABLERO!Q89=""),"",TABLERO!Q89)</f>
        <v/>
      </c>
      <c r="E89" s="29" t="str">
        <f>IF(OR(TABLERO!$A$25=1,D89=""),"",TABLERO!N89)</f>
        <v/>
      </c>
      <c r="F89" s="29" t="str">
        <f>IF(TABLERO!$A$25=1,"",TABLERO!CC89)</f>
        <v/>
      </c>
      <c r="G89" s="31" t="str">
        <f>IF(OR(TABLERO!$A$25=1,D89=""),"",TABLERO!BU89)</f>
        <v/>
      </c>
      <c r="H89" s="32" t="str">
        <f>IF(OR(TABLERO!$A$25=1,D89=""),"",TABLERO!DO89)</f>
        <v/>
      </c>
      <c r="I89" s="32" t="str">
        <f>IF(OR(TABLERO!$A$25=1,D89=""),"",TABLERO!DP89)</f>
        <v/>
      </c>
      <c r="J89" s="31" t="str">
        <f>IF(OR(TABLERO!$A$25=1,D89=""),"",TABLERO!DQ89)</f>
        <v/>
      </c>
      <c r="K89" s="31" t="str">
        <f>IF(OR(TABLERO!$A$25=1,D89=""),"",TABLERO!DR89)</f>
        <v/>
      </c>
      <c r="L89" s="31" t="str">
        <f>IF(OR(TABLERO!$A$25=1,D89=""),"",TABLERO!DS89)</f>
        <v/>
      </c>
      <c r="M89" s="31" t="str">
        <f>IF(OR(TABLERO!$A$25=1,D89=""),"",TABLERO!CE89)</f>
        <v/>
      </c>
      <c r="N89" s="30" t="str">
        <f>IF(TABLERO!$A$25=1,"",TABLERO!CF89)</f>
        <v/>
      </c>
      <c r="O89" s="31" t="str">
        <f>IF(OR(TABLERO!$A$25=1,D89=""),"",TABLERO!EB89)</f>
        <v/>
      </c>
      <c r="P89" s="31" t="str">
        <f>IF(OR(TABLERO!$A$25=1,D89=""),"",TABLERO!EC89)</f>
        <v/>
      </c>
      <c r="Q89" s="29" t="str">
        <f>IF(OR(TABLERO!$A$25=1,D89=""),"",TABLERO!U89)</f>
        <v/>
      </c>
      <c r="R89" s="33" t="str">
        <f>IF(TABLERO!$A$25=1,"",TABLERO!CG89)</f>
        <v/>
      </c>
    </row>
    <row r="90" spans="1:18">
      <c r="A90" s="28" t="str">
        <f>TABLERO!B90&amp;IF(TABLERO!C90="","",","&amp;TABLERO!C90)&amp;IF(TABLERO!D90="","",","&amp;TABLERO!D90)</f>
        <v>60</v>
      </c>
      <c r="B90" s="29" t="str">
        <f>IF(OR(TABLERO!$A$25=1,D90=""),"",TABLERO!S90)</f>
        <v/>
      </c>
      <c r="C90" s="30" t="str">
        <f>IF(OR(TABLERO!$A$25=1,D90=""),"",TABLERO!I90)</f>
        <v/>
      </c>
      <c r="D90" s="31" t="str">
        <f>IF(OR(TABLERO!$A$25=1,,TABLERO!Q90=""),"",TABLERO!Q90)</f>
        <v/>
      </c>
      <c r="E90" s="29" t="str">
        <f>IF(OR(TABLERO!$A$25=1,D90=""),"",TABLERO!N90)</f>
        <v/>
      </c>
      <c r="F90" s="29" t="str">
        <f>IF(TABLERO!$A$25=1,"",TABLERO!CC90)</f>
        <v/>
      </c>
      <c r="G90" s="31" t="str">
        <f>IF(OR(TABLERO!$A$25=1,D90=""),"",TABLERO!BU90)</f>
        <v/>
      </c>
      <c r="H90" s="32" t="str">
        <f>IF(OR(TABLERO!$A$25=1,D90=""),"",TABLERO!DO90)</f>
        <v/>
      </c>
      <c r="I90" s="32" t="str">
        <f>IF(OR(TABLERO!$A$25=1,D90=""),"",TABLERO!DP90)</f>
        <v/>
      </c>
      <c r="J90" s="31" t="str">
        <f>IF(OR(TABLERO!$A$25=1,D90=""),"",TABLERO!DQ90)</f>
        <v/>
      </c>
      <c r="K90" s="31" t="str">
        <f>IF(OR(TABLERO!$A$25=1,D90=""),"",TABLERO!DR90)</f>
        <v/>
      </c>
      <c r="L90" s="31" t="str">
        <f>IF(OR(TABLERO!$A$25=1,D90=""),"",TABLERO!DS90)</f>
        <v/>
      </c>
      <c r="M90" s="31" t="str">
        <f>IF(OR(TABLERO!$A$25=1,D90=""),"",TABLERO!CE90)</f>
        <v/>
      </c>
      <c r="N90" s="30" t="str">
        <f>IF(TABLERO!$A$25=1,"",TABLERO!CF90)</f>
        <v/>
      </c>
      <c r="O90" s="31" t="str">
        <f>IF(OR(TABLERO!$A$25=1,D90=""),"",TABLERO!EB90)</f>
        <v/>
      </c>
      <c r="P90" s="31" t="str">
        <f>IF(OR(TABLERO!$A$25=1,D90=""),"",TABLERO!EC90)</f>
        <v/>
      </c>
      <c r="Q90" s="29" t="str">
        <f>IF(OR(TABLERO!$A$25=1,D90=""),"",TABLERO!U90)</f>
        <v/>
      </c>
      <c r="R90" s="33" t="str">
        <f>IF(TABLERO!$A$25=1,"",TABLERO!CG90)</f>
        <v/>
      </c>
    </row>
    <row r="91" spans="1:18">
      <c r="A91" s="28" t="str">
        <f>TABLERO!B91&amp;IF(TABLERO!C91="","",","&amp;TABLERO!C91)&amp;IF(TABLERO!D91="","",","&amp;TABLERO!D91)</f>
        <v>61</v>
      </c>
      <c r="B91" s="29" t="str">
        <f>IF(OR(TABLERO!$A$25=1,D91=""),"",TABLERO!S91)</f>
        <v/>
      </c>
      <c r="C91" s="30" t="str">
        <f>IF(OR(TABLERO!$A$25=1,D91=""),"",TABLERO!I91)</f>
        <v/>
      </c>
      <c r="D91" s="31" t="str">
        <f>IF(OR(TABLERO!$A$25=1,,TABLERO!Q91=""),"",TABLERO!Q91)</f>
        <v/>
      </c>
      <c r="E91" s="29" t="str">
        <f>IF(OR(TABLERO!$A$25=1,D91=""),"",TABLERO!N91)</f>
        <v/>
      </c>
      <c r="F91" s="29" t="str">
        <f>IF(TABLERO!$A$25=1,"",TABLERO!CC91)</f>
        <v/>
      </c>
      <c r="G91" s="31" t="str">
        <f>IF(OR(TABLERO!$A$25=1,D91=""),"",TABLERO!BU91)</f>
        <v/>
      </c>
      <c r="H91" s="32" t="str">
        <f>IF(OR(TABLERO!$A$25=1,D91=""),"",TABLERO!DO91)</f>
        <v/>
      </c>
      <c r="I91" s="32" t="str">
        <f>IF(OR(TABLERO!$A$25=1,D91=""),"",TABLERO!DP91)</f>
        <v/>
      </c>
      <c r="J91" s="31" t="str">
        <f>IF(OR(TABLERO!$A$25=1,D91=""),"",TABLERO!DQ91)</f>
        <v/>
      </c>
      <c r="K91" s="31" t="str">
        <f>IF(OR(TABLERO!$A$25=1,D91=""),"",TABLERO!DR91)</f>
        <v/>
      </c>
      <c r="L91" s="31" t="str">
        <f>IF(OR(TABLERO!$A$25=1,D91=""),"",TABLERO!DS91)</f>
        <v/>
      </c>
      <c r="M91" s="31" t="str">
        <f>IF(OR(TABLERO!$A$25=1,D91=""),"",TABLERO!CE91)</f>
        <v/>
      </c>
      <c r="N91" s="30" t="str">
        <f>IF(TABLERO!$A$25=1,"",TABLERO!CF91)</f>
        <v/>
      </c>
      <c r="O91" s="31" t="str">
        <f>IF(OR(TABLERO!$A$25=1,D91=""),"",TABLERO!EB91)</f>
        <v/>
      </c>
      <c r="P91" s="31" t="str">
        <f>IF(OR(TABLERO!$A$25=1,D91=""),"",TABLERO!EC91)</f>
        <v/>
      </c>
      <c r="Q91" s="29" t="str">
        <f>IF(OR(TABLERO!$A$25=1,D91=""),"",TABLERO!U91)</f>
        <v/>
      </c>
      <c r="R91" s="33" t="str">
        <f>IF(TABLERO!$A$25=1,"",TABLERO!CG91)</f>
        <v/>
      </c>
    </row>
    <row r="92" spans="1:18">
      <c r="A92" s="28" t="str">
        <f>TABLERO!B92&amp;IF(TABLERO!C92="","",","&amp;TABLERO!C92)&amp;IF(TABLERO!D92="","",","&amp;TABLERO!D92)</f>
        <v>62</v>
      </c>
      <c r="B92" s="29" t="str">
        <f>IF(OR(TABLERO!$A$25=1,D92=""),"",TABLERO!S92)</f>
        <v/>
      </c>
      <c r="C92" s="30" t="str">
        <f>IF(OR(TABLERO!$A$25=1,D92=""),"",TABLERO!I92)</f>
        <v/>
      </c>
      <c r="D92" s="31" t="str">
        <f>IF(OR(TABLERO!$A$25=1,,TABLERO!Q92=""),"",TABLERO!Q92)</f>
        <v/>
      </c>
      <c r="E92" s="29" t="str">
        <f>IF(OR(TABLERO!$A$25=1,D92=""),"",TABLERO!N92)</f>
        <v/>
      </c>
      <c r="F92" s="29" t="str">
        <f>IF(TABLERO!$A$25=1,"",TABLERO!CC92)</f>
        <v/>
      </c>
      <c r="G92" s="31" t="str">
        <f>IF(OR(TABLERO!$A$25=1,D92=""),"",TABLERO!BU92)</f>
        <v/>
      </c>
      <c r="H92" s="32" t="str">
        <f>IF(OR(TABLERO!$A$25=1,D92=""),"",TABLERO!DO92)</f>
        <v/>
      </c>
      <c r="I92" s="32" t="str">
        <f>IF(OR(TABLERO!$A$25=1,D92=""),"",TABLERO!DP92)</f>
        <v/>
      </c>
      <c r="J92" s="31" t="str">
        <f>IF(OR(TABLERO!$A$25=1,D92=""),"",TABLERO!DQ92)</f>
        <v/>
      </c>
      <c r="K92" s="31" t="str">
        <f>IF(OR(TABLERO!$A$25=1,D92=""),"",TABLERO!DR92)</f>
        <v/>
      </c>
      <c r="L92" s="31" t="str">
        <f>IF(OR(TABLERO!$A$25=1,D92=""),"",TABLERO!DS92)</f>
        <v/>
      </c>
      <c r="M92" s="31" t="str">
        <f>IF(OR(TABLERO!$A$25=1,D92=""),"",TABLERO!CE92)</f>
        <v/>
      </c>
      <c r="N92" s="30" t="str">
        <f>IF(TABLERO!$A$25=1,"",TABLERO!CF92)</f>
        <v/>
      </c>
      <c r="O92" s="31" t="str">
        <f>IF(OR(TABLERO!$A$25=1,D92=""),"",TABLERO!EB92)</f>
        <v/>
      </c>
      <c r="P92" s="31" t="str">
        <f>IF(OR(TABLERO!$A$25=1,D92=""),"",TABLERO!EC92)</f>
        <v/>
      </c>
      <c r="Q92" s="29" t="str">
        <f>IF(OR(TABLERO!$A$25=1,D92=""),"",TABLERO!U92)</f>
        <v/>
      </c>
      <c r="R92" s="33" t="str">
        <f>IF(TABLERO!$A$25=1,"",TABLERO!CG92)</f>
        <v/>
      </c>
    </row>
    <row r="93" spans="1:18">
      <c r="A93" s="28" t="str">
        <f>TABLERO!B93&amp;IF(TABLERO!C93="","",","&amp;TABLERO!C93)&amp;IF(TABLERO!D93="","",","&amp;TABLERO!D93)</f>
        <v>63</v>
      </c>
      <c r="B93" s="29" t="str">
        <f>IF(OR(TABLERO!$A$25=1,D93=""),"",TABLERO!S93)</f>
        <v/>
      </c>
      <c r="C93" s="30" t="str">
        <f>IF(OR(TABLERO!$A$25=1,D93=""),"",TABLERO!I93)</f>
        <v/>
      </c>
      <c r="D93" s="31" t="str">
        <f>IF(OR(TABLERO!$A$25=1,,TABLERO!Q93=""),"",TABLERO!Q93)</f>
        <v/>
      </c>
      <c r="E93" s="29" t="str">
        <f>IF(OR(TABLERO!$A$25=1,D93=""),"",TABLERO!N93)</f>
        <v/>
      </c>
      <c r="F93" s="29" t="str">
        <f>IF(TABLERO!$A$25=1,"",TABLERO!CC93)</f>
        <v/>
      </c>
      <c r="G93" s="31" t="str">
        <f>IF(OR(TABLERO!$A$25=1,D93=""),"",TABLERO!BU93)</f>
        <v/>
      </c>
      <c r="H93" s="32" t="str">
        <f>IF(OR(TABLERO!$A$25=1,D93=""),"",TABLERO!DO93)</f>
        <v/>
      </c>
      <c r="I93" s="32" t="str">
        <f>IF(OR(TABLERO!$A$25=1,D93=""),"",TABLERO!DP93)</f>
        <v/>
      </c>
      <c r="J93" s="31" t="str">
        <f>IF(OR(TABLERO!$A$25=1,D93=""),"",TABLERO!DQ93)</f>
        <v/>
      </c>
      <c r="K93" s="31" t="str">
        <f>IF(OR(TABLERO!$A$25=1,D93=""),"",TABLERO!DR93)</f>
        <v/>
      </c>
      <c r="L93" s="31" t="str">
        <f>IF(OR(TABLERO!$A$25=1,D93=""),"",TABLERO!DS93)</f>
        <v/>
      </c>
      <c r="M93" s="31" t="str">
        <f>IF(OR(TABLERO!$A$25=1,D93=""),"",TABLERO!CE93)</f>
        <v/>
      </c>
      <c r="N93" s="30" t="str">
        <f>IF(TABLERO!$A$25=1,"",TABLERO!CF93)</f>
        <v/>
      </c>
      <c r="O93" s="31" t="str">
        <f>IF(OR(TABLERO!$A$25=1,D93=""),"",TABLERO!EB93)</f>
        <v/>
      </c>
      <c r="P93" s="31" t="str">
        <f>IF(OR(TABLERO!$A$25=1,D93=""),"",TABLERO!EC93)</f>
        <v/>
      </c>
      <c r="Q93" s="29" t="str">
        <f>IF(OR(TABLERO!$A$25=1,D93=""),"",TABLERO!U93)</f>
        <v/>
      </c>
      <c r="R93" s="33" t="str">
        <f>IF(TABLERO!$A$25=1,"",TABLERO!CG93)</f>
        <v/>
      </c>
    </row>
    <row r="94" spans="1:18">
      <c r="A94" s="28" t="str">
        <f>TABLERO!B94&amp;IF(TABLERO!C94="","",","&amp;TABLERO!C94)&amp;IF(TABLERO!D94="","",","&amp;TABLERO!D94)</f>
        <v>64</v>
      </c>
      <c r="B94" s="29" t="str">
        <f>IF(OR(TABLERO!$A$25=1,D94=""),"",TABLERO!S94)</f>
        <v/>
      </c>
      <c r="C94" s="30" t="str">
        <f>IF(OR(TABLERO!$A$25=1,D94=""),"",TABLERO!I94)</f>
        <v/>
      </c>
      <c r="D94" s="31" t="str">
        <f>IF(OR(TABLERO!$A$25=1,,TABLERO!Q94=""),"",TABLERO!Q94)</f>
        <v/>
      </c>
      <c r="E94" s="29" t="str">
        <f>IF(OR(TABLERO!$A$25=1,D94=""),"",TABLERO!N94)</f>
        <v/>
      </c>
      <c r="F94" s="29" t="str">
        <f>IF(TABLERO!$A$25=1,"",TABLERO!CC94)</f>
        <v/>
      </c>
      <c r="G94" s="31" t="str">
        <f>IF(OR(TABLERO!$A$25=1,D94=""),"",TABLERO!BU94)</f>
        <v/>
      </c>
      <c r="H94" s="32" t="str">
        <f>IF(OR(TABLERO!$A$25=1,D94=""),"",TABLERO!DO94)</f>
        <v/>
      </c>
      <c r="I94" s="32" t="str">
        <f>IF(OR(TABLERO!$A$25=1,D94=""),"",TABLERO!DP94)</f>
        <v/>
      </c>
      <c r="J94" s="31" t="str">
        <f>IF(OR(TABLERO!$A$25=1,D94=""),"",TABLERO!DQ94)</f>
        <v/>
      </c>
      <c r="K94" s="31" t="str">
        <f>IF(OR(TABLERO!$A$25=1,D94=""),"",TABLERO!DR94)</f>
        <v/>
      </c>
      <c r="L94" s="31" t="str">
        <f>IF(OR(TABLERO!$A$25=1,D94=""),"",TABLERO!DS94)</f>
        <v/>
      </c>
      <c r="M94" s="31" t="str">
        <f>IF(OR(TABLERO!$A$25=1,D94=""),"",TABLERO!CE94)</f>
        <v/>
      </c>
      <c r="N94" s="30" t="str">
        <f>IF(TABLERO!$A$25=1,"",TABLERO!CF94)</f>
        <v/>
      </c>
      <c r="O94" s="31" t="str">
        <f>IF(OR(TABLERO!$A$25=1,D94=""),"",TABLERO!EB94)</f>
        <v/>
      </c>
      <c r="P94" s="31" t="str">
        <f>IF(OR(TABLERO!$A$25=1,D94=""),"",TABLERO!EC94)</f>
        <v/>
      </c>
      <c r="Q94" s="29" t="str">
        <f>IF(OR(TABLERO!$A$25=1,D94=""),"",TABLERO!U94)</f>
        <v/>
      </c>
      <c r="R94" s="33" t="str">
        <f>IF(TABLERO!$A$25=1,"",TABLERO!CG94)</f>
        <v/>
      </c>
    </row>
    <row r="95" spans="1:18">
      <c r="A95" s="28" t="str">
        <f>TABLERO!B95&amp;IF(TABLERO!C95="","",","&amp;TABLERO!C95)&amp;IF(TABLERO!D95="","",","&amp;TABLERO!D95)</f>
        <v>65</v>
      </c>
      <c r="B95" s="29" t="str">
        <f>IF(OR(TABLERO!$A$25=1,D95=""),"",TABLERO!S95)</f>
        <v/>
      </c>
      <c r="C95" s="30" t="str">
        <f>IF(OR(TABLERO!$A$25=1,D95=""),"",TABLERO!I95)</f>
        <v/>
      </c>
      <c r="D95" s="31" t="str">
        <f>IF(OR(TABLERO!$A$25=1,,TABLERO!Q95=""),"",TABLERO!Q95)</f>
        <v/>
      </c>
      <c r="E95" s="29" t="str">
        <f>IF(OR(TABLERO!$A$25=1,D95=""),"",TABLERO!N95)</f>
        <v/>
      </c>
      <c r="F95" s="29" t="str">
        <f>IF(TABLERO!$A$25=1,"",TABLERO!CC95)</f>
        <v/>
      </c>
      <c r="G95" s="31" t="str">
        <f>IF(OR(TABLERO!$A$25=1,D95=""),"",TABLERO!BU95)</f>
        <v/>
      </c>
      <c r="H95" s="32" t="str">
        <f>IF(OR(TABLERO!$A$25=1,D95=""),"",TABLERO!DO95)</f>
        <v/>
      </c>
      <c r="I95" s="32" t="str">
        <f>IF(OR(TABLERO!$A$25=1,D95=""),"",TABLERO!DP95)</f>
        <v/>
      </c>
      <c r="J95" s="31" t="str">
        <f>IF(OR(TABLERO!$A$25=1,D95=""),"",TABLERO!DQ95)</f>
        <v/>
      </c>
      <c r="K95" s="31" t="str">
        <f>IF(OR(TABLERO!$A$25=1,D95=""),"",TABLERO!DR95)</f>
        <v/>
      </c>
      <c r="L95" s="31" t="str">
        <f>IF(OR(TABLERO!$A$25=1,D95=""),"",TABLERO!DS95)</f>
        <v/>
      </c>
      <c r="M95" s="31" t="str">
        <f>IF(OR(TABLERO!$A$25=1,D95=""),"",TABLERO!CE95)</f>
        <v/>
      </c>
      <c r="N95" s="30" t="str">
        <f>IF(TABLERO!$A$25=1,"",TABLERO!CF95)</f>
        <v/>
      </c>
      <c r="O95" s="31" t="str">
        <f>IF(OR(TABLERO!$A$25=1,D95=""),"",TABLERO!EB95)</f>
        <v/>
      </c>
      <c r="P95" s="31" t="str">
        <f>IF(OR(TABLERO!$A$25=1,D95=""),"",TABLERO!EC95)</f>
        <v/>
      </c>
      <c r="Q95" s="29" t="str">
        <f>IF(OR(TABLERO!$A$25=1,D95=""),"",TABLERO!U95)</f>
        <v/>
      </c>
      <c r="R95" s="33" t="str">
        <f>IF(TABLERO!$A$25=1,"",TABLERO!CG95)</f>
        <v/>
      </c>
    </row>
    <row r="96" spans="1:18">
      <c r="A96" s="28" t="str">
        <f>TABLERO!B96&amp;IF(TABLERO!C96="","",","&amp;TABLERO!C96)&amp;IF(TABLERO!D96="","",","&amp;TABLERO!D96)</f>
        <v>66</v>
      </c>
      <c r="B96" s="29" t="str">
        <f>IF(OR(TABLERO!$A$25=1,D96=""),"",TABLERO!S96)</f>
        <v/>
      </c>
      <c r="C96" s="30" t="str">
        <f>IF(OR(TABLERO!$A$25=1,D96=""),"",TABLERO!I96)</f>
        <v/>
      </c>
      <c r="D96" s="31" t="str">
        <f>IF(OR(TABLERO!$A$25=1,,TABLERO!Q96=""),"",TABLERO!Q96)</f>
        <v/>
      </c>
      <c r="E96" s="29" t="str">
        <f>IF(OR(TABLERO!$A$25=1,D96=""),"",TABLERO!N96)</f>
        <v/>
      </c>
      <c r="F96" s="29" t="str">
        <f>IF(TABLERO!$A$25=1,"",TABLERO!CC96)</f>
        <v/>
      </c>
      <c r="G96" s="31" t="str">
        <f>IF(OR(TABLERO!$A$25=1,D96=""),"",TABLERO!BU96)</f>
        <v/>
      </c>
      <c r="H96" s="32" t="str">
        <f>IF(OR(TABLERO!$A$25=1,D96=""),"",TABLERO!DO96)</f>
        <v/>
      </c>
      <c r="I96" s="32" t="str">
        <f>IF(OR(TABLERO!$A$25=1,D96=""),"",TABLERO!DP96)</f>
        <v/>
      </c>
      <c r="J96" s="31" t="str">
        <f>IF(OR(TABLERO!$A$25=1,D96=""),"",TABLERO!DQ96)</f>
        <v/>
      </c>
      <c r="K96" s="31" t="str">
        <f>IF(OR(TABLERO!$A$25=1,D96=""),"",TABLERO!DR96)</f>
        <v/>
      </c>
      <c r="L96" s="31" t="str">
        <f>IF(OR(TABLERO!$A$25=1,D96=""),"",TABLERO!DS96)</f>
        <v/>
      </c>
      <c r="M96" s="31" t="str">
        <f>IF(OR(TABLERO!$A$25=1,D96=""),"",TABLERO!CE96)</f>
        <v/>
      </c>
      <c r="N96" s="30" t="str">
        <f>IF(TABLERO!$A$25=1,"",TABLERO!CF96)</f>
        <v/>
      </c>
      <c r="O96" s="31" t="str">
        <f>IF(OR(TABLERO!$A$25=1,D96=""),"",TABLERO!EB96)</f>
        <v/>
      </c>
      <c r="P96" s="31" t="str">
        <f>IF(OR(TABLERO!$A$25=1,D96=""),"",TABLERO!EC96)</f>
        <v/>
      </c>
      <c r="Q96" s="29" t="str">
        <f>IF(OR(TABLERO!$A$25=1,D96=""),"",TABLERO!U96)</f>
        <v/>
      </c>
      <c r="R96" s="33" t="str">
        <f>IF(TABLERO!$A$25=1,"",TABLERO!CG96)</f>
        <v/>
      </c>
    </row>
    <row r="97" spans="1:18">
      <c r="A97" s="28" t="str">
        <f>TABLERO!B97&amp;IF(TABLERO!C97="","",","&amp;TABLERO!C97)&amp;IF(TABLERO!D97="","",","&amp;TABLERO!D97)</f>
        <v>67</v>
      </c>
      <c r="B97" s="29" t="str">
        <f>IF(OR(TABLERO!$A$25=1,D97=""),"",TABLERO!S97)</f>
        <v/>
      </c>
      <c r="C97" s="30" t="str">
        <f>IF(OR(TABLERO!$A$25=1,D97=""),"",TABLERO!I97)</f>
        <v/>
      </c>
      <c r="D97" s="31" t="str">
        <f>IF(OR(TABLERO!$A$25=1,,TABLERO!Q97=""),"",TABLERO!Q97)</f>
        <v/>
      </c>
      <c r="E97" s="29" t="str">
        <f>IF(OR(TABLERO!$A$25=1,D97=""),"",TABLERO!N97)</f>
        <v/>
      </c>
      <c r="F97" s="29" t="str">
        <f>IF(TABLERO!$A$25=1,"",TABLERO!CC97)</f>
        <v/>
      </c>
      <c r="G97" s="31" t="str">
        <f>IF(OR(TABLERO!$A$25=1,D97=""),"",TABLERO!BU97)</f>
        <v/>
      </c>
      <c r="H97" s="32" t="str">
        <f>IF(OR(TABLERO!$A$25=1,D97=""),"",TABLERO!DO97)</f>
        <v/>
      </c>
      <c r="I97" s="32" t="str">
        <f>IF(OR(TABLERO!$A$25=1,D97=""),"",TABLERO!DP97)</f>
        <v/>
      </c>
      <c r="J97" s="31" t="str">
        <f>IF(OR(TABLERO!$A$25=1,D97=""),"",TABLERO!DQ97)</f>
        <v/>
      </c>
      <c r="K97" s="31" t="str">
        <f>IF(OR(TABLERO!$A$25=1,D97=""),"",TABLERO!DR97)</f>
        <v/>
      </c>
      <c r="L97" s="31" t="str">
        <f>IF(OR(TABLERO!$A$25=1,D97=""),"",TABLERO!DS97)</f>
        <v/>
      </c>
      <c r="M97" s="31" t="str">
        <f>IF(OR(TABLERO!$A$25=1,D97=""),"",TABLERO!CE97)</f>
        <v/>
      </c>
      <c r="N97" s="30" t="str">
        <f>IF(TABLERO!$A$25=1,"",TABLERO!CF97)</f>
        <v/>
      </c>
      <c r="O97" s="31" t="str">
        <f>IF(OR(TABLERO!$A$25=1,D97=""),"",TABLERO!EB97)</f>
        <v/>
      </c>
      <c r="P97" s="31" t="str">
        <f>IF(OR(TABLERO!$A$25=1,D97=""),"",TABLERO!EC97)</f>
        <v/>
      </c>
      <c r="Q97" s="29" t="str">
        <f>IF(OR(TABLERO!$A$25=1,D97=""),"",TABLERO!U97)</f>
        <v/>
      </c>
      <c r="R97" s="33" t="str">
        <f>IF(TABLERO!$A$25=1,"",TABLERO!CG97)</f>
        <v/>
      </c>
    </row>
    <row r="98" spans="1:18">
      <c r="A98" s="28" t="str">
        <f>TABLERO!B98&amp;IF(TABLERO!C98="","",","&amp;TABLERO!C98)&amp;IF(TABLERO!D98="","",","&amp;TABLERO!D98)</f>
        <v>68</v>
      </c>
      <c r="B98" s="29" t="str">
        <f>IF(OR(TABLERO!$A$25=1,D98=""),"",TABLERO!S98)</f>
        <v/>
      </c>
      <c r="C98" s="30" t="str">
        <f>IF(OR(TABLERO!$A$25=1,D98=""),"",TABLERO!I98)</f>
        <v/>
      </c>
      <c r="D98" s="31" t="str">
        <f>IF(OR(TABLERO!$A$25=1,,TABLERO!Q98=""),"",TABLERO!Q98)</f>
        <v/>
      </c>
      <c r="E98" s="29" t="str">
        <f>IF(OR(TABLERO!$A$25=1,D98=""),"",TABLERO!N98)</f>
        <v/>
      </c>
      <c r="F98" s="29" t="str">
        <f>IF(TABLERO!$A$25=1,"",TABLERO!CC98)</f>
        <v/>
      </c>
      <c r="G98" s="31" t="str">
        <f>IF(OR(TABLERO!$A$25=1,D98=""),"",TABLERO!BU98)</f>
        <v/>
      </c>
      <c r="H98" s="32" t="str">
        <f>IF(OR(TABLERO!$A$25=1,D98=""),"",TABLERO!DO98)</f>
        <v/>
      </c>
      <c r="I98" s="32" t="str">
        <f>IF(OR(TABLERO!$A$25=1,D98=""),"",TABLERO!DP98)</f>
        <v/>
      </c>
      <c r="J98" s="31" t="str">
        <f>IF(OR(TABLERO!$A$25=1,D98=""),"",TABLERO!DQ98)</f>
        <v/>
      </c>
      <c r="K98" s="31" t="str">
        <f>IF(OR(TABLERO!$A$25=1,D98=""),"",TABLERO!DR98)</f>
        <v/>
      </c>
      <c r="L98" s="31" t="str">
        <f>IF(OR(TABLERO!$A$25=1,D98=""),"",TABLERO!DS98)</f>
        <v/>
      </c>
      <c r="M98" s="31" t="str">
        <f>IF(OR(TABLERO!$A$25=1,D98=""),"",TABLERO!CE98)</f>
        <v/>
      </c>
      <c r="N98" s="30" t="str">
        <f>IF(TABLERO!$A$25=1,"",TABLERO!CF98)</f>
        <v/>
      </c>
      <c r="O98" s="31" t="str">
        <f>IF(OR(TABLERO!$A$25=1,D98=""),"",TABLERO!EB98)</f>
        <v/>
      </c>
      <c r="P98" s="31" t="str">
        <f>IF(OR(TABLERO!$A$25=1,D98=""),"",TABLERO!EC98)</f>
        <v/>
      </c>
      <c r="Q98" s="29" t="str">
        <f>IF(OR(TABLERO!$A$25=1,D98=""),"",TABLERO!U98)</f>
        <v/>
      </c>
      <c r="R98" s="33" t="str">
        <f>IF(TABLERO!$A$25=1,"",TABLERO!CG98)</f>
        <v/>
      </c>
    </row>
    <row r="99" spans="1:18">
      <c r="A99" s="28" t="str">
        <f>TABLERO!B99&amp;IF(TABLERO!C99="","",","&amp;TABLERO!C99)&amp;IF(TABLERO!D99="","",","&amp;TABLERO!D99)</f>
        <v>69</v>
      </c>
      <c r="B99" s="29" t="str">
        <f>IF(OR(TABLERO!$A$25=1,D99=""),"",TABLERO!S99)</f>
        <v/>
      </c>
      <c r="C99" s="30" t="str">
        <f>IF(OR(TABLERO!$A$25=1,D99=""),"",TABLERO!I99)</f>
        <v/>
      </c>
      <c r="D99" s="31" t="str">
        <f>IF(OR(TABLERO!$A$25=1,,TABLERO!Q99=""),"",TABLERO!Q99)</f>
        <v/>
      </c>
      <c r="E99" s="29" t="str">
        <f>IF(OR(TABLERO!$A$25=1,D99=""),"",TABLERO!N99)</f>
        <v/>
      </c>
      <c r="F99" s="29" t="str">
        <f>IF(TABLERO!$A$25=1,"",TABLERO!CC99)</f>
        <v/>
      </c>
      <c r="G99" s="31" t="str">
        <f>IF(OR(TABLERO!$A$25=1,D99=""),"",TABLERO!BU99)</f>
        <v/>
      </c>
      <c r="H99" s="32" t="str">
        <f>IF(OR(TABLERO!$A$25=1,D99=""),"",TABLERO!DO99)</f>
        <v/>
      </c>
      <c r="I99" s="32" t="str">
        <f>IF(OR(TABLERO!$A$25=1,D99=""),"",TABLERO!DP99)</f>
        <v/>
      </c>
      <c r="J99" s="31" t="str">
        <f>IF(OR(TABLERO!$A$25=1,D99=""),"",TABLERO!DQ99)</f>
        <v/>
      </c>
      <c r="K99" s="31" t="str">
        <f>IF(OR(TABLERO!$A$25=1,D99=""),"",TABLERO!DR99)</f>
        <v/>
      </c>
      <c r="L99" s="31" t="str">
        <f>IF(OR(TABLERO!$A$25=1,D99=""),"",TABLERO!DS99)</f>
        <v/>
      </c>
      <c r="M99" s="31" t="str">
        <f>IF(OR(TABLERO!$A$25=1,D99=""),"",TABLERO!CE99)</f>
        <v/>
      </c>
      <c r="N99" s="30" t="str">
        <f>IF(TABLERO!$A$25=1,"",TABLERO!CF99)</f>
        <v/>
      </c>
      <c r="O99" s="31" t="str">
        <f>IF(OR(TABLERO!$A$25=1,D99=""),"",TABLERO!EB99)</f>
        <v/>
      </c>
      <c r="P99" s="31" t="str">
        <f>IF(OR(TABLERO!$A$25=1,D99=""),"",TABLERO!EC99)</f>
        <v/>
      </c>
      <c r="Q99" s="29" t="str">
        <f>IF(OR(TABLERO!$A$25=1,D99=""),"",TABLERO!U99)</f>
        <v/>
      </c>
      <c r="R99" s="33" t="str">
        <f>IF(TABLERO!$A$25=1,"",TABLERO!CG99)</f>
        <v/>
      </c>
    </row>
    <row r="100" spans="1:18">
      <c r="A100" s="28" t="str">
        <f>TABLERO!B100&amp;IF(TABLERO!C100="","",","&amp;TABLERO!C100)&amp;IF(TABLERO!D100="","",","&amp;TABLERO!D100)</f>
        <v>70</v>
      </c>
      <c r="B100" s="29" t="str">
        <f>IF(OR(TABLERO!$A$25=1,D100=""),"",TABLERO!S100)</f>
        <v/>
      </c>
      <c r="C100" s="30" t="str">
        <f>IF(OR(TABLERO!$A$25=1,D100=""),"",TABLERO!I100)</f>
        <v/>
      </c>
      <c r="D100" s="31" t="str">
        <f>IF(OR(TABLERO!$A$25=1,,TABLERO!Q100=""),"",TABLERO!Q100)</f>
        <v/>
      </c>
      <c r="E100" s="29" t="str">
        <f>IF(OR(TABLERO!$A$25=1,D100=""),"",TABLERO!N100)</f>
        <v/>
      </c>
      <c r="F100" s="29" t="str">
        <f>IF(TABLERO!$A$25=1,"",TABLERO!CC100)</f>
        <v/>
      </c>
      <c r="G100" s="31" t="str">
        <f>IF(OR(TABLERO!$A$25=1,D100=""),"",TABLERO!BU100)</f>
        <v/>
      </c>
      <c r="H100" s="32" t="str">
        <f>IF(OR(TABLERO!$A$25=1,D100=""),"",TABLERO!DO100)</f>
        <v/>
      </c>
      <c r="I100" s="32" t="str">
        <f>IF(OR(TABLERO!$A$25=1,D100=""),"",TABLERO!DP100)</f>
        <v/>
      </c>
      <c r="J100" s="31" t="str">
        <f>IF(OR(TABLERO!$A$25=1,D100=""),"",TABLERO!DQ100)</f>
        <v/>
      </c>
      <c r="K100" s="31" t="str">
        <f>IF(OR(TABLERO!$A$25=1,D100=""),"",TABLERO!DR100)</f>
        <v/>
      </c>
      <c r="L100" s="31" t="str">
        <f>IF(OR(TABLERO!$A$25=1,D100=""),"",TABLERO!DS100)</f>
        <v/>
      </c>
      <c r="M100" s="31" t="str">
        <f>IF(OR(TABLERO!$A$25=1,D100=""),"",TABLERO!CE100)</f>
        <v/>
      </c>
      <c r="N100" s="30" t="str">
        <f>IF(TABLERO!$A$25=1,"",TABLERO!CF100)</f>
        <v/>
      </c>
      <c r="O100" s="31" t="str">
        <f>IF(OR(TABLERO!$A$25=1,D100=""),"",TABLERO!EB100)</f>
        <v/>
      </c>
      <c r="P100" s="31" t="str">
        <f>IF(OR(TABLERO!$A$25=1,D100=""),"",TABLERO!EC100)</f>
        <v/>
      </c>
      <c r="Q100" s="29" t="str">
        <f>IF(OR(TABLERO!$A$25=1,D100=""),"",TABLERO!U100)</f>
        <v/>
      </c>
      <c r="R100" s="33" t="str">
        <f>IF(TABLERO!$A$25=1,"",TABLERO!CG100)</f>
        <v/>
      </c>
    </row>
    <row r="101" spans="1:18">
      <c r="A101" s="28" t="str">
        <f>TABLERO!B101&amp;IF(TABLERO!C101="","",","&amp;TABLERO!C101)&amp;IF(TABLERO!D101="","",","&amp;TABLERO!D101)</f>
        <v>71</v>
      </c>
      <c r="B101" s="29" t="str">
        <f>IF(OR(TABLERO!$A$25=1,D101=""),"",TABLERO!S101)</f>
        <v/>
      </c>
      <c r="C101" s="30" t="str">
        <f>IF(OR(TABLERO!$A$25=1,D101=""),"",TABLERO!I101)</f>
        <v/>
      </c>
      <c r="D101" s="31" t="str">
        <f>IF(OR(TABLERO!$A$25=1,,TABLERO!Q101=""),"",TABLERO!Q101)</f>
        <v/>
      </c>
      <c r="E101" s="29" t="str">
        <f>IF(OR(TABLERO!$A$25=1,D101=""),"",TABLERO!N101)</f>
        <v/>
      </c>
      <c r="F101" s="29" t="str">
        <f>IF(TABLERO!$A$25=1,"",TABLERO!CC101)</f>
        <v/>
      </c>
      <c r="G101" s="31" t="str">
        <f>IF(OR(TABLERO!$A$25=1,D101=""),"",TABLERO!BU101)</f>
        <v/>
      </c>
      <c r="H101" s="32" t="str">
        <f>IF(OR(TABLERO!$A$25=1,D101=""),"",TABLERO!DO101)</f>
        <v/>
      </c>
      <c r="I101" s="32" t="str">
        <f>IF(OR(TABLERO!$A$25=1,D101=""),"",TABLERO!DP101)</f>
        <v/>
      </c>
      <c r="J101" s="31" t="str">
        <f>IF(OR(TABLERO!$A$25=1,D101=""),"",TABLERO!DQ101)</f>
        <v/>
      </c>
      <c r="K101" s="31" t="str">
        <f>IF(OR(TABLERO!$A$25=1,D101=""),"",TABLERO!DR101)</f>
        <v/>
      </c>
      <c r="L101" s="31" t="str">
        <f>IF(OR(TABLERO!$A$25=1,D101=""),"",TABLERO!DS101)</f>
        <v/>
      </c>
      <c r="M101" s="31" t="str">
        <f>IF(OR(TABLERO!$A$25=1,D101=""),"",TABLERO!CE101)</f>
        <v/>
      </c>
      <c r="N101" s="30" t="str">
        <f>IF(TABLERO!$A$25=1,"",TABLERO!CF101)</f>
        <v/>
      </c>
      <c r="O101" s="31" t="str">
        <f>IF(OR(TABLERO!$A$25=1,D101=""),"",TABLERO!EB101)</f>
        <v/>
      </c>
      <c r="P101" s="31" t="str">
        <f>IF(OR(TABLERO!$A$25=1,D101=""),"",TABLERO!EC101)</f>
        <v/>
      </c>
      <c r="Q101" s="29" t="str">
        <f>IF(OR(TABLERO!$A$25=1,D101=""),"",TABLERO!U101)</f>
        <v/>
      </c>
      <c r="R101" s="33" t="str">
        <f>IF(TABLERO!$A$25=1,"",TABLERO!CG101)</f>
        <v/>
      </c>
    </row>
    <row r="102" spans="1:18">
      <c r="A102" s="28" t="str">
        <f>TABLERO!B102&amp;IF(TABLERO!C102="","",","&amp;TABLERO!C102)&amp;IF(TABLERO!D102="","",","&amp;TABLERO!D102)</f>
        <v>72</v>
      </c>
      <c r="B102" s="29" t="str">
        <f>IF(OR(TABLERO!$A$25=1,D102=""),"",TABLERO!S102)</f>
        <v/>
      </c>
      <c r="C102" s="30" t="str">
        <f>IF(OR(TABLERO!$A$25=1,D102=""),"",TABLERO!I102)</f>
        <v/>
      </c>
      <c r="D102" s="31" t="str">
        <f>IF(OR(TABLERO!$A$25=1,,TABLERO!Q102=""),"",TABLERO!Q102)</f>
        <v/>
      </c>
      <c r="E102" s="29" t="str">
        <f>IF(OR(TABLERO!$A$25=1,D102=""),"",TABLERO!N102)</f>
        <v/>
      </c>
      <c r="F102" s="29" t="str">
        <f>IF(TABLERO!$A$25=1,"",TABLERO!CC102)</f>
        <v/>
      </c>
      <c r="G102" s="31" t="str">
        <f>IF(OR(TABLERO!$A$25=1,D102=""),"",TABLERO!BU102)</f>
        <v/>
      </c>
      <c r="H102" s="32" t="str">
        <f>IF(OR(TABLERO!$A$25=1,D102=""),"",TABLERO!DO102)</f>
        <v/>
      </c>
      <c r="I102" s="32" t="str">
        <f>IF(OR(TABLERO!$A$25=1,D102=""),"",TABLERO!DP102)</f>
        <v/>
      </c>
      <c r="J102" s="31" t="str">
        <f>IF(OR(TABLERO!$A$25=1,D102=""),"",TABLERO!DQ102)</f>
        <v/>
      </c>
      <c r="K102" s="31" t="str">
        <f>IF(OR(TABLERO!$A$25=1,D102=""),"",TABLERO!DR102)</f>
        <v/>
      </c>
      <c r="L102" s="31" t="str">
        <f>IF(OR(TABLERO!$A$25=1,D102=""),"",TABLERO!DS102)</f>
        <v/>
      </c>
      <c r="M102" s="31" t="str">
        <f>IF(OR(TABLERO!$A$25=1,D102=""),"",TABLERO!CE102)</f>
        <v/>
      </c>
      <c r="N102" s="30" t="str">
        <f>IF(TABLERO!$A$25=1,"",TABLERO!CF102)</f>
        <v/>
      </c>
      <c r="O102" s="31" t="str">
        <f>IF(OR(TABLERO!$A$25=1,D102=""),"",TABLERO!EB102)</f>
        <v/>
      </c>
      <c r="P102" s="31" t="str">
        <f>IF(OR(TABLERO!$A$25=1,D102=""),"",TABLERO!EC102)</f>
        <v/>
      </c>
      <c r="Q102" s="29" t="str">
        <f>IF(OR(TABLERO!$A$25=1,D102=""),"",TABLERO!U102)</f>
        <v/>
      </c>
      <c r="R102" s="33" t="str">
        <f>IF(TABLERO!$A$25=1,"",TABLERO!CG102)</f>
        <v/>
      </c>
    </row>
    <row r="103" spans="1:18">
      <c r="A103" s="28" t="str">
        <f>TABLERO!B103&amp;IF(TABLERO!C103="","",","&amp;TABLERO!C103)&amp;IF(TABLERO!D103="","",","&amp;TABLERO!D103)</f>
        <v>73</v>
      </c>
      <c r="B103" s="29" t="str">
        <f>IF(OR(TABLERO!$A$25=1,D103=""),"",TABLERO!S103)</f>
        <v/>
      </c>
      <c r="C103" s="30" t="str">
        <f>IF(OR(TABLERO!$A$25=1,D103=""),"",TABLERO!I103)</f>
        <v/>
      </c>
      <c r="D103" s="31" t="str">
        <f>IF(OR(TABLERO!$A$25=1,,TABLERO!Q103=""),"",TABLERO!Q103)</f>
        <v/>
      </c>
      <c r="E103" s="29" t="str">
        <f>IF(OR(TABLERO!$A$25=1,D103=""),"",TABLERO!N103)</f>
        <v/>
      </c>
      <c r="F103" s="29" t="str">
        <f>IF(TABLERO!$A$25=1,"",TABLERO!CC103)</f>
        <v/>
      </c>
      <c r="G103" s="31" t="str">
        <f>IF(OR(TABLERO!$A$25=1,D103=""),"",TABLERO!BU103)</f>
        <v/>
      </c>
      <c r="H103" s="32" t="str">
        <f>IF(OR(TABLERO!$A$25=1,D103=""),"",TABLERO!DO103)</f>
        <v/>
      </c>
      <c r="I103" s="32" t="str">
        <f>IF(OR(TABLERO!$A$25=1,D103=""),"",TABLERO!DP103)</f>
        <v/>
      </c>
      <c r="J103" s="31" t="str">
        <f>IF(OR(TABLERO!$A$25=1,D103=""),"",TABLERO!DQ103)</f>
        <v/>
      </c>
      <c r="K103" s="31" t="str">
        <f>IF(OR(TABLERO!$A$25=1,D103=""),"",TABLERO!DR103)</f>
        <v/>
      </c>
      <c r="L103" s="31" t="str">
        <f>IF(OR(TABLERO!$A$25=1,D103=""),"",TABLERO!DS103)</f>
        <v/>
      </c>
      <c r="M103" s="31" t="str">
        <f>IF(OR(TABLERO!$A$25=1,D103=""),"",TABLERO!CE103)</f>
        <v/>
      </c>
      <c r="N103" s="30" t="str">
        <f>IF(TABLERO!$A$25=1,"",TABLERO!CF103)</f>
        <v/>
      </c>
      <c r="O103" s="31" t="str">
        <f>IF(OR(TABLERO!$A$25=1,D103=""),"",TABLERO!EB103)</f>
        <v/>
      </c>
      <c r="P103" s="31" t="str">
        <f>IF(OR(TABLERO!$A$25=1,D103=""),"",TABLERO!EC103)</f>
        <v/>
      </c>
      <c r="Q103" s="29" t="str">
        <f>IF(OR(TABLERO!$A$25=1,D103=""),"",TABLERO!U103)</f>
        <v/>
      </c>
      <c r="R103" s="33" t="str">
        <f>IF(TABLERO!$A$25=1,"",TABLERO!CG103)</f>
        <v/>
      </c>
    </row>
    <row r="104" spans="1:18">
      <c r="A104" s="28" t="str">
        <f>TABLERO!B104&amp;IF(TABLERO!C104="","",","&amp;TABLERO!C104)&amp;IF(TABLERO!D104="","",","&amp;TABLERO!D104)</f>
        <v>74</v>
      </c>
      <c r="B104" s="29" t="str">
        <f>IF(OR(TABLERO!$A$25=1,D104=""),"",TABLERO!S104)</f>
        <v/>
      </c>
      <c r="C104" s="30" t="str">
        <f>IF(OR(TABLERO!$A$25=1,D104=""),"",TABLERO!I104)</f>
        <v/>
      </c>
      <c r="D104" s="31" t="str">
        <f>IF(OR(TABLERO!$A$25=1,,TABLERO!Q104=""),"",TABLERO!Q104)</f>
        <v/>
      </c>
      <c r="E104" s="29" t="str">
        <f>IF(OR(TABLERO!$A$25=1,D104=""),"",TABLERO!N104)</f>
        <v/>
      </c>
      <c r="F104" s="29" t="str">
        <f>IF(TABLERO!$A$25=1,"",TABLERO!CC104)</f>
        <v/>
      </c>
      <c r="G104" s="31" t="str">
        <f>IF(OR(TABLERO!$A$25=1,D104=""),"",TABLERO!BU104)</f>
        <v/>
      </c>
      <c r="H104" s="32" t="str">
        <f>IF(OR(TABLERO!$A$25=1,D104=""),"",TABLERO!DO104)</f>
        <v/>
      </c>
      <c r="I104" s="32" t="str">
        <f>IF(OR(TABLERO!$A$25=1,D104=""),"",TABLERO!DP104)</f>
        <v/>
      </c>
      <c r="J104" s="31" t="str">
        <f>IF(OR(TABLERO!$A$25=1,D104=""),"",TABLERO!DQ104)</f>
        <v/>
      </c>
      <c r="K104" s="31" t="str">
        <f>IF(OR(TABLERO!$A$25=1,D104=""),"",TABLERO!DR104)</f>
        <v/>
      </c>
      <c r="L104" s="31" t="str">
        <f>IF(OR(TABLERO!$A$25=1,D104=""),"",TABLERO!DS104)</f>
        <v/>
      </c>
      <c r="M104" s="31" t="str">
        <f>IF(OR(TABLERO!$A$25=1,D104=""),"",TABLERO!CE104)</f>
        <v/>
      </c>
      <c r="N104" s="30" t="str">
        <f>IF(TABLERO!$A$25=1,"",TABLERO!CF104)</f>
        <v/>
      </c>
      <c r="O104" s="31" t="str">
        <f>IF(OR(TABLERO!$A$25=1,D104=""),"",TABLERO!EB104)</f>
        <v/>
      </c>
      <c r="P104" s="31" t="str">
        <f>IF(OR(TABLERO!$A$25=1,D104=""),"",TABLERO!EC104)</f>
        <v/>
      </c>
      <c r="Q104" s="29" t="str">
        <f>IF(OR(TABLERO!$A$25=1,D104=""),"",TABLERO!U104)</f>
        <v/>
      </c>
      <c r="R104" s="33" t="str">
        <f>IF(TABLERO!$A$25=1,"",TABLERO!CG104)</f>
        <v/>
      </c>
    </row>
    <row r="105" spans="1:18">
      <c r="A105" s="28" t="str">
        <f>TABLERO!B105&amp;IF(TABLERO!C105="","",","&amp;TABLERO!C105)&amp;IF(TABLERO!D105="","",","&amp;TABLERO!D105)</f>
        <v>75</v>
      </c>
      <c r="B105" s="29" t="str">
        <f>IF(OR(TABLERO!$A$25=1,D105=""),"",TABLERO!S105)</f>
        <v/>
      </c>
      <c r="C105" s="30" t="str">
        <f>IF(OR(TABLERO!$A$25=1,D105=""),"",TABLERO!I105)</f>
        <v/>
      </c>
      <c r="D105" s="31" t="str">
        <f>IF(OR(TABLERO!$A$25=1,,TABLERO!Q105=""),"",TABLERO!Q105)</f>
        <v/>
      </c>
      <c r="E105" s="29" t="str">
        <f>IF(OR(TABLERO!$A$25=1,D105=""),"",TABLERO!N105)</f>
        <v/>
      </c>
      <c r="F105" s="29" t="str">
        <f>IF(TABLERO!$A$25=1,"",TABLERO!CC105)</f>
        <v/>
      </c>
      <c r="G105" s="31" t="str">
        <f>IF(OR(TABLERO!$A$25=1,D105=""),"",TABLERO!BU105)</f>
        <v/>
      </c>
      <c r="H105" s="32" t="str">
        <f>IF(OR(TABLERO!$A$25=1,D105=""),"",TABLERO!DO105)</f>
        <v/>
      </c>
      <c r="I105" s="32" t="str">
        <f>IF(OR(TABLERO!$A$25=1,D105=""),"",TABLERO!DP105)</f>
        <v/>
      </c>
      <c r="J105" s="31" t="str">
        <f>IF(OR(TABLERO!$A$25=1,D105=""),"",TABLERO!DQ105)</f>
        <v/>
      </c>
      <c r="K105" s="31" t="str">
        <f>IF(OR(TABLERO!$A$25=1,D105=""),"",TABLERO!DR105)</f>
        <v/>
      </c>
      <c r="L105" s="31" t="str">
        <f>IF(OR(TABLERO!$A$25=1,D105=""),"",TABLERO!DS105)</f>
        <v/>
      </c>
      <c r="M105" s="31" t="str">
        <f>IF(OR(TABLERO!$A$25=1,D105=""),"",TABLERO!CE105)</f>
        <v/>
      </c>
      <c r="N105" s="30" t="str">
        <f>IF(TABLERO!$A$25=1,"",TABLERO!CF105)</f>
        <v/>
      </c>
      <c r="O105" s="31" t="str">
        <f>IF(OR(TABLERO!$A$25=1,D105=""),"",TABLERO!EB105)</f>
        <v/>
      </c>
      <c r="P105" s="31" t="str">
        <f>IF(OR(TABLERO!$A$25=1,D105=""),"",TABLERO!EC105)</f>
        <v/>
      </c>
      <c r="Q105" s="29" t="str">
        <f>IF(OR(TABLERO!$A$25=1,D105=""),"",TABLERO!U105)</f>
        <v/>
      </c>
      <c r="R105" s="33" t="str">
        <f>IF(TABLERO!$A$25=1,"",TABLERO!CG105)</f>
        <v/>
      </c>
    </row>
    <row r="106" spans="1:18">
      <c r="A106" s="28" t="str">
        <f>TABLERO!B106&amp;IF(TABLERO!C106="","",","&amp;TABLERO!C106)&amp;IF(TABLERO!D106="","",","&amp;TABLERO!D106)</f>
        <v>76</v>
      </c>
      <c r="B106" s="29" t="str">
        <f>IF(OR(TABLERO!$A$25=1,D106=""),"",TABLERO!S106)</f>
        <v/>
      </c>
      <c r="C106" s="30" t="str">
        <f>IF(OR(TABLERO!$A$25=1,D106=""),"",TABLERO!I106)</f>
        <v/>
      </c>
      <c r="D106" s="31" t="str">
        <f>IF(OR(TABLERO!$A$25=1,,TABLERO!Q106=""),"",TABLERO!Q106)</f>
        <v/>
      </c>
      <c r="E106" s="29" t="str">
        <f>IF(OR(TABLERO!$A$25=1,D106=""),"",TABLERO!N106)</f>
        <v/>
      </c>
      <c r="F106" s="29" t="str">
        <f>IF(TABLERO!$A$25=1,"",TABLERO!CC106)</f>
        <v/>
      </c>
      <c r="G106" s="31" t="str">
        <f>IF(OR(TABLERO!$A$25=1,D106=""),"",TABLERO!BU106)</f>
        <v/>
      </c>
      <c r="H106" s="32" t="str">
        <f>IF(OR(TABLERO!$A$25=1,D106=""),"",TABLERO!DO106)</f>
        <v/>
      </c>
      <c r="I106" s="32" t="str">
        <f>IF(OR(TABLERO!$A$25=1,D106=""),"",TABLERO!DP106)</f>
        <v/>
      </c>
      <c r="J106" s="31" t="str">
        <f>IF(OR(TABLERO!$A$25=1,D106=""),"",TABLERO!DQ106)</f>
        <v/>
      </c>
      <c r="K106" s="31" t="str">
        <f>IF(OR(TABLERO!$A$25=1,D106=""),"",TABLERO!DR106)</f>
        <v/>
      </c>
      <c r="L106" s="31" t="str">
        <f>IF(OR(TABLERO!$A$25=1,D106=""),"",TABLERO!DS106)</f>
        <v/>
      </c>
      <c r="M106" s="31" t="str">
        <f>IF(OR(TABLERO!$A$25=1,D106=""),"",TABLERO!CE106)</f>
        <v/>
      </c>
      <c r="N106" s="30" t="str">
        <f>IF(TABLERO!$A$25=1,"",TABLERO!CF106)</f>
        <v/>
      </c>
      <c r="O106" s="31" t="str">
        <f>IF(OR(TABLERO!$A$25=1,D106=""),"",TABLERO!EB106)</f>
        <v/>
      </c>
      <c r="P106" s="31" t="str">
        <f>IF(OR(TABLERO!$A$25=1,D106=""),"",TABLERO!EC106)</f>
        <v/>
      </c>
      <c r="Q106" s="29" t="str">
        <f>IF(OR(TABLERO!$A$25=1,D106=""),"",TABLERO!U106)</f>
        <v/>
      </c>
      <c r="R106" s="33" t="str">
        <f>IF(TABLERO!$A$25=1,"",TABLERO!CG106)</f>
        <v/>
      </c>
    </row>
    <row r="107" spans="1:18">
      <c r="A107" s="28" t="str">
        <f>TABLERO!B107&amp;IF(TABLERO!C107="","",","&amp;TABLERO!C107)&amp;IF(TABLERO!D107="","",","&amp;TABLERO!D107)</f>
        <v>77</v>
      </c>
      <c r="B107" s="29" t="str">
        <f>IF(OR(TABLERO!$A$25=1,D107=""),"",TABLERO!S107)</f>
        <v/>
      </c>
      <c r="C107" s="30" t="str">
        <f>IF(OR(TABLERO!$A$25=1,D107=""),"",TABLERO!I107)</f>
        <v/>
      </c>
      <c r="D107" s="31" t="str">
        <f>IF(OR(TABLERO!$A$25=1,,TABLERO!Q107=""),"",TABLERO!Q107)</f>
        <v/>
      </c>
      <c r="E107" s="29" t="str">
        <f>IF(OR(TABLERO!$A$25=1,D107=""),"",TABLERO!N107)</f>
        <v/>
      </c>
      <c r="F107" s="29" t="str">
        <f>IF(TABLERO!$A$25=1,"",TABLERO!CC107)</f>
        <v/>
      </c>
      <c r="G107" s="31" t="str">
        <f>IF(OR(TABLERO!$A$25=1,D107=""),"",TABLERO!BU107)</f>
        <v/>
      </c>
      <c r="H107" s="32" t="str">
        <f>IF(OR(TABLERO!$A$25=1,D107=""),"",TABLERO!DO107)</f>
        <v/>
      </c>
      <c r="I107" s="32" t="str">
        <f>IF(OR(TABLERO!$A$25=1,D107=""),"",TABLERO!DP107)</f>
        <v/>
      </c>
      <c r="J107" s="31" t="str">
        <f>IF(OR(TABLERO!$A$25=1,D107=""),"",TABLERO!DQ107)</f>
        <v/>
      </c>
      <c r="K107" s="31" t="str">
        <f>IF(OR(TABLERO!$A$25=1,D107=""),"",TABLERO!DR107)</f>
        <v/>
      </c>
      <c r="L107" s="31" t="str">
        <f>IF(OR(TABLERO!$A$25=1,D107=""),"",TABLERO!DS107)</f>
        <v/>
      </c>
      <c r="M107" s="31" t="str">
        <f>IF(OR(TABLERO!$A$25=1,D107=""),"",TABLERO!CE107)</f>
        <v/>
      </c>
      <c r="N107" s="30" t="str">
        <f>IF(TABLERO!$A$25=1,"",TABLERO!CF107)</f>
        <v/>
      </c>
      <c r="O107" s="31" t="str">
        <f>IF(OR(TABLERO!$A$25=1,D107=""),"",TABLERO!EB107)</f>
        <v/>
      </c>
      <c r="P107" s="31" t="str">
        <f>IF(OR(TABLERO!$A$25=1,D107=""),"",TABLERO!EC107)</f>
        <v/>
      </c>
      <c r="Q107" s="29" t="str">
        <f>IF(OR(TABLERO!$A$25=1,D107=""),"",TABLERO!U107)</f>
        <v/>
      </c>
      <c r="R107" s="33" t="str">
        <f>IF(TABLERO!$A$25=1,"",TABLERO!CG107)</f>
        <v/>
      </c>
    </row>
    <row r="108" spans="1:18">
      <c r="A108" s="28" t="str">
        <f>TABLERO!B108&amp;IF(TABLERO!C108="","",","&amp;TABLERO!C108)&amp;IF(TABLERO!D108="","",","&amp;TABLERO!D108)</f>
        <v>78</v>
      </c>
      <c r="B108" s="29" t="str">
        <f>IF(OR(TABLERO!$A$25=1,D108=""),"",TABLERO!S108)</f>
        <v/>
      </c>
      <c r="C108" s="30" t="str">
        <f>IF(OR(TABLERO!$A$25=1,D108=""),"",TABLERO!I108)</f>
        <v/>
      </c>
      <c r="D108" s="31" t="str">
        <f>IF(OR(TABLERO!$A$25=1,,TABLERO!Q108=""),"",TABLERO!Q108)</f>
        <v/>
      </c>
      <c r="E108" s="29" t="str">
        <f>IF(OR(TABLERO!$A$25=1,D108=""),"",TABLERO!N108)</f>
        <v/>
      </c>
      <c r="F108" s="29" t="str">
        <f>IF(TABLERO!$A$25=1,"",TABLERO!CC108)</f>
        <v/>
      </c>
      <c r="G108" s="31" t="str">
        <f>IF(OR(TABLERO!$A$25=1,D108=""),"",TABLERO!BU108)</f>
        <v/>
      </c>
      <c r="H108" s="32" t="str">
        <f>IF(OR(TABLERO!$A$25=1,D108=""),"",TABLERO!DO108)</f>
        <v/>
      </c>
      <c r="I108" s="32" t="str">
        <f>IF(OR(TABLERO!$A$25=1,D108=""),"",TABLERO!DP108)</f>
        <v/>
      </c>
      <c r="J108" s="31" t="str">
        <f>IF(OR(TABLERO!$A$25=1,D108=""),"",TABLERO!DQ108)</f>
        <v/>
      </c>
      <c r="K108" s="31" t="str">
        <f>IF(OR(TABLERO!$A$25=1,D108=""),"",TABLERO!DR108)</f>
        <v/>
      </c>
      <c r="L108" s="31" t="str">
        <f>IF(OR(TABLERO!$A$25=1,D108=""),"",TABLERO!DS108)</f>
        <v/>
      </c>
      <c r="M108" s="31" t="str">
        <f>IF(OR(TABLERO!$A$25=1,D108=""),"",TABLERO!CE108)</f>
        <v/>
      </c>
      <c r="N108" s="30" t="str">
        <f>IF(TABLERO!$A$25=1,"",TABLERO!CF108)</f>
        <v/>
      </c>
      <c r="O108" s="31" t="str">
        <f>IF(OR(TABLERO!$A$25=1,D108=""),"",TABLERO!EB108)</f>
        <v/>
      </c>
      <c r="P108" s="31" t="str">
        <f>IF(OR(TABLERO!$A$25=1,D108=""),"",TABLERO!EC108)</f>
        <v/>
      </c>
      <c r="Q108" s="29" t="str">
        <f>IF(OR(TABLERO!$A$25=1,D108=""),"",TABLERO!U108)</f>
        <v/>
      </c>
      <c r="R108" s="33" t="str">
        <f>IF(TABLERO!$A$25=1,"",TABLERO!CG108)</f>
        <v/>
      </c>
    </row>
    <row r="109" spans="1:18">
      <c r="A109" s="28" t="str">
        <f>TABLERO!B109&amp;IF(TABLERO!C109="","",","&amp;TABLERO!C109)&amp;IF(TABLERO!D109="","",","&amp;TABLERO!D109)</f>
        <v>79</v>
      </c>
      <c r="B109" s="29" t="str">
        <f>IF(OR(TABLERO!$A$25=1,D109=""),"",TABLERO!S109)</f>
        <v/>
      </c>
      <c r="C109" s="30" t="str">
        <f>IF(OR(TABLERO!$A$25=1,D109=""),"",TABLERO!I109)</f>
        <v/>
      </c>
      <c r="D109" s="31" t="str">
        <f>IF(OR(TABLERO!$A$25=1,,TABLERO!Q109=""),"",TABLERO!Q109)</f>
        <v/>
      </c>
      <c r="E109" s="29" t="str">
        <f>IF(OR(TABLERO!$A$25=1,D109=""),"",TABLERO!N109)</f>
        <v/>
      </c>
      <c r="F109" s="29" t="str">
        <f>IF(TABLERO!$A$25=1,"",TABLERO!CC109)</f>
        <v/>
      </c>
      <c r="G109" s="31" t="str">
        <f>IF(OR(TABLERO!$A$25=1,D109=""),"",TABLERO!BU109)</f>
        <v/>
      </c>
      <c r="H109" s="32" t="str">
        <f>IF(OR(TABLERO!$A$25=1,D109=""),"",TABLERO!DO109)</f>
        <v/>
      </c>
      <c r="I109" s="32" t="str">
        <f>IF(OR(TABLERO!$A$25=1,D109=""),"",TABLERO!DP109)</f>
        <v/>
      </c>
      <c r="J109" s="31" t="str">
        <f>IF(OR(TABLERO!$A$25=1,D109=""),"",TABLERO!DQ109)</f>
        <v/>
      </c>
      <c r="K109" s="31" t="str">
        <f>IF(OR(TABLERO!$A$25=1,D109=""),"",TABLERO!DR109)</f>
        <v/>
      </c>
      <c r="L109" s="31" t="str">
        <f>IF(OR(TABLERO!$A$25=1,D109=""),"",TABLERO!DS109)</f>
        <v/>
      </c>
      <c r="M109" s="31" t="str">
        <f>IF(OR(TABLERO!$A$25=1,D109=""),"",TABLERO!CE109)</f>
        <v/>
      </c>
      <c r="N109" s="30" t="str">
        <f>IF(TABLERO!$A$25=1,"",TABLERO!CF109)</f>
        <v/>
      </c>
      <c r="O109" s="31" t="str">
        <f>IF(OR(TABLERO!$A$25=1,D109=""),"",TABLERO!EB109)</f>
        <v/>
      </c>
      <c r="P109" s="31" t="str">
        <f>IF(OR(TABLERO!$A$25=1,D109=""),"",TABLERO!EC109)</f>
        <v/>
      </c>
      <c r="Q109" s="29" t="str">
        <f>IF(OR(TABLERO!$A$25=1,D109=""),"",TABLERO!U109)</f>
        <v/>
      </c>
      <c r="R109" s="33" t="str">
        <f>IF(TABLERO!$A$25=1,"",TABLERO!CG109)</f>
        <v/>
      </c>
    </row>
    <row r="110" spans="1:18">
      <c r="A110" s="28" t="str">
        <f>TABLERO!B110&amp;IF(TABLERO!C110="","",","&amp;TABLERO!C110)&amp;IF(TABLERO!D110="","",","&amp;TABLERO!D110)</f>
        <v>80</v>
      </c>
      <c r="B110" s="29" t="str">
        <f>IF(OR(TABLERO!$A$25=1,D110=""),"",TABLERO!S110)</f>
        <v/>
      </c>
      <c r="C110" s="30" t="str">
        <f>IF(OR(TABLERO!$A$25=1,D110=""),"",TABLERO!I110)</f>
        <v/>
      </c>
      <c r="D110" s="31" t="str">
        <f>IF(OR(TABLERO!$A$25=1,,TABLERO!Q110=""),"",TABLERO!Q110)</f>
        <v/>
      </c>
      <c r="E110" s="29" t="str">
        <f>IF(OR(TABLERO!$A$25=1,D110=""),"",TABLERO!N110)</f>
        <v/>
      </c>
      <c r="F110" s="29" t="str">
        <f>IF(TABLERO!$A$25=1,"",TABLERO!CC110)</f>
        <v/>
      </c>
      <c r="G110" s="31" t="str">
        <f>IF(OR(TABLERO!$A$25=1,D110=""),"",TABLERO!BU110)</f>
        <v/>
      </c>
      <c r="H110" s="32" t="str">
        <f>IF(OR(TABLERO!$A$25=1,D110=""),"",TABLERO!DO110)</f>
        <v/>
      </c>
      <c r="I110" s="32" t="str">
        <f>IF(OR(TABLERO!$A$25=1,D110=""),"",TABLERO!DP110)</f>
        <v/>
      </c>
      <c r="J110" s="31" t="str">
        <f>IF(OR(TABLERO!$A$25=1,D110=""),"",TABLERO!DQ110)</f>
        <v/>
      </c>
      <c r="K110" s="31" t="str">
        <f>IF(OR(TABLERO!$A$25=1,D110=""),"",TABLERO!DR110)</f>
        <v/>
      </c>
      <c r="L110" s="31" t="str">
        <f>IF(OR(TABLERO!$A$25=1,D110=""),"",TABLERO!DS110)</f>
        <v/>
      </c>
      <c r="M110" s="31" t="str">
        <f>IF(OR(TABLERO!$A$25=1,D110=""),"",TABLERO!CE110)</f>
        <v/>
      </c>
      <c r="N110" s="30" t="str">
        <f>IF(TABLERO!$A$25=1,"",TABLERO!CF110)</f>
        <v/>
      </c>
      <c r="O110" s="31" t="str">
        <f>IF(OR(TABLERO!$A$25=1,D110=""),"",TABLERO!EB110)</f>
        <v/>
      </c>
      <c r="P110" s="31" t="str">
        <f>IF(OR(TABLERO!$A$25=1,D110=""),"",TABLERO!EC110)</f>
        <v/>
      </c>
      <c r="Q110" s="29" t="str">
        <f>IF(OR(TABLERO!$A$25=1,D110=""),"",TABLERO!U110)</f>
        <v/>
      </c>
      <c r="R110" s="33" t="str">
        <f>IF(TABLERO!$A$25=1,"",TABLERO!CG110)</f>
        <v/>
      </c>
    </row>
    <row r="111" spans="1:18">
      <c r="A111" s="28" t="str">
        <f>TABLERO!B111&amp;IF(TABLERO!C111="","",","&amp;TABLERO!C111)&amp;IF(TABLERO!D111="","",","&amp;TABLERO!D111)</f>
        <v>81</v>
      </c>
      <c r="B111" s="29" t="str">
        <f>IF(OR(TABLERO!$A$25=1,D111=""),"",TABLERO!S111)</f>
        <v/>
      </c>
      <c r="C111" s="30" t="str">
        <f>IF(OR(TABLERO!$A$25=1,D111=""),"",TABLERO!I111)</f>
        <v/>
      </c>
      <c r="D111" s="31" t="str">
        <f>IF(OR(TABLERO!$A$25=1,,TABLERO!Q111=""),"",TABLERO!Q111)</f>
        <v/>
      </c>
      <c r="E111" s="29" t="str">
        <f>IF(OR(TABLERO!$A$25=1,D111=""),"",TABLERO!N111)</f>
        <v/>
      </c>
      <c r="F111" s="29" t="str">
        <f>IF(TABLERO!$A$25=1,"",TABLERO!CC111)</f>
        <v/>
      </c>
      <c r="G111" s="31" t="str">
        <f>IF(OR(TABLERO!$A$25=1,D111=""),"",TABLERO!BU111)</f>
        <v/>
      </c>
      <c r="H111" s="32" t="str">
        <f>IF(OR(TABLERO!$A$25=1,D111=""),"",TABLERO!DO111)</f>
        <v/>
      </c>
      <c r="I111" s="32" t="str">
        <f>IF(OR(TABLERO!$A$25=1,D111=""),"",TABLERO!DP111)</f>
        <v/>
      </c>
      <c r="J111" s="31" t="str">
        <f>IF(OR(TABLERO!$A$25=1,D111=""),"",TABLERO!DQ111)</f>
        <v/>
      </c>
      <c r="K111" s="31" t="str">
        <f>IF(OR(TABLERO!$A$25=1,D111=""),"",TABLERO!DR111)</f>
        <v/>
      </c>
      <c r="L111" s="31" t="str">
        <f>IF(OR(TABLERO!$A$25=1,D111=""),"",TABLERO!DS111)</f>
        <v/>
      </c>
      <c r="M111" s="31" t="str">
        <f>IF(OR(TABLERO!$A$25=1,D111=""),"",TABLERO!CE111)</f>
        <v/>
      </c>
      <c r="N111" s="30" t="str">
        <f>IF(TABLERO!$A$25=1,"",TABLERO!CF111)</f>
        <v/>
      </c>
      <c r="O111" s="31" t="str">
        <f>IF(OR(TABLERO!$A$25=1,D111=""),"",TABLERO!EB111)</f>
        <v/>
      </c>
      <c r="P111" s="31" t="str">
        <f>IF(OR(TABLERO!$A$25=1,D111=""),"",TABLERO!EC111)</f>
        <v/>
      </c>
      <c r="Q111" s="29" t="str">
        <f>IF(OR(TABLERO!$A$25=1,D111=""),"",TABLERO!U111)</f>
        <v/>
      </c>
      <c r="R111" s="33" t="str">
        <f>IF(TABLERO!$A$25=1,"",TABLERO!CG111)</f>
        <v/>
      </c>
    </row>
    <row r="112" spans="1:18">
      <c r="A112" s="28" t="str">
        <f>TABLERO!B112&amp;IF(TABLERO!C112="","",","&amp;TABLERO!C112)&amp;IF(TABLERO!D112="","",","&amp;TABLERO!D112)</f>
        <v>82</v>
      </c>
      <c r="B112" s="29" t="str">
        <f>IF(OR(TABLERO!$A$25=1,D112=""),"",TABLERO!S112)</f>
        <v/>
      </c>
      <c r="C112" s="30" t="str">
        <f>IF(OR(TABLERO!$A$25=1,D112=""),"",TABLERO!I112)</f>
        <v/>
      </c>
      <c r="D112" s="31" t="str">
        <f>IF(OR(TABLERO!$A$25=1,,TABLERO!Q112=""),"",TABLERO!Q112)</f>
        <v/>
      </c>
      <c r="E112" s="29" t="str">
        <f>IF(OR(TABLERO!$A$25=1,D112=""),"",TABLERO!N112)</f>
        <v/>
      </c>
      <c r="F112" s="29" t="str">
        <f>IF(TABLERO!$A$25=1,"",TABLERO!CC112)</f>
        <v/>
      </c>
      <c r="G112" s="31" t="str">
        <f>IF(OR(TABLERO!$A$25=1,D112=""),"",TABLERO!BU112)</f>
        <v/>
      </c>
      <c r="H112" s="32" t="str">
        <f>IF(OR(TABLERO!$A$25=1,D112=""),"",TABLERO!DO112)</f>
        <v/>
      </c>
      <c r="I112" s="32" t="str">
        <f>IF(OR(TABLERO!$A$25=1,D112=""),"",TABLERO!DP112)</f>
        <v/>
      </c>
      <c r="J112" s="31" t="str">
        <f>IF(OR(TABLERO!$A$25=1,D112=""),"",TABLERO!DQ112)</f>
        <v/>
      </c>
      <c r="K112" s="31" t="str">
        <f>IF(OR(TABLERO!$A$25=1,D112=""),"",TABLERO!DR112)</f>
        <v/>
      </c>
      <c r="L112" s="31" t="str">
        <f>IF(OR(TABLERO!$A$25=1,D112=""),"",TABLERO!DS112)</f>
        <v/>
      </c>
      <c r="M112" s="31" t="str">
        <f>IF(OR(TABLERO!$A$25=1,D112=""),"",TABLERO!CE112)</f>
        <v/>
      </c>
      <c r="N112" s="30" t="str">
        <f>IF(TABLERO!$A$25=1,"",TABLERO!CF112)</f>
        <v/>
      </c>
      <c r="O112" s="31" t="str">
        <f>IF(OR(TABLERO!$A$25=1,D112=""),"",TABLERO!EB112)</f>
        <v/>
      </c>
      <c r="P112" s="31" t="str">
        <f>IF(OR(TABLERO!$A$25=1,D112=""),"",TABLERO!EC112)</f>
        <v/>
      </c>
      <c r="Q112" s="29" t="str">
        <f>IF(OR(TABLERO!$A$25=1,D112=""),"",TABLERO!U112)</f>
        <v/>
      </c>
      <c r="R112" s="33" t="str">
        <f>IF(TABLERO!$A$25=1,"",TABLERO!CG112)</f>
        <v/>
      </c>
    </row>
    <row r="113" spans="1:18">
      <c r="A113" s="28" t="str">
        <f>TABLERO!B113&amp;IF(TABLERO!C113="","",","&amp;TABLERO!C113)&amp;IF(TABLERO!D113="","",","&amp;TABLERO!D113)</f>
        <v>83</v>
      </c>
      <c r="B113" s="29" t="str">
        <f>IF(OR(TABLERO!$A$25=1,D113=""),"",TABLERO!S113)</f>
        <v/>
      </c>
      <c r="C113" s="30" t="str">
        <f>IF(OR(TABLERO!$A$25=1,D113=""),"",TABLERO!I113)</f>
        <v/>
      </c>
      <c r="D113" s="31" t="str">
        <f>IF(OR(TABLERO!$A$25=1,,TABLERO!Q113=""),"",TABLERO!Q113)</f>
        <v/>
      </c>
      <c r="E113" s="29" t="str">
        <f>IF(OR(TABLERO!$A$25=1,D113=""),"",TABLERO!N113)</f>
        <v/>
      </c>
      <c r="F113" s="29" t="str">
        <f>IF(TABLERO!$A$25=1,"",TABLERO!CC113)</f>
        <v/>
      </c>
      <c r="G113" s="31" t="str">
        <f>IF(OR(TABLERO!$A$25=1,D113=""),"",TABLERO!BU113)</f>
        <v/>
      </c>
      <c r="H113" s="32" t="str">
        <f>IF(OR(TABLERO!$A$25=1,D113=""),"",TABLERO!DO113)</f>
        <v/>
      </c>
      <c r="I113" s="32" t="str">
        <f>IF(OR(TABLERO!$A$25=1,D113=""),"",TABLERO!DP113)</f>
        <v/>
      </c>
      <c r="J113" s="31" t="str">
        <f>IF(OR(TABLERO!$A$25=1,D113=""),"",TABLERO!DQ113)</f>
        <v/>
      </c>
      <c r="K113" s="31" t="str">
        <f>IF(OR(TABLERO!$A$25=1,D113=""),"",TABLERO!DR113)</f>
        <v/>
      </c>
      <c r="L113" s="31" t="str">
        <f>IF(OR(TABLERO!$A$25=1,D113=""),"",TABLERO!DS113)</f>
        <v/>
      </c>
      <c r="M113" s="31" t="str">
        <f>IF(OR(TABLERO!$A$25=1,D113=""),"",TABLERO!CE113)</f>
        <v/>
      </c>
      <c r="N113" s="30" t="str">
        <f>IF(TABLERO!$A$25=1,"",TABLERO!CF113)</f>
        <v/>
      </c>
      <c r="O113" s="31" t="str">
        <f>IF(OR(TABLERO!$A$25=1,D113=""),"",TABLERO!EB113)</f>
        <v/>
      </c>
      <c r="P113" s="31" t="str">
        <f>IF(OR(TABLERO!$A$25=1,D113=""),"",TABLERO!EC113)</f>
        <v/>
      </c>
      <c r="Q113" s="29" t="str">
        <f>IF(OR(TABLERO!$A$25=1,D113=""),"",TABLERO!U113)</f>
        <v/>
      </c>
      <c r="R113" s="33" t="str">
        <f>IF(TABLERO!$A$25=1,"",TABLERO!CG113)</f>
        <v/>
      </c>
    </row>
    <row r="114" spans="1:18">
      <c r="A114" s="28" t="str">
        <f>TABLERO!B114&amp;IF(TABLERO!C114="","",","&amp;TABLERO!C114)&amp;IF(TABLERO!D114="","",","&amp;TABLERO!D114)</f>
        <v>84</v>
      </c>
      <c r="B114" s="29" t="str">
        <f>IF(OR(TABLERO!$A$25=1,D114=""),"",TABLERO!S114)</f>
        <v/>
      </c>
      <c r="C114" s="30" t="str">
        <f>IF(OR(TABLERO!$A$25=1,D114=""),"",TABLERO!I114)</f>
        <v/>
      </c>
      <c r="D114" s="31" t="str">
        <f>IF(OR(TABLERO!$A$25=1,,TABLERO!Q114=""),"",TABLERO!Q114)</f>
        <v/>
      </c>
      <c r="E114" s="29" t="str">
        <f>IF(OR(TABLERO!$A$25=1,D114=""),"",TABLERO!N114)</f>
        <v/>
      </c>
      <c r="F114" s="29" t="str">
        <f>IF(TABLERO!$A$25=1,"",TABLERO!CC114)</f>
        <v/>
      </c>
      <c r="G114" s="31" t="str">
        <f>IF(OR(TABLERO!$A$25=1,D114=""),"",TABLERO!BU114)</f>
        <v/>
      </c>
      <c r="H114" s="32" t="str">
        <f>IF(OR(TABLERO!$A$25=1,D114=""),"",TABLERO!DO114)</f>
        <v/>
      </c>
      <c r="I114" s="32" t="str">
        <f>IF(OR(TABLERO!$A$25=1,D114=""),"",TABLERO!DP114)</f>
        <v/>
      </c>
      <c r="J114" s="31" t="str">
        <f>IF(OR(TABLERO!$A$25=1,D114=""),"",TABLERO!DQ114)</f>
        <v/>
      </c>
      <c r="K114" s="31" t="str">
        <f>IF(OR(TABLERO!$A$25=1,D114=""),"",TABLERO!DR114)</f>
        <v/>
      </c>
      <c r="L114" s="31" t="str">
        <f>IF(OR(TABLERO!$A$25=1,D114=""),"",TABLERO!DS114)</f>
        <v/>
      </c>
      <c r="M114" s="31" t="str">
        <f>IF(OR(TABLERO!$A$25=1,D114=""),"",TABLERO!CE114)</f>
        <v/>
      </c>
      <c r="N114" s="30" t="str">
        <f>IF(TABLERO!$A$25=1,"",TABLERO!CF114)</f>
        <v/>
      </c>
      <c r="O114" s="31" t="str">
        <f>IF(OR(TABLERO!$A$25=1,D114=""),"",TABLERO!EB114)</f>
        <v/>
      </c>
      <c r="P114" s="31" t="str">
        <f>IF(OR(TABLERO!$A$25=1,D114=""),"",TABLERO!EC114)</f>
        <v/>
      </c>
      <c r="Q114" s="29" t="str">
        <f>IF(OR(TABLERO!$A$25=1,D114=""),"",TABLERO!U114)</f>
        <v/>
      </c>
      <c r="R114" s="33" t="str">
        <f>IF(TABLERO!$A$25=1,"",TABLERO!CG114)</f>
        <v/>
      </c>
    </row>
    <row r="115" spans="1:18" ht="13.8" thickBot="1">
      <c r="A115" s="36"/>
      <c r="B115" s="39"/>
      <c r="C115" s="37"/>
      <c r="D115" s="38"/>
      <c r="E115" s="39"/>
      <c r="F115" s="39"/>
      <c r="G115" s="38"/>
      <c r="H115" s="41"/>
      <c r="I115" s="41"/>
      <c r="J115" s="38"/>
      <c r="K115" s="38"/>
      <c r="L115" s="38"/>
      <c r="M115" s="38"/>
      <c r="N115" s="37"/>
      <c r="O115" s="38"/>
      <c r="P115" s="38"/>
      <c r="Q115" s="39"/>
      <c r="R115" s="40"/>
    </row>
    <row r="116" spans="1:18" hidden="1">
      <c r="A116" s="68"/>
      <c r="B116" s="514">
        <f>TABLERO!S116</f>
        <v>1</v>
      </c>
      <c r="C116" s="68" t="str">
        <f>TABLERO!I116</f>
        <v>AL</v>
      </c>
      <c r="D116" s="67">
        <f>TABLERO!K116</f>
        <v>120</v>
      </c>
      <c r="E116" s="514">
        <f>TABLERO!N116</f>
        <v>2</v>
      </c>
      <c r="F116" s="514">
        <f>TABLERO!CC116</f>
        <v>0</v>
      </c>
      <c r="G116" s="67">
        <f>TABLERO!BU116</f>
        <v>218.23558124598586</v>
      </c>
      <c r="H116" s="515">
        <f>TABLERO!DO116</f>
        <v>0.14799999999999999</v>
      </c>
      <c r="I116" s="515">
        <f>TABLERO!DP116</f>
        <v>0.157</v>
      </c>
      <c r="J116" s="67">
        <f>TABLERO!DQ116</f>
        <v>23.95</v>
      </c>
      <c r="K116" s="67">
        <f>TABLERO!DR116</f>
        <v>450.50740350000001</v>
      </c>
      <c r="L116" s="67">
        <f>TABLERO!DS116</f>
        <v>4.5676015898667206</v>
      </c>
      <c r="M116" s="67">
        <f>TABLERO!CE116</f>
        <v>0</v>
      </c>
      <c r="N116" s="68">
        <f>TABLERO!CF116</f>
        <v>0</v>
      </c>
      <c r="O116" s="67">
        <f>TABLERO!EB116</f>
        <v>0</v>
      </c>
      <c r="P116" s="67">
        <f>TABLERO!EC116</f>
        <v>0</v>
      </c>
      <c r="Q116" s="514">
        <f>TABLERO!U116</f>
        <v>1</v>
      </c>
      <c r="R116" s="68">
        <f>TABLERO!CG116</f>
        <v>0</v>
      </c>
    </row>
    <row r="117" spans="1:18" hidden="1">
      <c r="A117" s="13"/>
      <c r="B117" s="516"/>
      <c r="C117" s="13"/>
      <c r="D117" s="14"/>
      <c r="E117" s="516"/>
      <c r="F117" s="516"/>
      <c r="G117" s="14"/>
      <c r="H117" s="517"/>
      <c r="I117" s="517"/>
      <c r="J117" s="14"/>
      <c r="K117" s="14"/>
      <c r="L117" s="14"/>
      <c r="M117" s="14"/>
      <c r="N117" s="13"/>
      <c r="O117" s="14"/>
      <c r="P117" s="14"/>
      <c r="Q117" s="516"/>
      <c r="R117" s="13"/>
    </row>
    <row r="118" spans="1:18" hidden="1">
      <c r="A118" s="13"/>
      <c r="B118" s="516">
        <f>TABLERO!S118</f>
        <v>1</v>
      </c>
      <c r="C118" s="13" t="str">
        <f>TABLERO!I118</f>
        <v>AL</v>
      </c>
      <c r="D118" s="14">
        <f>TABLERO!K118</f>
        <v>8</v>
      </c>
      <c r="E118" s="516">
        <f>TABLERO!N118</f>
        <v>1</v>
      </c>
      <c r="F118" s="516">
        <f>TABLERO!CC118</f>
        <v>0</v>
      </c>
      <c r="G118" s="14">
        <f>TABLERO!BU118</f>
        <v>218.23558124598586</v>
      </c>
      <c r="H118" s="517">
        <f>TABLERO!DO118</f>
        <v>0.43</v>
      </c>
      <c r="I118" s="517">
        <f>TABLERO!DP118</f>
        <v>0.17100000000000001</v>
      </c>
      <c r="J118" s="14">
        <f>TABLERO!DQ118</f>
        <v>14.73</v>
      </c>
      <c r="K118" s="14">
        <f>TABLERO!DR118</f>
        <v>170.41051566000002</v>
      </c>
      <c r="L118" s="14">
        <f>TABLERO!DS118</f>
        <v>1.3940178484952943</v>
      </c>
      <c r="M118" s="14">
        <f>TABLERO!CE118</f>
        <v>0</v>
      </c>
      <c r="N118" s="13">
        <f>TABLERO!CF118</f>
        <v>0</v>
      </c>
      <c r="O118" s="14">
        <f>TABLERO!EB118</f>
        <v>0</v>
      </c>
      <c r="P118" s="14">
        <f>TABLERO!EC118</f>
        <v>0</v>
      </c>
      <c r="Q118" s="516">
        <f>TABLERO!U118</f>
        <v>1</v>
      </c>
      <c r="R118" s="13">
        <f>TABLERO!CG118</f>
        <v>0</v>
      </c>
    </row>
    <row r="119" spans="1:18" hidden="1">
      <c r="A119" s="13"/>
      <c r="B119" s="516"/>
      <c r="C119" s="13"/>
      <c r="D119" s="14"/>
      <c r="E119" s="516"/>
      <c r="F119" s="516"/>
      <c r="G119" s="14"/>
      <c r="H119" s="517"/>
      <c r="I119" s="517"/>
      <c r="J119" s="14"/>
      <c r="K119" s="14"/>
      <c r="L119" s="14"/>
      <c r="M119" s="14"/>
      <c r="N119" s="13"/>
      <c r="O119" s="14"/>
      <c r="P119" s="14"/>
      <c r="Q119" s="516"/>
      <c r="R119" s="13"/>
    </row>
    <row r="120" spans="1:18" hidden="1">
      <c r="A120" s="13"/>
      <c r="B120" s="516">
        <f>TABLERO!S120</f>
        <v>1</v>
      </c>
      <c r="C120" s="13" t="str">
        <f>TABLERO!I120</f>
        <v>AL</v>
      </c>
      <c r="D120" s="14">
        <f>TABLERO!K120</f>
        <v>230</v>
      </c>
      <c r="E120" s="516">
        <f>TABLERO!N120</f>
        <v>2</v>
      </c>
      <c r="F120" s="516">
        <f>TABLERO!CC120</f>
        <v>0</v>
      </c>
      <c r="G120" s="14">
        <f>TABLERO!BU120</f>
        <v>100.02464140441019</v>
      </c>
      <c r="H120" s="517">
        <f>TABLERO!DO120</f>
        <v>0.43</v>
      </c>
      <c r="I120" s="517">
        <f>TABLERO!DP120</f>
        <v>0.17100000000000001</v>
      </c>
      <c r="J120" s="14">
        <f>TABLERO!DQ120</f>
        <v>14.73</v>
      </c>
      <c r="K120" s="14">
        <f>TABLERO!DR120</f>
        <v>170.41051566000002</v>
      </c>
      <c r="L120" s="14">
        <f>TABLERO!DS120</f>
        <v>9.184544678888269</v>
      </c>
      <c r="M120" s="14">
        <f>TABLERO!CE120</f>
        <v>0</v>
      </c>
      <c r="N120" s="13">
        <f>TABLERO!CF120</f>
        <v>0</v>
      </c>
      <c r="O120" s="14">
        <f>TABLERO!EB120</f>
        <v>0</v>
      </c>
      <c r="P120" s="14">
        <f>TABLERO!EC120</f>
        <v>0</v>
      </c>
      <c r="Q120" s="516">
        <f>TABLERO!U120</f>
        <v>1</v>
      </c>
      <c r="R120" s="13">
        <f>TABLERO!CG120</f>
        <v>0</v>
      </c>
    </row>
    <row r="121" spans="1:18" hidden="1">
      <c r="A121" s="13"/>
      <c r="B121" s="516"/>
      <c r="C121" s="13"/>
      <c r="D121" s="14"/>
      <c r="E121" s="516"/>
      <c r="F121" s="516"/>
      <c r="G121" s="14"/>
      <c r="H121" s="517"/>
      <c r="I121" s="517"/>
      <c r="J121" s="14"/>
      <c r="K121" s="14"/>
      <c r="L121" s="14"/>
      <c r="M121" s="14"/>
      <c r="N121" s="13"/>
      <c r="O121" s="14"/>
      <c r="P121" s="14"/>
      <c r="Q121" s="516"/>
      <c r="R121" s="13"/>
    </row>
    <row r="122" spans="1:18" hidden="1">
      <c r="A122" s="13"/>
      <c r="B122" s="516">
        <f>TABLERO!S122</f>
        <v>1</v>
      </c>
      <c r="C122" s="13" t="str">
        <f>TABLERO!I122</f>
        <v>AL</v>
      </c>
      <c r="D122" s="14">
        <f>TABLERO!K122</f>
        <v>30</v>
      </c>
      <c r="E122" s="516">
        <f>TABLERO!N122</f>
        <v>2</v>
      </c>
      <c r="F122" s="516">
        <f>TABLERO!CC122</f>
        <v>0</v>
      </c>
      <c r="G122" s="14">
        <f>TABLERO!BU122</f>
        <v>218.23558124598586</v>
      </c>
      <c r="H122" s="517">
        <f>TABLERO!DO122</f>
        <v>0.14799999999999999</v>
      </c>
      <c r="I122" s="517">
        <f>TABLERO!DP122</f>
        <v>0.157</v>
      </c>
      <c r="J122" s="14">
        <f>TABLERO!DQ122</f>
        <v>23.95</v>
      </c>
      <c r="K122" s="14">
        <f>TABLERO!DR122</f>
        <v>450.50740350000001</v>
      </c>
      <c r="L122" s="14">
        <f>TABLERO!DS122</f>
        <v>1.1419003974666802</v>
      </c>
      <c r="M122" s="14">
        <f>TABLERO!CE122</f>
        <v>0</v>
      </c>
      <c r="N122" s="13">
        <f>TABLERO!CF122</f>
        <v>0</v>
      </c>
      <c r="O122" s="14">
        <f>TABLERO!EB122</f>
        <v>0</v>
      </c>
      <c r="P122" s="14">
        <f>TABLERO!EC122</f>
        <v>0</v>
      </c>
      <c r="Q122" s="516">
        <f>TABLERO!U122</f>
        <v>1</v>
      </c>
      <c r="R122" s="13">
        <f>TABLERO!CG122</f>
        <v>0</v>
      </c>
    </row>
    <row r="123" spans="1:18" hidden="1">
      <c r="A123" s="13"/>
      <c r="B123" s="516"/>
      <c r="C123" s="13"/>
      <c r="D123" s="14"/>
      <c r="E123" s="516"/>
      <c r="F123" s="516"/>
      <c r="G123" s="14"/>
      <c r="H123" s="517"/>
      <c r="I123" s="517"/>
      <c r="J123" s="14"/>
      <c r="K123" s="14"/>
      <c r="L123" s="14"/>
      <c r="M123" s="14"/>
      <c r="N123" s="13"/>
      <c r="O123" s="14"/>
      <c r="P123" s="14"/>
      <c r="Q123" s="516"/>
      <c r="R123" s="13"/>
    </row>
    <row r="124" spans="1:18" hidden="1">
      <c r="A124" s="518"/>
      <c r="B124" s="519">
        <f>TABLERO!S124</f>
        <v>1</v>
      </c>
      <c r="C124" s="518" t="str">
        <f>TABLERO!I124</f>
        <v>AL</v>
      </c>
      <c r="D124" s="520">
        <f>TABLERO!K124</f>
        <v>12</v>
      </c>
      <c r="E124" s="519">
        <f>TABLERO!N124</f>
        <v>2</v>
      </c>
      <c r="F124" s="519">
        <f>TABLERO!CC124</f>
        <v>0</v>
      </c>
      <c r="G124" s="520">
        <f>TABLERO!BU124</f>
        <v>218.23558124598586</v>
      </c>
      <c r="H124" s="521">
        <f>TABLERO!DO124</f>
        <v>0.14799999999999999</v>
      </c>
      <c r="I124" s="521">
        <f>TABLERO!DP124</f>
        <v>0.157</v>
      </c>
      <c r="J124" s="520">
        <f>TABLERO!DQ124</f>
        <v>23.95</v>
      </c>
      <c r="K124" s="520">
        <f>TABLERO!DR124</f>
        <v>450.50740350000001</v>
      </c>
      <c r="L124" s="520">
        <f>TABLERO!DS124</f>
        <v>0.45676015898667199</v>
      </c>
      <c r="M124" s="520">
        <f>TABLERO!CE124</f>
        <v>0</v>
      </c>
      <c r="N124" s="518">
        <f>TABLERO!CF124</f>
        <v>0</v>
      </c>
      <c r="O124" s="520">
        <f>TABLERO!EB124</f>
        <v>0</v>
      </c>
      <c r="P124" s="520">
        <f>TABLERO!EC124</f>
        <v>0</v>
      </c>
      <c r="Q124" s="519">
        <f>TABLERO!U124</f>
        <v>1</v>
      </c>
      <c r="R124" s="518">
        <f>TABLERO!CG124</f>
        <v>0</v>
      </c>
    </row>
    <row r="125" spans="1:18" hidden="1">
      <c r="A125" s="578"/>
      <c r="B125" s="29"/>
      <c r="C125" s="30"/>
      <c r="D125" s="31"/>
      <c r="E125" s="29"/>
      <c r="F125" s="29"/>
      <c r="G125" s="31"/>
      <c r="H125" s="32"/>
      <c r="I125" s="32"/>
      <c r="J125" s="31"/>
      <c r="K125" s="31"/>
      <c r="L125" s="31"/>
      <c r="M125" s="31"/>
      <c r="N125" s="30"/>
      <c r="O125" s="31"/>
      <c r="P125" s="31"/>
      <c r="Q125" s="29"/>
      <c r="R125" s="579"/>
    </row>
    <row r="126" spans="1:18" hidden="1">
      <c r="A126" s="13"/>
      <c r="B126" s="516">
        <f>TABLERO!S126</f>
        <v>1</v>
      </c>
      <c r="C126" s="13" t="str">
        <f>TABLERO!I126</f>
        <v>AL</v>
      </c>
      <c r="D126" s="14">
        <f>TABLERO!K126</f>
        <v>6</v>
      </c>
      <c r="E126" s="516">
        <f>TABLERO!N126</f>
        <v>2</v>
      </c>
      <c r="F126" s="516">
        <f>TABLERO!CC126</f>
        <v>0</v>
      </c>
      <c r="G126" s="14">
        <f>TABLERO!BU126</f>
        <v>218.23558124598586</v>
      </c>
      <c r="H126" s="517">
        <f>TABLERO!DO126</f>
        <v>0.14799999999999999</v>
      </c>
      <c r="I126" s="517">
        <f>TABLERO!DP126</f>
        <v>0.157</v>
      </c>
      <c r="J126" s="14">
        <f>TABLERO!DQ126</f>
        <v>23.95</v>
      </c>
      <c r="K126" s="14">
        <f>TABLERO!DR126</f>
        <v>450.50740350000001</v>
      </c>
      <c r="L126" s="14">
        <f>TABLERO!DS126</f>
        <v>0.228380079493336</v>
      </c>
      <c r="M126" s="14">
        <f>TABLERO!CE126</f>
        <v>0</v>
      </c>
      <c r="N126" s="13">
        <f>TABLERO!CF126</f>
        <v>0</v>
      </c>
      <c r="O126" s="14">
        <f>TABLERO!EB126</f>
        <v>0</v>
      </c>
      <c r="P126" s="14">
        <f>TABLERO!EC126</f>
        <v>0</v>
      </c>
      <c r="Q126" s="516">
        <f>TABLERO!U126</f>
        <v>1</v>
      </c>
      <c r="R126" s="13">
        <f>TABLERO!CG126</f>
        <v>0</v>
      </c>
    </row>
    <row r="127" spans="1:18" hidden="1">
      <c r="A127" s="578"/>
      <c r="B127" s="29"/>
      <c r="C127" s="30"/>
      <c r="D127" s="31"/>
      <c r="E127" s="29"/>
      <c r="F127" s="29"/>
      <c r="G127" s="31"/>
      <c r="H127" s="32"/>
      <c r="I127" s="32"/>
      <c r="J127" s="31"/>
      <c r="K127" s="31"/>
      <c r="L127" s="31"/>
      <c r="M127" s="31"/>
      <c r="N127" s="30"/>
      <c r="O127" s="31"/>
      <c r="P127" s="31"/>
      <c r="Q127" s="29"/>
      <c r="R127" s="579"/>
    </row>
    <row r="128" spans="1:18" ht="13.8" hidden="1" thickBot="1">
      <c r="A128" s="13"/>
      <c r="B128" s="516">
        <f>TABLERO!S128</f>
        <v>1</v>
      </c>
      <c r="C128" s="13" t="str">
        <f>TABLERO!I128</f>
        <v>AL</v>
      </c>
      <c r="D128" s="14">
        <f>TABLERO!K128</f>
        <v>6</v>
      </c>
      <c r="E128" s="516">
        <f>TABLERO!N128</f>
        <v>2</v>
      </c>
      <c r="F128" s="516">
        <f>TABLERO!CC128</f>
        <v>0</v>
      </c>
      <c r="G128" s="14">
        <f>TABLERO!BU128</f>
        <v>218.23558124598586</v>
      </c>
      <c r="H128" s="517">
        <f>TABLERO!DO128</f>
        <v>0.14799999999999999</v>
      </c>
      <c r="I128" s="517">
        <f>TABLERO!DP128</f>
        <v>0.157</v>
      </c>
      <c r="J128" s="14">
        <f>TABLERO!DQ128</f>
        <v>23.95</v>
      </c>
      <c r="K128" s="14">
        <f>TABLERO!DR128</f>
        <v>450.50740350000001</v>
      </c>
      <c r="L128" s="14">
        <f>TABLERO!DS128</f>
        <v>0.228380079493336</v>
      </c>
      <c r="M128" s="14">
        <f>TABLERO!CE128</f>
        <v>0</v>
      </c>
      <c r="N128" s="13">
        <f>TABLERO!CF128</f>
        <v>0</v>
      </c>
      <c r="O128" s="14">
        <f>TABLERO!EB128</f>
        <v>0</v>
      </c>
      <c r="P128" s="14">
        <f>TABLERO!EC128</f>
        <v>0</v>
      </c>
      <c r="Q128" s="516">
        <f>TABLERO!U128</f>
        <v>1</v>
      </c>
      <c r="R128" s="13">
        <f>TABLERO!CG128</f>
        <v>0</v>
      </c>
    </row>
    <row r="129" spans="1:18" ht="13.8" thickBot="1">
      <c r="A129" s="34"/>
      <c r="B129" s="35">
        <f>IF(TABLERO!$M$18="UPS",B126,IF(TABLERO!$M$18="REG",B126,IF(TABLERO!$M$18="TR",B118,IF(TABLERO!$M$18="PE",B122,B116))))</f>
        <v>1</v>
      </c>
      <c r="C129" s="35" t="str">
        <f>IF(TABLERO!$M$18="UPS",C126,IF(TABLERO!$M$18="REG",C126,IF(TABLERO!$M$18="TR",C118,IF(TABLERO!$M$18="PE",C122,C116))))</f>
        <v>AL</v>
      </c>
      <c r="D129" s="35">
        <f>IF(TABLERO!$M$18="UPS",D126,IF(TABLERO!$M$18="REG",D126,IF(TABLERO!$M$18="TR",D118,IF(TABLERO!$M$18="PE",D122,D116))))</f>
        <v>8</v>
      </c>
      <c r="E129" s="35">
        <f>IF(TABLERO!$M$18="UPS",E126,IF(TABLERO!$M$18="REG",E126,IF(TABLERO!$M$18="TR",E118,IF(TABLERO!$M$18="PE",E122,E116))))</f>
        <v>1</v>
      </c>
      <c r="F129" s="35">
        <f>IF(TABLERO!$M$18="UPS",F126,IF(TABLERO!$M$18="REG",F126,IF(TABLERO!$M$18="TR",F118,IF(TABLERO!$M$18="PE",F122,F116))))</f>
        <v>0</v>
      </c>
      <c r="G129" s="35">
        <f>IF(TABLERO!$M$18="UPS",G126,IF(TABLERO!$M$18="REG",G126,IF(TABLERO!$M$18="TR",G118,IF(TABLERO!$M$18="PE",G122,G116))))</f>
        <v>218.23558124598586</v>
      </c>
      <c r="H129" s="35">
        <f>IF(TABLERO!$M$18="UPS",H126,IF(TABLERO!$M$18="REG",H126,IF(TABLERO!$M$18="TR",H118,IF(TABLERO!$M$18="PE",H122,H116))))</f>
        <v>0.43</v>
      </c>
      <c r="I129" s="35">
        <f>IF(TABLERO!$M$18="UPS",I126,IF(TABLERO!$M$18="REG",I126,IF(TABLERO!$M$18="TR",I118,IF(TABLERO!$M$18="PE",I122,I116))))</f>
        <v>0.17100000000000001</v>
      </c>
      <c r="J129" s="35">
        <f>IF(TABLERO!$M$18="UPS",J126,IF(TABLERO!$M$18="REG",J126,IF(TABLERO!$M$18="TR",J118,IF(TABLERO!$M$18="PE",J122,J116))))</f>
        <v>14.73</v>
      </c>
      <c r="K129" s="35">
        <f>IF(TABLERO!$M$18="UPS",K126,IF(TABLERO!$M$18="REG",K126,IF(TABLERO!$M$18="TR",K118,IF(TABLERO!$M$18="PE",K122,K116))))</f>
        <v>170.41051566000002</v>
      </c>
      <c r="L129" s="35">
        <f>IF(TABLERO!$M$18="UPS",L126,IF(TABLERO!$M$18="REG",L126,IF(TABLERO!$M$18="TR",L118,IF(TABLERO!$M$18="PE",L122,L116))))</f>
        <v>1.3940178484952943</v>
      </c>
      <c r="M129" s="35">
        <f>IF(TABLERO!$M$18="UPS",M126,IF(TABLERO!$M$18="REG",M126,IF(TABLERO!$M$18="TR",M118,IF(TABLERO!$M$18="PE",M122,M116))))</f>
        <v>0</v>
      </c>
      <c r="N129" s="35">
        <f>IF(TABLERO!$M$18="UPS",N126,IF(TABLERO!$M$18="REG",N126,IF(TABLERO!$M$18="TR",N118,IF(TABLERO!$M$18="PE",N122,N116))))</f>
        <v>0</v>
      </c>
      <c r="O129" s="35">
        <f>IF(TABLERO!$M$18="UPS",O126,IF(TABLERO!$M$18="REG",O126,IF(TABLERO!$M$18="TR",O118,IF(TABLERO!$M$18="PE",O122,O116))))</f>
        <v>0</v>
      </c>
      <c r="P129" s="35">
        <f>IF(TABLERO!$M$18="UPS",P126,IF(TABLERO!$M$18="REG",P126,IF(TABLERO!$M$18="TR",P118,IF(TABLERO!$M$18="PE",P122,P116))))</f>
        <v>0</v>
      </c>
      <c r="Q129" s="35">
        <f>IF(TABLERO!$M$18="UPS",Q126,IF(TABLERO!$M$18="REG",Q126,IF(TABLERO!$M$18="TR",Q118,IF(TABLERO!$M$18="PE",Q122,Q116))))</f>
        <v>1</v>
      </c>
      <c r="R129" s="35">
        <f>IF(TABLERO!$M$18="UPS",R126,IF(TABLERO!$M$18="REG",R126,IF(TABLERO!$M$18="TR",R118,IF(TABLERO!$M$18="PE",R122,R116))))</f>
        <v>0</v>
      </c>
    </row>
  </sheetData>
  <sheetProtection algorithmName="SHA-512" hashValue="Z6R0SALkgzzMGBlDn+Gk442OImyRajgkElSzYdESE9fJVAKTnb9r0n1ZxxRF1xWkGzFrIAy8we1dbYuU4ZAUiA==" saltValue="hmGr6YO+zfn2vxiknyuUmA==" spinCount="100000" sheet="1" formatCells="0" formatColumns="0" formatRows="0"/>
  <mergeCells count="14">
    <mergeCell ref="A17:B18"/>
    <mergeCell ref="C17:D18"/>
    <mergeCell ref="B19:D19"/>
    <mergeCell ref="B15:P16"/>
    <mergeCell ref="N28:O28"/>
    <mergeCell ref="P28:R28"/>
    <mergeCell ref="B20:D20"/>
    <mergeCell ref="B21:D21"/>
    <mergeCell ref="B22:D22"/>
    <mergeCell ref="B23:D23"/>
    <mergeCell ref="B24:D24"/>
    <mergeCell ref="B26:D26"/>
    <mergeCell ref="B27:D27"/>
    <mergeCell ref="E26:J27"/>
  </mergeCells>
  <phoneticPr fontId="6" type="noConversion"/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">
    <tabColor indexed="15"/>
    <pageSetUpPr fitToPage="1"/>
  </sheetPr>
  <dimension ref="A2:Q160"/>
  <sheetViews>
    <sheetView showGridLines="0" view="pageBreakPreview" topLeftCell="A25" zoomScale="85" zoomScaleNormal="85" zoomScaleSheetLayoutView="85" workbookViewId="0">
      <selection activeCell="H142" sqref="H142"/>
    </sheetView>
  </sheetViews>
  <sheetFormatPr baseColWidth="10" defaultColWidth="11.44140625" defaultRowHeight="13.2"/>
  <cols>
    <col min="1" max="1" width="13.5546875" style="593" customWidth="1"/>
    <col min="2" max="3" width="11.44140625" style="593"/>
    <col min="4" max="16" width="11.44140625" style="655"/>
    <col min="17" max="17" width="12.5546875" style="655" customWidth="1"/>
    <col min="18" max="16384" width="11.44140625" style="593"/>
  </cols>
  <sheetData>
    <row r="2" spans="1:17" hidden="1"/>
    <row r="3" spans="1:17" hidden="1"/>
    <row r="4" spans="1:17" hidden="1"/>
    <row r="5" spans="1:17" hidden="1"/>
    <row r="6" spans="1:17" hidden="1"/>
    <row r="7" spans="1:17" hidden="1"/>
    <row r="8" spans="1:17" hidden="1"/>
    <row r="9" spans="1:17" hidden="1"/>
    <row r="10" spans="1:17" hidden="1"/>
    <row r="11" spans="1:17" hidden="1"/>
    <row r="12" spans="1:17" hidden="1"/>
    <row r="13" spans="1:17" hidden="1"/>
    <row r="14" spans="1:17" hidden="1"/>
    <row r="15" spans="1:17">
      <c r="A15" s="1186" t="str">
        <f>IF(TABLERO!M18="TR","CAPACIDAD DEL TRANSFORMADOR",IF(TABLERO!M18="PE","CAPACIDAD DEL GENERADOR","ALIMENTADOR PRINCIPAL Y PROTECCION"))</f>
        <v>CAPACIDAD DEL TRANSFORMADOR</v>
      </c>
      <c r="B15" s="1186"/>
      <c r="C15" s="1186"/>
      <c r="D15" s="1186"/>
      <c r="E15" s="1186"/>
      <c r="F15" s="1186"/>
      <c r="G15" s="1186"/>
      <c r="H15" s="1186"/>
      <c r="I15" s="1186"/>
      <c r="J15" s="1186"/>
      <c r="K15" s="1186"/>
      <c r="L15" s="1186"/>
      <c r="M15" s="1186"/>
      <c r="N15" s="1186"/>
      <c r="O15" s="1186"/>
      <c r="P15" s="1186"/>
      <c r="Q15" s="1186"/>
    </row>
    <row r="16" spans="1:17">
      <c r="A16" s="1186"/>
      <c r="B16" s="1186"/>
      <c r="C16" s="1186"/>
      <c r="D16" s="1186"/>
      <c r="E16" s="1186"/>
      <c r="F16" s="1186"/>
      <c r="G16" s="1186"/>
      <c r="H16" s="1186"/>
      <c r="I16" s="1186"/>
      <c r="J16" s="1186"/>
      <c r="K16" s="1186"/>
      <c r="L16" s="1186"/>
      <c r="M16" s="1186"/>
      <c r="N16" s="1186"/>
      <c r="O16" s="1186"/>
      <c r="P16" s="1186"/>
      <c r="Q16" s="1186"/>
    </row>
    <row r="17" spans="1:17" ht="11.25" customHeight="1">
      <c r="A17" s="1188" t="s">
        <v>93</v>
      </c>
      <c r="B17" s="1188"/>
      <c r="C17" s="1187" t="str">
        <f>RESUMEN!B15</f>
        <v>G</v>
      </c>
      <c r="D17" s="1187"/>
      <c r="H17" s="659"/>
      <c r="I17" s="660"/>
      <c r="J17" s="660"/>
      <c r="K17" s="660"/>
      <c r="L17" s="660"/>
      <c r="P17" s="1196" t="s">
        <v>126</v>
      </c>
      <c r="Q17" s="1197"/>
    </row>
    <row r="18" spans="1:17" ht="13.5" customHeight="1">
      <c r="A18" s="1188"/>
      <c r="B18" s="1188"/>
      <c r="C18" s="1187"/>
      <c r="D18" s="1187"/>
      <c r="J18" s="661"/>
      <c r="K18" s="661"/>
      <c r="L18" s="1217" t="s">
        <v>153</v>
      </c>
      <c r="M18" s="1217"/>
      <c r="P18" s="663" t="s">
        <v>32</v>
      </c>
      <c r="Q18" s="664" t="s">
        <v>42</v>
      </c>
    </row>
    <row r="19" spans="1:17">
      <c r="A19" s="662" t="s">
        <v>1</v>
      </c>
      <c r="B19" s="1215" t="str">
        <f>RESUMEN!B17</f>
        <v>ZONA DE CARGA</v>
      </c>
      <c r="C19" s="1215"/>
      <c r="J19" s="660"/>
      <c r="L19" s="662" t="s">
        <v>97</v>
      </c>
      <c r="M19" s="662">
        <f>TABLERO!M10</f>
        <v>1</v>
      </c>
      <c r="P19" s="663" t="s">
        <v>48</v>
      </c>
      <c r="Q19" s="664" t="s">
        <v>127</v>
      </c>
    </row>
    <row r="20" spans="1:17">
      <c r="A20" s="662" t="s">
        <v>2</v>
      </c>
      <c r="B20" s="1215" t="str">
        <f>RESUMEN!B18</f>
        <v>TAB-G</v>
      </c>
      <c r="C20" s="1215"/>
      <c r="J20" s="660"/>
      <c r="L20" s="662" t="str">
        <f>IF(TABLERO!M11="NORMA","ART.220-13 RECEPTACULOS: ","RECEPTACULOS: ")</f>
        <v xml:space="preserve">RECEPTACULOS: </v>
      </c>
      <c r="M20" s="662">
        <f>TABLERO!BK26</f>
        <v>1</v>
      </c>
      <c r="P20" s="725" t="s">
        <v>594</v>
      </c>
      <c r="Q20" s="726" t="s">
        <v>128</v>
      </c>
    </row>
    <row r="21" spans="1:17">
      <c r="A21" s="662" t="s">
        <v>94</v>
      </c>
      <c r="B21" s="1215" t="str">
        <f>RESUMEN!B19</f>
        <v>220 / 127 VCA</v>
      </c>
      <c r="C21" s="1215"/>
      <c r="D21" s="659"/>
      <c r="E21" s="659"/>
      <c r="J21" s="660"/>
      <c r="K21" s="660"/>
      <c r="L21" s="662" t="s">
        <v>171</v>
      </c>
      <c r="M21" s="662">
        <f>TABLERO!M12</f>
        <v>1</v>
      </c>
      <c r="P21" s="725" t="s">
        <v>29</v>
      </c>
      <c r="Q21" s="726" t="s">
        <v>129</v>
      </c>
    </row>
    <row r="22" spans="1:17">
      <c r="A22" s="662" t="s">
        <v>3</v>
      </c>
      <c r="B22" s="1215">
        <f>RESUMEN!B20</f>
        <v>3</v>
      </c>
      <c r="C22" s="1215"/>
      <c r="D22" s="659"/>
      <c r="E22" s="659"/>
      <c r="J22" s="660"/>
      <c r="K22" s="660"/>
      <c r="L22" s="662" t="s">
        <v>98</v>
      </c>
      <c r="M22" s="662">
        <f>TABLERO!M13</f>
        <v>1</v>
      </c>
      <c r="P22" s="725" t="s">
        <v>51</v>
      </c>
      <c r="Q22" s="726" t="s">
        <v>77</v>
      </c>
    </row>
    <row r="23" spans="1:17">
      <c r="A23" s="662" t="s">
        <v>4</v>
      </c>
      <c r="B23" s="1215">
        <f>RESUMEN!B21</f>
        <v>4</v>
      </c>
      <c r="C23" s="1215"/>
      <c r="D23" s="659"/>
      <c r="E23" s="659"/>
      <c r="J23" s="660"/>
      <c r="K23" s="660"/>
      <c r="L23" s="662" t="s">
        <v>172</v>
      </c>
      <c r="M23" s="662">
        <f>TABLERO!M14</f>
        <v>1</v>
      </c>
      <c r="P23" s="725" t="s">
        <v>49</v>
      </c>
      <c r="Q23" s="726" t="s">
        <v>55</v>
      </c>
    </row>
    <row r="24" spans="1:17">
      <c r="A24" s="662" t="s">
        <v>81</v>
      </c>
      <c r="B24" s="1215">
        <f>RESUMEN!B22</f>
        <v>60</v>
      </c>
      <c r="C24" s="1215"/>
      <c r="D24" s="659"/>
      <c r="E24" s="659"/>
      <c r="J24" s="660"/>
      <c r="K24" s="660"/>
      <c r="L24" s="662" t="s">
        <v>123</v>
      </c>
      <c r="M24" s="662">
        <f>TABLERO!M15</f>
        <v>1</v>
      </c>
      <c r="P24" s="725" t="s">
        <v>108</v>
      </c>
      <c r="Q24" s="726" t="s">
        <v>157</v>
      </c>
    </row>
    <row r="25" spans="1:17">
      <c r="A25" s="662" t="s">
        <v>120</v>
      </c>
      <c r="B25" s="659"/>
      <c r="C25" s="659"/>
      <c r="D25" s="659"/>
      <c r="E25" s="659"/>
      <c r="L25" s="662" t="s">
        <v>173</v>
      </c>
      <c r="M25" s="662">
        <f>TABLERO!M16</f>
        <v>1</v>
      </c>
      <c r="P25" s="725" t="s">
        <v>96</v>
      </c>
      <c r="Q25" s="726" t="s">
        <v>46</v>
      </c>
    </row>
    <row r="26" spans="1:17">
      <c r="A26" s="662" t="s">
        <v>95</v>
      </c>
      <c r="B26" s="1215" t="str">
        <f>RESUMEN!B26</f>
        <v xml:space="preserve"> LA400M141B</v>
      </c>
      <c r="C26" s="1215"/>
      <c r="D26" s="662" t="s">
        <v>125</v>
      </c>
      <c r="E26" s="660">
        <f>TABLERO!F13</f>
        <v>30</v>
      </c>
      <c r="F26" s="659" t="s">
        <v>30</v>
      </c>
      <c r="G26" s="1198" t="str">
        <f>IF(TABLERO!F5=0,"",TABLERO!F5)</f>
        <v>BODEGA</v>
      </c>
      <c r="H26" s="1198"/>
      <c r="I26" s="1198"/>
      <c r="J26" s="1198"/>
      <c r="K26" s="660"/>
      <c r="L26" s="662"/>
      <c r="M26" s="662"/>
      <c r="P26" s="725" t="s">
        <v>637</v>
      </c>
      <c r="Q26" s="726" t="s">
        <v>641</v>
      </c>
    </row>
    <row r="27" spans="1:17" ht="13.8" thickBot="1">
      <c r="A27" s="662" t="s">
        <v>50</v>
      </c>
      <c r="B27" s="1215" t="str">
        <f>RESUMEN!B27</f>
        <v>SQUARED</v>
      </c>
      <c r="C27" s="1215"/>
      <c r="D27" s="662" t="s">
        <v>17</v>
      </c>
      <c r="E27" s="660">
        <f>TABLERO!F14</f>
        <v>0.9</v>
      </c>
      <c r="F27" s="660"/>
      <c r="G27" s="1199"/>
      <c r="H27" s="1199"/>
      <c r="I27" s="1199"/>
      <c r="J27" s="1199"/>
      <c r="K27" s="660"/>
      <c r="L27" s="662" t="s">
        <v>100</v>
      </c>
      <c r="M27" s="662">
        <f>TABLERO!M17</f>
        <v>0.8</v>
      </c>
      <c r="P27" s="729" t="s">
        <v>638</v>
      </c>
      <c r="Q27" s="956" t="s">
        <v>642</v>
      </c>
    </row>
    <row r="28" spans="1:17">
      <c r="A28" s="665"/>
      <c r="B28" s="666" t="s">
        <v>11</v>
      </c>
      <c r="C28" s="666" t="s">
        <v>12</v>
      </c>
      <c r="D28" s="1191" t="str">
        <f>"CARGAS CONTINUAS EN K"&amp;'CUADRO (1)'!AH29</f>
        <v>CARGAS CONTINUAS EN K</v>
      </c>
      <c r="E28" s="1192"/>
      <c r="F28" s="1192"/>
      <c r="G28" s="1192"/>
      <c r="H28" s="1216"/>
      <c r="I28" s="1191" t="str">
        <f>"CARGAS NO CONTINUAS EN K"&amp;'CUADRO (1)'!AH29</f>
        <v>CARGAS NO CONTINUAS EN K</v>
      </c>
      <c r="J28" s="1192"/>
      <c r="K28" s="1192"/>
      <c r="L28" s="1192"/>
      <c r="M28" s="1216"/>
      <c r="N28" s="667" t="s">
        <v>13</v>
      </c>
      <c r="O28" s="667" t="s">
        <v>154</v>
      </c>
      <c r="P28" s="666" t="s">
        <v>196</v>
      </c>
      <c r="Q28" s="668" t="s">
        <v>155</v>
      </c>
    </row>
    <row r="29" spans="1:17" ht="13.8" thickBot="1">
      <c r="A29" s="669" t="s">
        <v>5</v>
      </c>
      <c r="B29" s="670" t="s">
        <v>13</v>
      </c>
      <c r="C29" s="670" t="s">
        <v>156</v>
      </c>
      <c r="D29" s="671" t="s">
        <v>42</v>
      </c>
      <c r="E29" s="671" t="s">
        <v>43</v>
      </c>
      <c r="F29" s="671" t="s">
        <v>44</v>
      </c>
      <c r="G29" s="671" t="s">
        <v>121</v>
      </c>
      <c r="H29" s="671" t="s">
        <v>46</v>
      </c>
      <c r="I29" s="671" t="s">
        <v>42</v>
      </c>
      <c r="J29" s="671" t="s">
        <v>43</v>
      </c>
      <c r="K29" s="671" t="s">
        <v>44</v>
      </c>
      <c r="L29" s="671" t="s">
        <v>121</v>
      </c>
      <c r="M29" s="671" t="s">
        <v>46</v>
      </c>
      <c r="N29" s="670" t="s">
        <v>45</v>
      </c>
      <c r="O29" s="670" t="s">
        <v>45</v>
      </c>
      <c r="P29" s="672" t="s">
        <v>182</v>
      </c>
      <c r="Q29" s="673" t="s">
        <v>47</v>
      </c>
    </row>
    <row r="30" spans="1:17">
      <c r="A30" s="674"/>
      <c r="B30" s="675"/>
      <c r="C30" s="675"/>
      <c r="D30" s="675"/>
      <c r="E30" s="675"/>
      <c r="F30" s="675"/>
      <c r="G30" s="675"/>
      <c r="H30" s="675"/>
      <c r="I30" s="675"/>
      <c r="J30" s="675"/>
      <c r="K30" s="675"/>
      <c r="L30" s="675"/>
      <c r="M30" s="675"/>
      <c r="N30" s="675"/>
      <c r="O30" s="675"/>
      <c r="P30" s="676"/>
      <c r="Q30" s="677"/>
    </row>
    <row r="31" spans="1:17">
      <c r="A31" s="678" t="str">
        <f>RESUMEN!A31</f>
        <v>1,3,5</v>
      </c>
      <c r="B31" s="679" t="str">
        <f>IF('CUADRO (1)'!AI31="","",TABLERO!H31)</f>
        <v>TB</v>
      </c>
      <c r="C31" s="679" t="str">
        <f>IF('CUADRO (1)'!AI31="","",TABLERO!W31)</f>
        <v>SI</v>
      </c>
      <c r="D31" s="680">
        <f>IF(OR(TABLERO!BC31=""),"",IF(TABLERO!$F$17="KVA",TABLERO!BC31/TABLERO!$DA31,TABLERO!BC31))</f>
        <v>1.6</v>
      </c>
      <c r="E31" s="680">
        <f>IF(OR(TABLERO!BD31=""),"",IF(TABLERO!$F$17="KVA",TABLERO!BD31/TABLERO!$DA31,TABLERO!BD31))</f>
        <v>0</v>
      </c>
      <c r="F31" s="680">
        <f>IF(OR(TABLERO!BE31=""),"",IF(TABLERO!$F$17="KVA",TABLERO!BE31/TABLERO!$DA31,TABLERO!BE31))</f>
        <v>0</v>
      </c>
      <c r="G31" s="680">
        <f>IF(OR(TABLERO!BH31=""),"",IF(TABLERO!$F$17="KVA",TABLERO!BH31/TABLERO!$DA31,TABLERO!BH31))</f>
        <v>0</v>
      </c>
      <c r="H31" s="680">
        <f>IF(OR(TABLERO!BI31=""),"",IF(TABLERO!$F$17="KVA",TABLERO!BI31/TABLERO!$DA31,TABLERO!BI31))</f>
        <v>0</v>
      </c>
      <c r="I31" s="680">
        <f>IF(OR(TABLERO!BJ31=""),"",IF(TABLERO!$F$17="KVA",TABLERO!BJ31/TABLERO!$DA31,TABLERO!BJ31))</f>
        <v>0</v>
      </c>
      <c r="J31" s="680">
        <f>IF(OR(TABLERO!BK31=""),"",IF(TABLERO!$F$17="KVA",TABLERO!BK31/TABLERO!$DA31,TABLERO!BK31))</f>
        <v>10.804</v>
      </c>
      <c r="K31" s="680">
        <f>IF(OR(TABLERO!BL31=""),"",IF(TABLERO!$F$17="KVA",TABLERO!BL31/TABLERO!$DA31,TABLERO!BL31))</f>
        <v>0</v>
      </c>
      <c r="L31" s="680">
        <f>IF(OR(TABLERO!BO31=""),"",IF(TABLERO!$F$17="KVA",TABLERO!BO31/TABLERO!$DA31,TABLERO!BO31))</f>
        <v>0</v>
      </c>
      <c r="M31" s="680">
        <f>IF(OR(TABLERO!BP31=""),"",IF(TABLERO!$F$17="KVA",TABLERO!BP31/TABLERO!$DA31,TABLERO!BP31))</f>
        <v>0</v>
      </c>
      <c r="N31" s="680">
        <f>IF(TABLERO!BQ31="","",IF(TABLERO!$F$17="KVA",TABLERO!BQ31/TABLERO!$F$14,TABLERO!BQ31))</f>
        <v>0</v>
      </c>
      <c r="O31" s="680" t="str">
        <f>IF(TABLERO!BS31=0,"",TABLERO!BS31)</f>
        <v/>
      </c>
      <c r="P31" s="681">
        <f>IF(TABLERO!BQ31="","",IF(TABLERO!$F$17="KVA",TABLERO!BR31/TABLERO!$F$14,TABLERO!BR31))</f>
        <v>0</v>
      </c>
      <c r="Q31" s="682" t="str">
        <f>IF(TABLERO!H31="TB",IF(SUM(D31:N31)&lt;&gt;0,"",TABLERO!BU31),"")</f>
        <v/>
      </c>
    </row>
    <row r="32" spans="1:17">
      <c r="A32" s="678" t="str">
        <f>RESUMEN!A32</f>
        <v>2,4,6</v>
      </c>
      <c r="B32" s="679" t="str">
        <f>IF('CUADRO (1)'!AI32="","",TABLERO!H32)</f>
        <v>TB</v>
      </c>
      <c r="C32" s="679" t="str">
        <f>IF('CUADRO (1)'!AI32="","",TABLERO!W32)</f>
        <v>SI</v>
      </c>
      <c r="D32" s="680">
        <f>IF(OR(TABLERO!BC32=""),"",IF(TABLERO!$F$17="KVA",TABLERO!BC32/TABLERO!$DA32,TABLERO!BC32))</f>
        <v>3</v>
      </c>
      <c r="E32" s="680">
        <f>IF(OR(TABLERO!BD32=""),"",IF(TABLERO!$F$17="KVA",TABLERO!BD32/TABLERO!$DA32,TABLERO!BD32))</f>
        <v>0</v>
      </c>
      <c r="F32" s="680">
        <f>IF(OR(TABLERO!BE32=""),"",IF(TABLERO!$F$17="KVA",TABLERO!BE32/TABLERO!$DA32,TABLERO!BE32))</f>
        <v>0</v>
      </c>
      <c r="G32" s="680">
        <f>IF(OR(TABLERO!BH32=""),"",IF(TABLERO!$F$17="KVA",TABLERO!BH32/TABLERO!$DA32,TABLERO!BH32))</f>
        <v>0</v>
      </c>
      <c r="H32" s="680">
        <f>IF(OR(TABLERO!BI32=""),"",IF(TABLERO!$F$17="KVA",TABLERO!BI32/TABLERO!$DA32,TABLERO!BI32))</f>
        <v>0</v>
      </c>
      <c r="I32" s="680">
        <f>IF(OR(TABLERO!BJ32=""),"",IF(TABLERO!$F$17="KVA",TABLERO!BJ32/TABLERO!$DA32,TABLERO!BJ32))</f>
        <v>0</v>
      </c>
      <c r="J32" s="680">
        <f>IF(OR(TABLERO!BK32=""),"",IF(TABLERO!$F$17="KVA",TABLERO!BK32/TABLERO!$DA32,TABLERO!BK32))</f>
        <v>6.831999999999999</v>
      </c>
      <c r="K32" s="680">
        <f>IF(OR(TABLERO!BL32=""),"",IF(TABLERO!$F$17="KVA",TABLERO!BL32/TABLERO!$DA32,TABLERO!BL32))</f>
        <v>0</v>
      </c>
      <c r="L32" s="680">
        <f>IF(OR(TABLERO!BO32=""),"",IF(TABLERO!$F$17="KVA",TABLERO!BO32/TABLERO!$DA32,TABLERO!BO32))</f>
        <v>0</v>
      </c>
      <c r="M32" s="680">
        <f>IF(OR(TABLERO!BP32=""),"",IF(TABLERO!$F$17="KVA",TABLERO!BP32/TABLERO!$DA32,TABLERO!BP32))</f>
        <v>0</v>
      </c>
      <c r="N32" s="680">
        <f>IF(TABLERO!BQ32="","",IF(TABLERO!$F$17="KVA",TABLERO!BQ32/TABLERO!$F$14,TABLERO!BQ32))</f>
        <v>0</v>
      </c>
      <c r="O32" s="680" t="str">
        <f>IF(TABLERO!BS32=0,"",TABLERO!BS32)</f>
        <v/>
      </c>
      <c r="P32" s="681">
        <f>IF(TABLERO!BQ32="","",IF(TABLERO!$F$17="KVA",TABLERO!BR32/TABLERO!$F$14,TABLERO!BR32))</f>
        <v>0</v>
      </c>
      <c r="Q32" s="682" t="str">
        <f>IF(TABLERO!H32="TB",IF(SUM(D32:N32)&lt;&gt;0,"",TABLERO!BU32),"")</f>
        <v/>
      </c>
    </row>
    <row r="33" spans="1:17">
      <c r="A33" s="678" t="str">
        <f>RESUMEN!A33</f>
        <v>7,9,11</v>
      </c>
      <c r="B33" s="679" t="str">
        <f>IF('CUADRO (1)'!AI33="","",TABLERO!H33)</f>
        <v>TB</v>
      </c>
      <c r="C33" s="679" t="str">
        <f>IF('CUADRO (1)'!AI33="","",TABLERO!W33)</f>
        <v>SI</v>
      </c>
      <c r="D33" s="680">
        <f>IF(OR(TABLERO!BC33=""),"",IF(TABLERO!$F$17="KVA",TABLERO!BC33/TABLERO!$DA33,TABLERO!BC33))</f>
        <v>0</v>
      </c>
      <c r="E33" s="680">
        <f>IF(OR(TABLERO!BD33=""),"",IF(TABLERO!$F$17="KVA",TABLERO!BD33/TABLERO!$DA33,TABLERO!BD33))</f>
        <v>0</v>
      </c>
      <c r="F33" s="680">
        <f>IF(OR(TABLERO!BE33=""),"",IF(TABLERO!$F$17="KVA",TABLERO!BE33/TABLERO!$DA33,TABLERO!BE33))</f>
        <v>30</v>
      </c>
      <c r="G33" s="680">
        <f>IF(OR(TABLERO!BH33=""),"",IF(TABLERO!$F$17="KVA",TABLERO!BH33/TABLERO!$DA33,TABLERO!BH33))</f>
        <v>0</v>
      </c>
      <c r="H33" s="680">
        <f>IF(OR(TABLERO!BI33=""),"",IF(TABLERO!$F$17="KVA",TABLERO!BI33/TABLERO!$DA33,TABLERO!BI33))</f>
        <v>0</v>
      </c>
      <c r="I33" s="680">
        <f>IF(OR(TABLERO!BJ33=""),"",IF(TABLERO!$F$17="KVA",TABLERO!BJ33/TABLERO!$DA33,TABLERO!BJ33))</f>
        <v>0</v>
      </c>
      <c r="J33" s="680">
        <f>IF(OR(TABLERO!BK33=""),"",IF(TABLERO!$F$17="KVA",TABLERO!BK33/TABLERO!$DA33,TABLERO!BK33))</f>
        <v>0</v>
      </c>
      <c r="K33" s="680">
        <f>IF(OR(TABLERO!BL33=""),"",IF(TABLERO!$F$17="KVA",TABLERO!BL33/TABLERO!$DA33,TABLERO!BL33))</f>
        <v>0</v>
      </c>
      <c r="L33" s="680">
        <f>IF(OR(TABLERO!BO33=""),"",IF(TABLERO!$F$17="KVA",TABLERO!BO33/TABLERO!$DA33,TABLERO!BO33))</f>
        <v>0</v>
      </c>
      <c r="M33" s="680">
        <f>IF(OR(TABLERO!BP33=""),"",IF(TABLERO!$F$17="KVA",TABLERO!BP33/TABLERO!$DA33,TABLERO!BP33))</f>
        <v>0</v>
      </c>
      <c r="N33" s="680">
        <f>IF(TABLERO!BQ33="","",IF(TABLERO!$F$17="KVA",TABLERO!BQ33/TABLERO!$F$14,TABLERO!BQ33))</f>
        <v>0</v>
      </c>
      <c r="O33" s="680" t="str">
        <f>IF(TABLERO!BS33=0,"",TABLERO!BS33)</f>
        <v/>
      </c>
      <c r="P33" s="681">
        <f>IF(TABLERO!BQ33="","",IF(TABLERO!$F$17="KVA",TABLERO!BR33/TABLERO!$F$14,TABLERO!BR33))</f>
        <v>0</v>
      </c>
      <c r="Q33" s="682" t="str">
        <f>IF(TABLERO!H33="TB",IF(SUM(D33:N33)&lt;&gt;0,"",TABLERO!BU33),"")</f>
        <v/>
      </c>
    </row>
    <row r="34" spans="1:17">
      <c r="A34" s="678" t="str">
        <f>RESUMEN!A34</f>
        <v>8,10,12</v>
      </c>
      <c r="B34" s="679" t="str">
        <f>IF('CUADRO (1)'!AI34="","",TABLERO!H34)</f>
        <v>M</v>
      </c>
      <c r="C34" s="679" t="str">
        <f>IF('CUADRO (1)'!AI34="","",TABLERO!W34)</f>
        <v>SI</v>
      </c>
      <c r="D34" s="680" t="str">
        <f>IF(OR(TABLERO!BC34=""),"",IF(TABLERO!$F$17="KVA",TABLERO!BC34/TABLERO!$DA34,TABLERO!BC34))</f>
        <v/>
      </c>
      <c r="E34" s="680" t="str">
        <f>IF(OR(TABLERO!BD34=""),"",IF(TABLERO!$F$17="KVA",TABLERO!BD34/TABLERO!$DA34,TABLERO!BD34))</f>
        <v/>
      </c>
      <c r="F34" s="680" t="str">
        <f>IF(OR(TABLERO!BE34=""),"",IF(TABLERO!$F$17="KVA",TABLERO!BE34/TABLERO!$DA34,TABLERO!BE34))</f>
        <v/>
      </c>
      <c r="G34" s="680" t="str">
        <f>IF(OR(TABLERO!BH34=""),"",IF(TABLERO!$F$17="KVA",TABLERO!BH34/TABLERO!$DA34,TABLERO!BH34))</f>
        <v/>
      </c>
      <c r="H34" s="680" t="str">
        <f>IF(OR(TABLERO!BI34=""),"",IF(TABLERO!$F$17="KVA",TABLERO!BI34/TABLERO!$DA34,TABLERO!BI34))</f>
        <v/>
      </c>
      <c r="I34" s="680" t="str">
        <f>IF(OR(TABLERO!BJ34=""),"",IF(TABLERO!$F$17="KVA",TABLERO!BJ34/TABLERO!$DA34,TABLERO!BJ34))</f>
        <v/>
      </c>
      <c r="J34" s="680" t="str">
        <f>IF(OR(TABLERO!BK34=""),"",IF(TABLERO!$F$17="KVA",TABLERO!BK34/TABLERO!$DA34,TABLERO!BK34))</f>
        <v/>
      </c>
      <c r="K34" s="680" t="str">
        <f>IF(OR(TABLERO!BL34=""),"",IF(TABLERO!$F$17="KVA",TABLERO!BL34/TABLERO!$DA34,TABLERO!BL34))</f>
        <v/>
      </c>
      <c r="L34" s="680" t="str">
        <f>IF(OR(TABLERO!BO34=""),"",IF(TABLERO!$F$17="KVA",TABLERO!BO34/TABLERO!$DA34,TABLERO!BO34))</f>
        <v/>
      </c>
      <c r="M34" s="680" t="str">
        <f>IF(OR(TABLERO!BP34=""),"",IF(TABLERO!$F$17="KVA",TABLERO!BP34/TABLERO!$DA34,TABLERO!BP34))</f>
        <v/>
      </c>
      <c r="N34" s="680">
        <f>IF(TABLERO!BQ34="","",IF(TABLERO!$F$17="KVA",TABLERO!BQ34/TABLERO!$F$14,TABLERO!BQ34))</f>
        <v>15.825348000000002</v>
      </c>
      <c r="O34" s="680">
        <f>IF(TABLERO!BS34=0,"",TABLERO!BS34)</f>
        <v>70</v>
      </c>
      <c r="P34" s="681">
        <f>IF(TABLERO!BQ34="","",IF(TABLERO!$F$17="KVA",TABLERO!BR34/TABLERO!$F$14,TABLERO!BR34))</f>
        <v>15.825348000000002</v>
      </c>
      <c r="Q34" s="682" t="str">
        <f>IF(TABLERO!H34="TB",IF(SUM(D34:N34)&lt;&gt;0,"",TABLERO!BU34),"")</f>
        <v/>
      </c>
    </row>
    <row r="35" spans="1:17">
      <c r="A35" s="678" t="str">
        <f>RESUMEN!A35</f>
        <v>13,15,17</v>
      </c>
      <c r="B35" s="679" t="str">
        <f>IF('CUADRO (1)'!AI35="","",TABLERO!H35)</f>
        <v>M</v>
      </c>
      <c r="C35" s="679" t="str">
        <f>IF('CUADRO (1)'!AI35="","",TABLERO!W35)</f>
        <v>SI</v>
      </c>
      <c r="D35" s="680" t="str">
        <f>IF(OR(TABLERO!BC35=""),"",IF(TABLERO!$F$17="KVA",TABLERO!BC35/TABLERO!$DA35,TABLERO!BC35))</f>
        <v/>
      </c>
      <c r="E35" s="680" t="str">
        <f>IF(OR(TABLERO!BD35=""),"",IF(TABLERO!$F$17="KVA",TABLERO!BD35/TABLERO!$DA35,TABLERO!BD35))</f>
        <v/>
      </c>
      <c r="F35" s="680" t="str">
        <f>IF(OR(TABLERO!BE35=""),"",IF(TABLERO!$F$17="KVA",TABLERO!BE35/TABLERO!$DA35,TABLERO!BE35))</f>
        <v/>
      </c>
      <c r="G35" s="680" t="str">
        <f>IF(OR(TABLERO!BH35=""),"",IF(TABLERO!$F$17="KVA",TABLERO!BH35/TABLERO!$DA35,TABLERO!BH35))</f>
        <v/>
      </c>
      <c r="H35" s="680" t="str">
        <f>IF(OR(TABLERO!BI35=""),"",IF(TABLERO!$F$17="KVA",TABLERO!BI35/TABLERO!$DA35,TABLERO!BI35))</f>
        <v/>
      </c>
      <c r="I35" s="680" t="str">
        <f>IF(OR(TABLERO!BJ35=""),"",IF(TABLERO!$F$17="KVA",TABLERO!BJ35/TABLERO!$DA35,TABLERO!BJ35))</f>
        <v/>
      </c>
      <c r="J35" s="680" t="str">
        <f>IF(OR(TABLERO!BK35=""),"",IF(TABLERO!$F$17="KVA",TABLERO!BK35/TABLERO!$DA35,TABLERO!BK35))</f>
        <v/>
      </c>
      <c r="K35" s="680" t="str">
        <f>IF(OR(TABLERO!BL35=""),"",IF(TABLERO!$F$17="KVA",TABLERO!BL35/TABLERO!$DA35,TABLERO!BL35))</f>
        <v/>
      </c>
      <c r="L35" s="680" t="str">
        <f>IF(OR(TABLERO!BO35=""),"",IF(TABLERO!$F$17="KVA",TABLERO!BO35/TABLERO!$DA35,TABLERO!BO35))</f>
        <v/>
      </c>
      <c r="M35" s="680" t="str">
        <f>IF(OR(TABLERO!BP35=""),"",IF(TABLERO!$F$17="KVA",TABLERO!BP35/TABLERO!$DA35,TABLERO!BP35))</f>
        <v/>
      </c>
      <c r="N35" s="680">
        <f>IF(TABLERO!BQ35="","",IF(TABLERO!$F$17="KVA",TABLERO!BQ35/TABLERO!$F$14,TABLERO!BQ35))</f>
        <v>5.7204179999999996</v>
      </c>
      <c r="O35" s="680">
        <f>IF(TABLERO!BS35=0,"",TABLERO!BS35)</f>
        <v>30</v>
      </c>
      <c r="P35" s="681">
        <f>IF(TABLERO!BQ35="","",IF(TABLERO!$F$17="KVA",TABLERO!BR35/TABLERO!$F$14,TABLERO!BR35))</f>
        <v>5.7204179999999996</v>
      </c>
      <c r="Q35" s="682" t="str">
        <f>IF(TABLERO!H35="TB",IF(SUM(D35:N35)&lt;&gt;0,"",TABLERO!BU35),"")</f>
        <v/>
      </c>
    </row>
    <row r="36" spans="1:17">
      <c r="A36" s="678" t="str">
        <f>RESUMEN!A36</f>
        <v>14,16,18</v>
      </c>
      <c r="B36" s="679" t="str">
        <f>IF('CUADRO (1)'!AI36="","",TABLERO!H36)</f>
        <v>M</v>
      </c>
      <c r="C36" s="679" t="str">
        <f>IF('CUADRO (1)'!AI36="","",TABLERO!W36)</f>
        <v>SI</v>
      </c>
      <c r="D36" s="680" t="str">
        <f>IF(OR(TABLERO!BC36=""),"",IF(TABLERO!$F$17="KVA",TABLERO!BC36/TABLERO!$DA36,TABLERO!BC36))</f>
        <v/>
      </c>
      <c r="E36" s="680" t="str">
        <f>IF(OR(TABLERO!BD36=""),"",IF(TABLERO!$F$17="KVA",TABLERO!BD36/TABLERO!$DA36,TABLERO!BD36))</f>
        <v/>
      </c>
      <c r="F36" s="680" t="str">
        <f>IF(OR(TABLERO!BE36=""),"",IF(TABLERO!$F$17="KVA",TABLERO!BE36/TABLERO!$DA36,TABLERO!BE36))</f>
        <v/>
      </c>
      <c r="G36" s="680" t="str">
        <f>IF(OR(TABLERO!BH36=""),"",IF(TABLERO!$F$17="KVA",TABLERO!BH36/TABLERO!$DA36,TABLERO!BH36))</f>
        <v/>
      </c>
      <c r="H36" s="680" t="str">
        <f>IF(OR(TABLERO!BI36=""),"",IF(TABLERO!$F$17="KVA",TABLERO!BI36/TABLERO!$DA36,TABLERO!BI36))</f>
        <v/>
      </c>
      <c r="I36" s="680" t="str">
        <f>IF(OR(TABLERO!BJ36=""),"",IF(TABLERO!$F$17="KVA",TABLERO!BJ36/TABLERO!$DA36,TABLERO!BJ36))</f>
        <v/>
      </c>
      <c r="J36" s="680" t="str">
        <f>IF(OR(TABLERO!BK36=""),"",IF(TABLERO!$F$17="KVA",TABLERO!BK36/TABLERO!$DA36,TABLERO!BK36))</f>
        <v/>
      </c>
      <c r="K36" s="680" t="str">
        <f>IF(OR(TABLERO!BL36=""),"",IF(TABLERO!$F$17="KVA",TABLERO!BL36/TABLERO!$DA36,TABLERO!BL36))</f>
        <v/>
      </c>
      <c r="L36" s="680" t="str">
        <f>IF(OR(TABLERO!BO36=""),"",IF(TABLERO!$F$17="KVA",TABLERO!BO36/TABLERO!$DA36,TABLERO!BO36))</f>
        <v/>
      </c>
      <c r="M36" s="680" t="str">
        <f>IF(OR(TABLERO!BP36=""),"",IF(TABLERO!$F$17="KVA",TABLERO!BP36/TABLERO!$DA36,TABLERO!BP36))</f>
        <v/>
      </c>
      <c r="N36" s="680">
        <f>IF(TABLERO!BQ36="","",IF(TABLERO!$F$17="KVA",TABLERO!BQ36/TABLERO!$F$14,TABLERO!BQ36))</f>
        <v>5.7204179999999996</v>
      </c>
      <c r="O36" s="680">
        <f>IF(TABLERO!BS36=0,"",TABLERO!BS36)</f>
        <v>30</v>
      </c>
      <c r="P36" s="681">
        <f>IF(TABLERO!BQ36="","",IF(TABLERO!$F$17="KVA",TABLERO!BR36/TABLERO!$F$14,TABLERO!BR36))</f>
        <v>5.7204179999999996</v>
      </c>
      <c r="Q36" s="682" t="str">
        <f>IF(TABLERO!H36="TB",IF(SUM(D36:N36)&lt;&gt;0,"",TABLERO!BU36),"")</f>
        <v/>
      </c>
    </row>
    <row r="37" spans="1:17">
      <c r="A37" s="678" t="str">
        <f>RESUMEN!A37</f>
        <v>19,21,23</v>
      </c>
      <c r="B37" s="679" t="str">
        <f>IF('CUADRO (1)'!AI37="","",TABLERO!H37)</f>
        <v>M</v>
      </c>
      <c r="C37" s="679" t="str">
        <f>IF('CUADRO (1)'!AI37="","",TABLERO!W37)</f>
        <v>SI</v>
      </c>
      <c r="D37" s="680" t="str">
        <f>IF(OR(TABLERO!BC37=""),"",IF(TABLERO!$F$17="KVA",TABLERO!BC37/TABLERO!$DA37,TABLERO!BC37))</f>
        <v/>
      </c>
      <c r="E37" s="680" t="str">
        <f>IF(OR(TABLERO!BD37=""),"",IF(TABLERO!$F$17="KVA",TABLERO!BD37/TABLERO!$DA37,TABLERO!BD37))</f>
        <v/>
      </c>
      <c r="F37" s="680" t="str">
        <f>IF(OR(TABLERO!BE37=""),"",IF(TABLERO!$F$17="KVA",TABLERO!BE37/TABLERO!$DA37,TABLERO!BE37))</f>
        <v/>
      </c>
      <c r="G37" s="680" t="str">
        <f>IF(OR(TABLERO!BH37=""),"",IF(TABLERO!$F$17="KVA",TABLERO!BH37/TABLERO!$DA37,TABLERO!BH37))</f>
        <v/>
      </c>
      <c r="H37" s="680" t="str">
        <f>IF(OR(TABLERO!BI37=""),"",IF(TABLERO!$F$17="KVA",TABLERO!BI37/TABLERO!$DA37,TABLERO!BI37))</f>
        <v/>
      </c>
      <c r="I37" s="680" t="str">
        <f>IF(OR(TABLERO!BJ37=""),"",IF(TABLERO!$F$17="KVA",TABLERO!BJ37/TABLERO!$DA37,TABLERO!BJ37))</f>
        <v/>
      </c>
      <c r="J37" s="680" t="str">
        <f>IF(OR(TABLERO!BK37=""),"",IF(TABLERO!$F$17="KVA",TABLERO!BK37/TABLERO!$DA37,TABLERO!BK37))</f>
        <v/>
      </c>
      <c r="K37" s="680" t="str">
        <f>IF(OR(TABLERO!BL37=""),"",IF(TABLERO!$F$17="KVA",TABLERO!BL37/TABLERO!$DA37,TABLERO!BL37))</f>
        <v/>
      </c>
      <c r="L37" s="680" t="str">
        <f>IF(OR(TABLERO!BO37=""),"",IF(TABLERO!$F$17="KVA",TABLERO!BO37/TABLERO!$DA37,TABLERO!BO37))</f>
        <v/>
      </c>
      <c r="M37" s="680" t="str">
        <f>IF(OR(TABLERO!BP37=""),"",IF(TABLERO!$F$17="KVA",TABLERO!BP37/TABLERO!$DA37,TABLERO!BP37))</f>
        <v/>
      </c>
      <c r="N37" s="680">
        <f>IF(TABLERO!BQ37="","",IF(TABLERO!$F$17="KVA",TABLERO!BQ37/TABLERO!$F$14,TABLERO!BQ37))</f>
        <v>5.7204179999999996</v>
      </c>
      <c r="O37" s="680">
        <f>IF(TABLERO!BS37=0,"",TABLERO!BS37)</f>
        <v>30</v>
      </c>
      <c r="P37" s="681">
        <f>IF(TABLERO!BQ37="","",IF(TABLERO!$F$17="KVA",TABLERO!BR37/TABLERO!$F$14,TABLERO!BR37))</f>
        <v>5.7204179999999996</v>
      </c>
      <c r="Q37" s="682" t="str">
        <f>IF(TABLERO!H37="TB",IF(SUM(D37:N37)&lt;&gt;0,"",TABLERO!BU37),"")</f>
        <v/>
      </c>
    </row>
    <row r="38" spans="1:17">
      <c r="A38" s="678" t="str">
        <f>RESUMEN!A38</f>
        <v>24,26,28</v>
      </c>
      <c r="B38" s="679" t="str">
        <f>IF('CUADRO (1)'!AI38="","",TABLERO!H38)</f>
        <v>M</v>
      </c>
      <c r="C38" s="679" t="str">
        <f>IF('CUADRO (1)'!AI38="","",TABLERO!W38)</f>
        <v>SI</v>
      </c>
      <c r="D38" s="680" t="str">
        <f>IF(OR(TABLERO!BC38=""),"",IF(TABLERO!$F$17="KVA",TABLERO!BC38/TABLERO!$DA38,TABLERO!BC38))</f>
        <v/>
      </c>
      <c r="E38" s="680" t="str">
        <f>IF(OR(TABLERO!BD38=""),"",IF(TABLERO!$F$17="KVA",TABLERO!BD38/TABLERO!$DA38,TABLERO!BD38))</f>
        <v/>
      </c>
      <c r="F38" s="680" t="str">
        <f>IF(OR(TABLERO!BE38=""),"",IF(TABLERO!$F$17="KVA",TABLERO!BE38/TABLERO!$DA38,TABLERO!BE38))</f>
        <v/>
      </c>
      <c r="G38" s="680" t="str">
        <f>IF(OR(TABLERO!BH38=""),"",IF(TABLERO!$F$17="KVA",TABLERO!BH38/TABLERO!$DA38,TABLERO!BH38))</f>
        <v/>
      </c>
      <c r="H38" s="680" t="str">
        <f>IF(OR(TABLERO!BI38=""),"",IF(TABLERO!$F$17="KVA",TABLERO!BI38/TABLERO!$DA38,TABLERO!BI38))</f>
        <v/>
      </c>
      <c r="I38" s="680" t="str">
        <f>IF(OR(TABLERO!BJ38=""),"",IF(TABLERO!$F$17="KVA",TABLERO!BJ38/TABLERO!$DA38,TABLERO!BJ38))</f>
        <v/>
      </c>
      <c r="J38" s="680" t="str">
        <f>IF(OR(TABLERO!BK38=""),"",IF(TABLERO!$F$17="KVA",TABLERO!BK38/TABLERO!$DA38,TABLERO!BK38))</f>
        <v/>
      </c>
      <c r="K38" s="680" t="str">
        <f>IF(OR(TABLERO!BL38=""),"",IF(TABLERO!$F$17="KVA",TABLERO!BL38/TABLERO!$DA38,TABLERO!BL38))</f>
        <v/>
      </c>
      <c r="L38" s="680" t="str">
        <f>IF(OR(TABLERO!BO38=""),"",IF(TABLERO!$F$17="KVA",TABLERO!BO38/TABLERO!$DA38,TABLERO!BO38))</f>
        <v/>
      </c>
      <c r="M38" s="680" t="str">
        <f>IF(OR(TABLERO!BP38=""),"",IF(TABLERO!$F$17="KVA",TABLERO!BP38/TABLERO!$DA38,TABLERO!BP38))</f>
        <v/>
      </c>
      <c r="N38" s="680">
        <f>IF(TABLERO!BQ38="","",IF(TABLERO!$F$17="KVA",TABLERO!BQ38/TABLERO!$F$14,TABLERO!BQ38))</f>
        <v>5.7204179999999996</v>
      </c>
      <c r="O38" s="680">
        <f>IF(TABLERO!BS38=0,"",TABLERO!BS38)</f>
        <v>30</v>
      </c>
      <c r="P38" s="681">
        <f>IF(TABLERO!BQ38="","",IF(TABLERO!$F$17="KVA",TABLERO!BR38/TABLERO!$F$14,TABLERO!BR38))</f>
        <v>5.7204179999999996</v>
      </c>
      <c r="Q38" s="682" t="str">
        <f>IF(TABLERO!H38="TB",IF(SUM(D38:N38)&lt;&gt;0,"",TABLERO!BU38),"")</f>
        <v/>
      </c>
    </row>
    <row r="39" spans="1:17">
      <c r="A39" s="678" t="str">
        <f>RESUMEN!A39</f>
        <v>25,27,29</v>
      </c>
      <c r="B39" s="679" t="str">
        <f>IF('CUADRO (1)'!AI39="","",TABLERO!H39)</f>
        <v>R</v>
      </c>
      <c r="C39" s="679" t="str">
        <f>IF('CUADRO (1)'!AI39="","",TABLERO!W39)</f>
        <v>SI</v>
      </c>
      <c r="D39" s="680" t="str">
        <f>IF(OR(TABLERO!BC39=""),"",IF(TABLERO!$F$17="KVA",TABLERO!BC39/TABLERO!$DA39,TABLERO!BC39))</f>
        <v/>
      </c>
      <c r="E39" s="680" t="str">
        <f>IF(OR(TABLERO!BD39=""),"",IF(TABLERO!$F$17="KVA",TABLERO!BD39/TABLERO!$DA39,TABLERO!BD39))</f>
        <v/>
      </c>
      <c r="F39" s="680" t="str">
        <f>IF(OR(TABLERO!BE39=""),"",IF(TABLERO!$F$17="KVA",TABLERO!BE39/TABLERO!$DA39,TABLERO!BE39))</f>
        <v/>
      </c>
      <c r="G39" s="680" t="str">
        <f>IF(OR(TABLERO!BH39=""),"",IF(TABLERO!$F$17="KVA",TABLERO!BH39/TABLERO!$DA39,TABLERO!BH39))</f>
        <v/>
      </c>
      <c r="H39" s="680" t="str">
        <f>IF(OR(TABLERO!BI39=""),"",IF(TABLERO!$F$17="KVA",TABLERO!BI39/TABLERO!$DA39,TABLERO!BI39))</f>
        <v/>
      </c>
      <c r="I39" s="680" t="str">
        <f>IF(OR(TABLERO!BJ39=""),"",IF(TABLERO!$F$17="KVA",TABLERO!BJ39/TABLERO!$DA39,TABLERO!BJ39))</f>
        <v/>
      </c>
      <c r="J39" s="680">
        <f>IF(OR(TABLERO!BK39=""),"",IF(TABLERO!$F$17="KVA",TABLERO!BK39/TABLERO!$DA39,TABLERO!BK39))</f>
        <v>2.5</v>
      </c>
      <c r="K39" s="680" t="str">
        <f>IF(OR(TABLERO!BL39=""),"",IF(TABLERO!$F$17="KVA",TABLERO!BL39/TABLERO!$DA39,TABLERO!BL39))</f>
        <v/>
      </c>
      <c r="L39" s="680" t="str">
        <f>IF(OR(TABLERO!BO39=""),"",IF(TABLERO!$F$17="KVA",TABLERO!BO39/TABLERO!$DA39,TABLERO!BO39))</f>
        <v/>
      </c>
      <c r="M39" s="680" t="str">
        <f>IF(OR(TABLERO!BP39=""),"",IF(TABLERO!$F$17="KVA",TABLERO!BP39/TABLERO!$DA39,TABLERO!BP39))</f>
        <v/>
      </c>
      <c r="N39" s="680" t="str">
        <f>IF(TABLERO!BQ39="","",IF(TABLERO!$F$17="KVA",TABLERO!BQ39/TABLERO!$F$14,TABLERO!BQ39))</f>
        <v/>
      </c>
      <c r="O39" s="680" t="str">
        <f>IF(TABLERO!BS39=0,"",TABLERO!BS39)</f>
        <v/>
      </c>
      <c r="P39" s="681" t="str">
        <f>IF(TABLERO!BQ39="","",IF(TABLERO!$F$17="KVA",TABLERO!BR39/TABLERO!$F$14,TABLERO!BR39))</f>
        <v/>
      </c>
      <c r="Q39" s="682" t="str">
        <f>IF(TABLERO!H39="TB",IF(SUM(D39:N39)&lt;&gt;0,"",TABLERO!BU39),"")</f>
        <v/>
      </c>
    </row>
    <row r="40" spans="1:17">
      <c r="A40" s="678" t="str">
        <f>RESUMEN!A40</f>
        <v/>
      </c>
      <c r="B40" s="679" t="str">
        <f>IF('CUADRO (1)'!AI40="","",TABLERO!H40)</f>
        <v/>
      </c>
      <c r="C40" s="679" t="str">
        <f>IF('CUADRO (1)'!AI40="","",TABLERO!W40)</f>
        <v/>
      </c>
      <c r="D40" s="680" t="str">
        <f>IF(OR(TABLERO!BC40=""),"",IF(TABLERO!$F$17="KVA",TABLERO!BC40/TABLERO!$DA40,TABLERO!BC40))</f>
        <v/>
      </c>
      <c r="E40" s="680" t="str">
        <f>IF(OR(TABLERO!BD40=""),"",IF(TABLERO!$F$17="KVA",TABLERO!BD40/TABLERO!$DA40,TABLERO!BD40))</f>
        <v/>
      </c>
      <c r="F40" s="680" t="str">
        <f>IF(OR(TABLERO!BE40=""),"",IF(TABLERO!$F$17="KVA",TABLERO!BE40/TABLERO!$DA40,TABLERO!BE40))</f>
        <v/>
      </c>
      <c r="G40" s="680" t="str">
        <f>IF(OR(TABLERO!BH40=""),"",IF(TABLERO!$F$17="KVA",TABLERO!BH40/TABLERO!$DA40,TABLERO!BH40))</f>
        <v/>
      </c>
      <c r="H40" s="680" t="str">
        <f>IF(OR(TABLERO!BI40=""),"",IF(TABLERO!$F$17="KVA",TABLERO!BI40/TABLERO!$DA40,TABLERO!BI40))</f>
        <v/>
      </c>
      <c r="I40" s="680" t="str">
        <f>IF(OR(TABLERO!BJ40=""),"",IF(TABLERO!$F$17="KVA",TABLERO!BJ40/TABLERO!$DA40,TABLERO!BJ40))</f>
        <v/>
      </c>
      <c r="J40" s="680" t="str">
        <f>IF(OR(TABLERO!BK40=""),"",IF(TABLERO!$F$17="KVA",TABLERO!BK40/TABLERO!$DA40,TABLERO!BK40))</f>
        <v/>
      </c>
      <c r="K40" s="680" t="str">
        <f>IF(OR(TABLERO!BL40=""),"",IF(TABLERO!$F$17="KVA",TABLERO!BL40/TABLERO!$DA40,TABLERO!BL40))</f>
        <v/>
      </c>
      <c r="L40" s="680" t="str">
        <f>IF(OR(TABLERO!BO40=""),"",IF(TABLERO!$F$17="KVA",TABLERO!BO40/TABLERO!$DA40,TABLERO!BO40))</f>
        <v/>
      </c>
      <c r="M40" s="680" t="str">
        <f>IF(OR(TABLERO!BP40=""),"",IF(TABLERO!$F$17="KVA",TABLERO!BP40/TABLERO!$DA40,TABLERO!BP40))</f>
        <v/>
      </c>
      <c r="N40" s="680" t="str">
        <f>IF(TABLERO!BQ40="","",IF(TABLERO!$F$17="KVA",TABLERO!BQ40/TABLERO!$F$14,TABLERO!BQ40))</f>
        <v/>
      </c>
      <c r="O40" s="680" t="str">
        <f>IF(TABLERO!BS40=0,"",TABLERO!BS40)</f>
        <v/>
      </c>
      <c r="P40" s="681" t="str">
        <f>IF(TABLERO!BQ40="","",IF(TABLERO!$F$17="KVA",TABLERO!BR40/TABLERO!$F$14,TABLERO!BR40))</f>
        <v/>
      </c>
      <c r="Q40" s="682" t="str">
        <f>IF(TABLERO!H40="TB",IF(SUM(D40:N40)&lt;&gt;0,"",TABLERO!BU40),"")</f>
        <v/>
      </c>
    </row>
    <row r="41" spans="1:17">
      <c r="A41" s="678" t="str">
        <f>RESUMEN!A41</f>
        <v/>
      </c>
      <c r="B41" s="679" t="str">
        <f>IF('CUADRO (1)'!AI41="","",TABLERO!H41)</f>
        <v/>
      </c>
      <c r="C41" s="679" t="str">
        <f>IF('CUADRO (1)'!AI41="","",TABLERO!W41)</f>
        <v/>
      </c>
      <c r="D41" s="680" t="str">
        <f>IF(OR(TABLERO!BC41=""),"",IF(TABLERO!$F$17="KVA",TABLERO!BC41/TABLERO!$DA41,TABLERO!BC41))</f>
        <v/>
      </c>
      <c r="E41" s="680" t="str">
        <f>IF(OR(TABLERO!BD41=""),"",IF(TABLERO!$F$17="KVA",TABLERO!BD41/TABLERO!$DA41,TABLERO!BD41))</f>
        <v/>
      </c>
      <c r="F41" s="680" t="str">
        <f>IF(OR(TABLERO!BE41=""),"",IF(TABLERO!$F$17="KVA",TABLERO!BE41/TABLERO!$DA41,TABLERO!BE41))</f>
        <v/>
      </c>
      <c r="G41" s="680" t="str">
        <f>IF(OR(TABLERO!BH41=""),"",IF(TABLERO!$F$17="KVA",TABLERO!BH41/TABLERO!$DA41,TABLERO!BH41))</f>
        <v/>
      </c>
      <c r="H41" s="680" t="str">
        <f>IF(OR(TABLERO!BI41=""),"",IF(TABLERO!$F$17="KVA",TABLERO!BI41/TABLERO!$DA41,TABLERO!BI41))</f>
        <v/>
      </c>
      <c r="I41" s="680" t="str">
        <f>IF(OR(TABLERO!BJ41=""),"",IF(TABLERO!$F$17="KVA",TABLERO!BJ41/TABLERO!$DA41,TABLERO!BJ41))</f>
        <v/>
      </c>
      <c r="J41" s="680" t="str">
        <f>IF(OR(TABLERO!BK41=""),"",IF(TABLERO!$F$17="KVA",TABLERO!BK41/TABLERO!$DA41,TABLERO!BK41))</f>
        <v/>
      </c>
      <c r="K41" s="680" t="str">
        <f>IF(OR(TABLERO!BL41=""),"",IF(TABLERO!$F$17="KVA",TABLERO!BL41/TABLERO!$DA41,TABLERO!BL41))</f>
        <v/>
      </c>
      <c r="L41" s="680" t="str">
        <f>IF(OR(TABLERO!BO41=""),"",IF(TABLERO!$F$17="KVA",TABLERO!BO41/TABLERO!$DA41,TABLERO!BO41))</f>
        <v/>
      </c>
      <c r="M41" s="680" t="str">
        <f>IF(OR(TABLERO!BP41=""),"",IF(TABLERO!$F$17="KVA",TABLERO!BP41/TABLERO!$DA41,TABLERO!BP41))</f>
        <v/>
      </c>
      <c r="N41" s="680" t="str">
        <f>IF(TABLERO!BQ41="","",IF(TABLERO!$F$17="KVA",TABLERO!BQ41/TABLERO!$F$14,TABLERO!BQ41))</f>
        <v/>
      </c>
      <c r="O41" s="680" t="str">
        <f>IF(TABLERO!BS41=0,"",TABLERO!BS41)</f>
        <v/>
      </c>
      <c r="P41" s="681" t="str">
        <f>IF(TABLERO!BQ41="","",IF(TABLERO!$F$17="KVA",TABLERO!BR41/TABLERO!$F$14,TABLERO!BR41))</f>
        <v/>
      </c>
      <c r="Q41" s="682" t="str">
        <f>IF(TABLERO!H41="TB",IF(SUM(D41:N41)&lt;&gt;0,"",TABLERO!BU41),"")</f>
        <v/>
      </c>
    </row>
    <row r="42" spans="1:17">
      <c r="A42" s="678" t="str">
        <f>RESUMEN!A42</f>
        <v/>
      </c>
      <c r="B42" s="679" t="str">
        <f>IF('CUADRO (1)'!AI42="","",TABLERO!H42)</f>
        <v/>
      </c>
      <c r="C42" s="679" t="str">
        <f>IF('CUADRO (1)'!AI42="","",TABLERO!W42)</f>
        <v/>
      </c>
      <c r="D42" s="680" t="str">
        <f>IF(OR(TABLERO!BC42=""),"",IF(TABLERO!$F$17="KVA",TABLERO!BC42/TABLERO!$DA42,TABLERO!BC42))</f>
        <v/>
      </c>
      <c r="E42" s="680" t="str">
        <f>IF(OR(TABLERO!BD42=""),"",IF(TABLERO!$F$17="KVA",TABLERO!BD42/TABLERO!$DA42,TABLERO!BD42))</f>
        <v/>
      </c>
      <c r="F42" s="680" t="str">
        <f>IF(OR(TABLERO!BE42=""),"",IF(TABLERO!$F$17="KVA",TABLERO!BE42/TABLERO!$DA42,TABLERO!BE42))</f>
        <v/>
      </c>
      <c r="G42" s="680" t="str">
        <f>IF(OR(TABLERO!BH42=""),"",IF(TABLERO!$F$17="KVA",TABLERO!BH42/TABLERO!$DA42,TABLERO!BH42))</f>
        <v/>
      </c>
      <c r="H42" s="680" t="str">
        <f>IF(OR(TABLERO!BI42=""),"",IF(TABLERO!$F$17="KVA",TABLERO!BI42/TABLERO!$DA42,TABLERO!BI42))</f>
        <v/>
      </c>
      <c r="I42" s="680" t="str">
        <f>IF(OR(TABLERO!BJ42=""),"",IF(TABLERO!$F$17="KVA",TABLERO!BJ42/TABLERO!$DA42,TABLERO!BJ42))</f>
        <v/>
      </c>
      <c r="J42" s="680" t="str">
        <f>IF(OR(TABLERO!BK42=""),"",IF(TABLERO!$F$17="KVA",TABLERO!BK42/TABLERO!$DA42,TABLERO!BK42))</f>
        <v/>
      </c>
      <c r="K42" s="680" t="str">
        <f>IF(OR(TABLERO!BL42=""),"",IF(TABLERO!$F$17="KVA",TABLERO!BL42/TABLERO!$DA42,TABLERO!BL42))</f>
        <v/>
      </c>
      <c r="L42" s="680" t="str">
        <f>IF(OR(TABLERO!BO42=""),"",IF(TABLERO!$F$17="KVA",TABLERO!BO42/TABLERO!$DA42,TABLERO!BO42))</f>
        <v/>
      </c>
      <c r="M42" s="680" t="str">
        <f>IF(OR(TABLERO!BP42=""),"",IF(TABLERO!$F$17="KVA",TABLERO!BP42/TABLERO!$DA42,TABLERO!BP42))</f>
        <v/>
      </c>
      <c r="N42" s="680" t="str">
        <f>IF(TABLERO!BQ42="","",IF(TABLERO!$F$17="KVA",TABLERO!BQ42/TABLERO!$F$14,TABLERO!BQ42))</f>
        <v/>
      </c>
      <c r="O42" s="680" t="str">
        <f>IF(TABLERO!BS42=0,"",TABLERO!BS42)</f>
        <v/>
      </c>
      <c r="P42" s="681" t="str">
        <f>IF(TABLERO!BQ42="","",IF(TABLERO!$F$17="KVA",TABLERO!BR42/TABLERO!$F$14,TABLERO!BR42))</f>
        <v/>
      </c>
      <c r="Q42" s="682" t="str">
        <f>IF(TABLERO!H42="TB",IF(SUM(D42:N42)&lt;&gt;0,"",TABLERO!BU42),"")</f>
        <v/>
      </c>
    </row>
    <row r="43" spans="1:17">
      <c r="A43" s="678" t="str">
        <f>RESUMEN!A43</f>
        <v/>
      </c>
      <c r="B43" s="679" t="str">
        <f>IF('CUADRO (1)'!AI43="","",TABLERO!H43)</f>
        <v/>
      </c>
      <c r="C43" s="679" t="str">
        <f>IF('CUADRO (1)'!AI43="","",TABLERO!W43)</f>
        <v/>
      </c>
      <c r="D43" s="680" t="str">
        <f>IF(OR(TABLERO!BC43=""),"",IF(TABLERO!$F$17="KVA",TABLERO!BC43/TABLERO!$DA43,TABLERO!BC43))</f>
        <v/>
      </c>
      <c r="E43" s="680" t="str">
        <f>IF(OR(TABLERO!BD43=""),"",IF(TABLERO!$F$17="KVA",TABLERO!BD43/TABLERO!$DA43,TABLERO!BD43))</f>
        <v/>
      </c>
      <c r="F43" s="680" t="str">
        <f>IF(OR(TABLERO!BE43=""),"",IF(TABLERO!$F$17="KVA",TABLERO!BE43/TABLERO!$DA43,TABLERO!BE43))</f>
        <v/>
      </c>
      <c r="G43" s="680" t="str">
        <f>IF(OR(TABLERO!BH43=""),"",IF(TABLERO!$F$17="KVA",TABLERO!BH43/TABLERO!$DA43,TABLERO!BH43))</f>
        <v/>
      </c>
      <c r="H43" s="680" t="str">
        <f>IF(OR(TABLERO!BI43=""),"",IF(TABLERO!$F$17="KVA",TABLERO!BI43/TABLERO!$DA43,TABLERO!BI43))</f>
        <v/>
      </c>
      <c r="I43" s="680" t="str">
        <f>IF(OR(TABLERO!BJ43=""),"",IF(TABLERO!$F$17="KVA",TABLERO!BJ43/TABLERO!$DA43,TABLERO!BJ43))</f>
        <v/>
      </c>
      <c r="J43" s="680" t="str">
        <f>IF(OR(TABLERO!BK43=""),"",IF(TABLERO!$F$17="KVA",TABLERO!BK43/TABLERO!$DA43,TABLERO!BK43))</f>
        <v/>
      </c>
      <c r="K43" s="680" t="str">
        <f>IF(OR(TABLERO!BL43=""),"",IF(TABLERO!$F$17="KVA",TABLERO!BL43/TABLERO!$DA43,TABLERO!BL43))</f>
        <v/>
      </c>
      <c r="L43" s="680" t="str">
        <f>IF(OR(TABLERO!BO43=""),"",IF(TABLERO!$F$17="KVA",TABLERO!BO43/TABLERO!$DA43,TABLERO!BO43))</f>
        <v/>
      </c>
      <c r="M43" s="680" t="str">
        <f>IF(OR(TABLERO!BP43=""),"",IF(TABLERO!$F$17="KVA",TABLERO!BP43/TABLERO!$DA43,TABLERO!BP43))</f>
        <v/>
      </c>
      <c r="N43" s="680" t="str">
        <f>IF(TABLERO!BQ43="","",IF(TABLERO!$F$17="KVA",TABLERO!BQ43/TABLERO!$F$14,TABLERO!BQ43))</f>
        <v/>
      </c>
      <c r="O43" s="680" t="str">
        <f>IF(TABLERO!BS43=0,"",TABLERO!BS43)</f>
        <v/>
      </c>
      <c r="P43" s="681" t="str">
        <f>IF(TABLERO!BQ43="","",IF(TABLERO!$F$17="KVA",TABLERO!BR43/TABLERO!$F$14,TABLERO!BR43))</f>
        <v/>
      </c>
      <c r="Q43" s="682" t="str">
        <f>IF(TABLERO!H43="TB",IF(SUM(D43:N43)&lt;&gt;0,"",TABLERO!BU43),"")</f>
        <v/>
      </c>
    </row>
    <row r="44" spans="1:17">
      <c r="A44" s="678" t="str">
        <f>RESUMEN!A44</f>
        <v/>
      </c>
      <c r="B44" s="679" t="str">
        <f>IF('CUADRO (1)'!AI44="","",TABLERO!H44)</f>
        <v/>
      </c>
      <c r="C44" s="679" t="str">
        <f>IF('CUADRO (1)'!AI44="","",TABLERO!W44)</f>
        <v/>
      </c>
      <c r="D44" s="680" t="str">
        <f>IF(OR(TABLERO!BC44=""),"",IF(TABLERO!$F$17="KVA",TABLERO!BC44/TABLERO!$DA44,TABLERO!BC44))</f>
        <v/>
      </c>
      <c r="E44" s="680" t="str">
        <f>IF(OR(TABLERO!BD44=""),"",IF(TABLERO!$F$17="KVA",TABLERO!BD44/TABLERO!$DA44,TABLERO!BD44))</f>
        <v/>
      </c>
      <c r="F44" s="680" t="str">
        <f>IF(OR(TABLERO!BE44=""),"",IF(TABLERO!$F$17="KVA",TABLERO!BE44/TABLERO!$DA44,TABLERO!BE44))</f>
        <v/>
      </c>
      <c r="G44" s="680" t="str">
        <f>IF(OR(TABLERO!BH44=""),"",IF(TABLERO!$F$17="KVA",TABLERO!BH44/TABLERO!$DA44,TABLERO!BH44))</f>
        <v/>
      </c>
      <c r="H44" s="680" t="str">
        <f>IF(OR(TABLERO!BI44=""),"",IF(TABLERO!$F$17="KVA",TABLERO!BI44/TABLERO!$DA44,TABLERO!BI44))</f>
        <v/>
      </c>
      <c r="I44" s="680" t="str">
        <f>IF(OR(TABLERO!BJ44=""),"",IF(TABLERO!$F$17="KVA",TABLERO!BJ44/TABLERO!$DA44,TABLERO!BJ44))</f>
        <v/>
      </c>
      <c r="J44" s="680" t="str">
        <f>IF(OR(TABLERO!BK44=""),"",IF(TABLERO!$F$17="KVA",TABLERO!BK44/TABLERO!$DA44,TABLERO!BK44))</f>
        <v/>
      </c>
      <c r="K44" s="680" t="str">
        <f>IF(OR(TABLERO!BL44=""),"",IF(TABLERO!$F$17="KVA",TABLERO!BL44/TABLERO!$DA44,TABLERO!BL44))</f>
        <v/>
      </c>
      <c r="L44" s="680" t="str">
        <f>IF(OR(TABLERO!BO44=""),"",IF(TABLERO!$F$17="KVA",TABLERO!BO44/TABLERO!$DA44,TABLERO!BO44))</f>
        <v/>
      </c>
      <c r="M44" s="680" t="str">
        <f>IF(OR(TABLERO!BP44=""),"",IF(TABLERO!$F$17="KVA",TABLERO!BP44/TABLERO!$DA44,TABLERO!BP44))</f>
        <v/>
      </c>
      <c r="N44" s="680" t="str">
        <f>IF(TABLERO!BQ44="","",IF(TABLERO!$F$17="KVA",TABLERO!BQ44/TABLERO!$F$14,TABLERO!BQ44))</f>
        <v/>
      </c>
      <c r="O44" s="680" t="str">
        <f>IF(TABLERO!BS44=0,"",TABLERO!BS44)</f>
        <v/>
      </c>
      <c r="P44" s="681" t="str">
        <f>IF(TABLERO!BQ44="","",IF(TABLERO!$F$17="KVA",TABLERO!BR44/TABLERO!$F$14,TABLERO!BR44))</f>
        <v/>
      </c>
      <c r="Q44" s="682" t="str">
        <f>IF(TABLERO!H44="TB",IF(SUM(D44:N44)&lt;&gt;0,"",TABLERO!BU44),"")</f>
        <v/>
      </c>
    </row>
    <row r="45" spans="1:17">
      <c r="A45" s="678" t="str">
        <f>RESUMEN!A45</f>
        <v/>
      </c>
      <c r="B45" s="679" t="str">
        <f>IF('CUADRO (1)'!AI45="","",TABLERO!H45)</f>
        <v/>
      </c>
      <c r="C45" s="679" t="str">
        <f>IF('CUADRO (1)'!AI45="","",TABLERO!W45)</f>
        <v/>
      </c>
      <c r="D45" s="680" t="str">
        <f>IF(OR(TABLERO!BC45=""),"",IF(TABLERO!$F$17="KVA",TABLERO!BC45/TABLERO!$DA45,TABLERO!BC45))</f>
        <v/>
      </c>
      <c r="E45" s="680" t="str">
        <f>IF(OR(TABLERO!BD45=""),"",IF(TABLERO!$F$17="KVA",TABLERO!BD45/TABLERO!$DA45,TABLERO!BD45))</f>
        <v/>
      </c>
      <c r="F45" s="680" t="str">
        <f>IF(OR(TABLERO!BE45=""),"",IF(TABLERO!$F$17="KVA",TABLERO!BE45/TABLERO!$DA45,TABLERO!BE45))</f>
        <v/>
      </c>
      <c r="G45" s="680" t="str">
        <f>IF(OR(TABLERO!BH45=""),"",IF(TABLERO!$F$17="KVA",TABLERO!BH45/TABLERO!$DA45,TABLERO!BH45))</f>
        <v/>
      </c>
      <c r="H45" s="680" t="str">
        <f>IF(OR(TABLERO!BI45=""),"",IF(TABLERO!$F$17="KVA",TABLERO!BI45/TABLERO!$DA45,TABLERO!BI45))</f>
        <v/>
      </c>
      <c r="I45" s="680" t="str">
        <f>IF(OR(TABLERO!BJ45=""),"",IF(TABLERO!$F$17="KVA",TABLERO!BJ45/TABLERO!$DA45,TABLERO!BJ45))</f>
        <v/>
      </c>
      <c r="J45" s="680" t="str">
        <f>IF(OR(TABLERO!BK45=""),"",IF(TABLERO!$F$17="KVA",TABLERO!BK45/TABLERO!$DA45,TABLERO!BK45))</f>
        <v/>
      </c>
      <c r="K45" s="680" t="str">
        <f>IF(OR(TABLERO!BL45=""),"",IF(TABLERO!$F$17="KVA",TABLERO!BL45/TABLERO!$DA45,TABLERO!BL45))</f>
        <v/>
      </c>
      <c r="L45" s="680" t="str">
        <f>IF(OR(TABLERO!BO45=""),"",IF(TABLERO!$F$17="KVA",TABLERO!BO45/TABLERO!$DA45,TABLERO!BO45))</f>
        <v/>
      </c>
      <c r="M45" s="680" t="str">
        <f>IF(OR(TABLERO!BP45=""),"",IF(TABLERO!$F$17="KVA",TABLERO!BP45/TABLERO!$DA45,TABLERO!BP45))</f>
        <v/>
      </c>
      <c r="N45" s="680" t="str">
        <f>IF(TABLERO!BQ45="","",IF(TABLERO!$F$17="KVA",TABLERO!BQ45/TABLERO!$F$14,TABLERO!BQ45))</f>
        <v/>
      </c>
      <c r="O45" s="680" t="str">
        <f>IF(TABLERO!BS45=0,"",TABLERO!BS45)</f>
        <v/>
      </c>
      <c r="P45" s="681" t="str">
        <f>IF(TABLERO!BQ45="","",IF(TABLERO!$F$17="KVA",TABLERO!BR45/TABLERO!$F$14,TABLERO!BR45))</f>
        <v/>
      </c>
      <c r="Q45" s="682" t="str">
        <f>IF(TABLERO!H45="TB",IF(SUM(D45:N45)&lt;&gt;0,"",TABLERO!BU45),"")</f>
        <v/>
      </c>
    </row>
    <row r="46" spans="1:17">
      <c r="A46" s="678" t="str">
        <f>RESUMEN!A46</f>
        <v/>
      </c>
      <c r="B46" s="679" t="str">
        <f>IF('CUADRO (1)'!AI46="","",TABLERO!H46)</f>
        <v/>
      </c>
      <c r="C46" s="679" t="str">
        <f>IF('CUADRO (1)'!AI46="","",TABLERO!W46)</f>
        <v/>
      </c>
      <c r="D46" s="680" t="str">
        <f>IF(OR(TABLERO!BC46=""),"",IF(TABLERO!$F$17="KVA",TABLERO!BC46/TABLERO!$DA46,TABLERO!BC46))</f>
        <v/>
      </c>
      <c r="E46" s="680" t="str">
        <f>IF(OR(TABLERO!BD46=""),"",IF(TABLERO!$F$17="KVA",TABLERO!BD46/TABLERO!$DA46,TABLERO!BD46))</f>
        <v/>
      </c>
      <c r="F46" s="680" t="str">
        <f>IF(OR(TABLERO!BE46=""),"",IF(TABLERO!$F$17="KVA",TABLERO!BE46/TABLERO!$DA46,TABLERO!BE46))</f>
        <v/>
      </c>
      <c r="G46" s="680" t="str">
        <f>IF(OR(TABLERO!BH46=""),"",IF(TABLERO!$F$17="KVA",TABLERO!BH46/TABLERO!$DA46,TABLERO!BH46))</f>
        <v/>
      </c>
      <c r="H46" s="680" t="str">
        <f>IF(OR(TABLERO!BI46=""),"",IF(TABLERO!$F$17="KVA",TABLERO!BI46/TABLERO!$DA46,TABLERO!BI46))</f>
        <v/>
      </c>
      <c r="I46" s="680" t="str">
        <f>IF(OR(TABLERO!BJ46=""),"",IF(TABLERO!$F$17="KVA",TABLERO!BJ46/TABLERO!$DA46,TABLERO!BJ46))</f>
        <v/>
      </c>
      <c r="J46" s="680" t="str">
        <f>IF(OR(TABLERO!BK46=""),"",IF(TABLERO!$F$17="KVA",TABLERO!BK46/TABLERO!$DA46,TABLERO!BK46))</f>
        <v/>
      </c>
      <c r="K46" s="680" t="str">
        <f>IF(OR(TABLERO!BL46=""),"",IF(TABLERO!$F$17="KVA",TABLERO!BL46/TABLERO!$DA46,TABLERO!BL46))</f>
        <v/>
      </c>
      <c r="L46" s="680" t="str">
        <f>IF(OR(TABLERO!BO46=""),"",IF(TABLERO!$F$17="KVA",TABLERO!BO46/TABLERO!$DA46,TABLERO!BO46))</f>
        <v/>
      </c>
      <c r="M46" s="680" t="str">
        <f>IF(OR(TABLERO!BP46=""),"",IF(TABLERO!$F$17="KVA",TABLERO!BP46/TABLERO!$DA46,TABLERO!BP46))</f>
        <v/>
      </c>
      <c r="N46" s="680" t="str">
        <f>IF(TABLERO!BQ46="","",IF(TABLERO!$F$17="KVA",TABLERO!BQ46/TABLERO!$F$14,TABLERO!BQ46))</f>
        <v/>
      </c>
      <c r="O46" s="680" t="str">
        <f>IF(TABLERO!BS46=0,"",TABLERO!BS46)</f>
        <v/>
      </c>
      <c r="P46" s="681" t="str">
        <f>IF(TABLERO!BQ46="","",IF(TABLERO!$F$17="KVA",TABLERO!BR46/TABLERO!$F$14,TABLERO!BR46))</f>
        <v/>
      </c>
      <c r="Q46" s="682" t="str">
        <f>IF(TABLERO!H46="TB",IF(SUM(D46:N46)&lt;&gt;0,"",TABLERO!BU46),"")</f>
        <v/>
      </c>
    </row>
    <row r="47" spans="1:17">
      <c r="A47" s="678" t="str">
        <f>RESUMEN!A47</f>
        <v/>
      </c>
      <c r="B47" s="679" t="str">
        <f>IF('CUADRO (1)'!AI47="","",TABLERO!H47)</f>
        <v/>
      </c>
      <c r="C47" s="679" t="str">
        <f>IF('CUADRO (1)'!AI47="","",TABLERO!W47)</f>
        <v/>
      </c>
      <c r="D47" s="680" t="str">
        <f>IF(OR(TABLERO!BC47=""),"",IF(TABLERO!$F$17="KVA",TABLERO!BC47/TABLERO!$DA47,TABLERO!BC47))</f>
        <v/>
      </c>
      <c r="E47" s="680" t="str">
        <f>IF(OR(TABLERO!BD47=""),"",IF(TABLERO!$F$17="KVA",TABLERO!BD47/TABLERO!$DA47,TABLERO!BD47))</f>
        <v/>
      </c>
      <c r="F47" s="680" t="str">
        <f>IF(OR(TABLERO!BE47=""),"",IF(TABLERO!$F$17="KVA",TABLERO!BE47/TABLERO!$DA47,TABLERO!BE47))</f>
        <v/>
      </c>
      <c r="G47" s="680" t="str">
        <f>IF(OR(TABLERO!BH47=""),"",IF(TABLERO!$F$17="KVA",TABLERO!BH47/TABLERO!$DA47,TABLERO!BH47))</f>
        <v/>
      </c>
      <c r="H47" s="680" t="str">
        <f>IF(OR(TABLERO!BI47=""),"",IF(TABLERO!$F$17="KVA",TABLERO!BI47/TABLERO!$DA47,TABLERO!BI47))</f>
        <v/>
      </c>
      <c r="I47" s="680" t="str">
        <f>IF(OR(TABLERO!BJ47=""),"",IF(TABLERO!$F$17="KVA",TABLERO!BJ47/TABLERO!$DA47,TABLERO!BJ47))</f>
        <v/>
      </c>
      <c r="J47" s="680" t="str">
        <f>IF(OR(TABLERO!BK47=""),"",IF(TABLERO!$F$17="KVA",TABLERO!BK47/TABLERO!$DA47,TABLERO!BK47))</f>
        <v/>
      </c>
      <c r="K47" s="680" t="str">
        <f>IF(OR(TABLERO!BL47=""),"",IF(TABLERO!$F$17="KVA",TABLERO!BL47/TABLERO!$DA47,TABLERO!BL47))</f>
        <v/>
      </c>
      <c r="L47" s="680" t="str">
        <f>IF(OR(TABLERO!BO47=""),"",IF(TABLERO!$F$17="KVA",TABLERO!BO47/TABLERO!$DA47,TABLERO!BO47))</f>
        <v/>
      </c>
      <c r="M47" s="680" t="str">
        <f>IF(OR(TABLERO!BP47=""),"",IF(TABLERO!$F$17="KVA",TABLERO!BP47/TABLERO!$DA47,TABLERO!BP47))</f>
        <v/>
      </c>
      <c r="N47" s="680" t="str">
        <f>IF(TABLERO!BQ47="","",IF(TABLERO!$F$17="KVA",TABLERO!BQ47/TABLERO!$F$14,TABLERO!BQ47))</f>
        <v/>
      </c>
      <c r="O47" s="680" t="str">
        <f>IF(TABLERO!BS47=0,"",TABLERO!BS47)</f>
        <v/>
      </c>
      <c r="P47" s="681" t="str">
        <f>IF(TABLERO!BQ47="","",IF(TABLERO!$F$17="KVA",TABLERO!BR47/TABLERO!$F$14,TABLERO!BR47))</f>
        <v/>
      </c>
      <c r="Q47" s="682" t="str">
        <f>IF(TABLERO!H47="TB",IF(SUM(D47:N47)&lt;&gt;0,"",TABLERO!BU47),"")</f>
        <v/>
      </c>
    </row>
    <row r="48" spans="1:17">
      <c r="A48" s="678" t="str">
        <f>RESUMEN!A48</f>
        <v/>
      </c>
      <c r="B48" s="679" t="str">
        <f>IF('CUADRO (1)'!AI48="","",TABLERO!H48)</f>
        <v/>
      </c>
      <c r="C48" s="679" t="str">
        <f>IF('CUADRO (1)'!AI48="","",TABLERO!W48)</f>
        <v/>
      </c>
      <c r="D48" s="680" t="str">
        <f>IF(OR(TABLERO!BC48=""),"",IF(TABLERO!$F$17="KVA",TABLERO!BC48/TABLERO!$DA48,TABLERO!BC48))</f>
        <v/>
      </c>
      <c r="E48" s="680" t="str">
        <f>IF(OR(TABLERO!BD48=""),"",IF(TABLERO!$F$17="KVA",TABLERO!BD48/TABLERO!$DA48,TABLERO!BD48))</f>
        <v/>
      </c>
      <c r="F48" s="680" t="str">
        <f>IF(OR(TABLERO!BE48=""),"",IF(TABLERO!$F$17="KVA",TABLERO!BE48/TABLERO!$DA48,TABLERO!BE48))</f>
        <v/>
      </c>
      <c r="G48" s="680" t="str">
        <f>IF(OR(TABLERO!BH48=""),"",IF(TABLERO!$F$17="KVA",TABLERO!BH48/TABLERO!$DA48,TABLERO!BH48))</f>
        <v/>
      </c>
      <c r="H48" s="680" t="str">
        <f>IF(OR(TABLERO!BI48=""),"",IF(TABLERO!$F$17="KVA",TABLERO!BI48/TABLERO!$DA48,TABLERO!BI48))</f>
        <v/>
      </c>
      <c r="I48" s="680" t="str">
        <f>IF(OR(TABLERO!BJ48=""),"",IF(TABLERO!$F$17="KVA",TABLERO!BJ48/TABLERO!$DA48,TABLERO!BJ48))</f>
        <v/>
      </c>
      <c r="J48" s="680" t="str">
        <f>IF(OR(TABLERO!BK48=""),"",IF(TABLERO!$F$17="KVA",TABLERO!BK48/TABLERO!$DA48,TABLERO!BK48))</f>
        <v/>
      </c>
      <c r="K48" s="680" t="str">
        <f>IF(OR(TABLERO!BL48=""),"",IF(TABLERO!$F$17="KVA",TABLERO!BL48/TABLERO!$DA48,TABLERO!BL48))</f>
        <v/>
      </c>
      <c r="L48" s="680" t="str">
        <f>IF(OR(TABLERO!BO48=""),"",IF(TABLERO!$F$17="KVA",TABLERO!BO48/TABLERO!$DA48,TABLERO!BO48))</f>
        <v/>
      </c>
      <c r="M48" s="680" t="str">
        <f>IF(OR(TABLERO!BP48=""),"",IF(TABLERO!$F$17="KVA",TABLERO!BP48/TABLERO!$DA48,TABLERO!BP48))</f>
        <v/>
      </c>
      <c r="N48" s="680" t="str">
        <f>IF(TABLERO!BQ48="","",IF(TABLERO!$F$17="KVA",TABLERO!BQ48/TABLERO!$F$14,TABLERO!BQ48))</f>
        <v/>
      </c>
      <c r="O48" s="680" t="str">
        <f>IF(TABLERO!BS48=0,"",TABLERO!BS48)</f>
        <v/>
      </c>
      <c r="P48" s="681" t="str">
        <f>IF(TABLERO!BQ48="","",IF(TABLERO!$F$17="KVA",TABLERO!BR48/TABLERO!$F$14,TABLERO!BR48))</f>
        <v/>
      </c>
      <c r="Q48" s="682" t="str">
        <f>IF(TABLERO!H48="TB",IF(SUM(D48:N48)&lt;&gt;0,"",TABLERO!BU48),"")</f>
        <v/>
      </c>
    </row>
    <row r="49" spans="1:17">
      <c r="A49" s="678" t="str">
        <f>RESUMEN!A49</f>
        <v/>
      </c>
      <c r="B49" s="679" t="str">
        <f>IF('CUADRO (1)'!AI49="","",TABLERO!H49)</f>
        <v/>
      </c>
      <c r="C49" s="679" t="str">
        <f>IF('CUADRO (1)'!AI49="","",TABLERO!W49)</f>
        <v/>
      </c>
      <c r="D49" s="680" t="str">
        <f>IF(OR(TABLERO!BC49=""),"",IF(TABLERO!$F$17="KVA",TABLERO!BC49/TABLERO!$DA49,TABLERO!BC49))</f>
        <v/>
      </c>
      <c r="E49" s="680" t="str">
        <f>IF(OR(TABLERO!BD49=""),"",IF(TABLERO!$F$17="KVA",TABLERO!BD49/TABLERO!$DA49,TABLERO!BD49))</f>
        <v/>
      </c>
      <c r="F49" s="680" t="str">
        <f>IF(OR(TABLERO!BE49=""),"",IF(TABLERO!$F$17="KVA",TABLERO!BE49/TABLERO!$DA49,TABLERO!BE49))</f>
        <v/>
      </c>
      <c r="G49" s="680" t="str">
        <f>IF(OR(TABLERO!BH49=""),"",IF(TABLERO!$F$17="KVA",TABLERO!BH49/TABLERO!$DA49,TABLERO!BH49))</f>
        <v/>
      </c>
      <c r="H49" s="680" t="str">
        <f>IF(OR(TABLERO!BI49=""),"",IF(TABLERO!$F$17="KVA",TABLERO!BI49/TABLERO!$DA49,TABLERO!BI49))</f>
        <v/>
      </c>
      <c r="I49" s="680" t="str">
        <f>IF(OR(TABLERO!BJ49=""),"",IF(TABLERO!$F$17="KVA",TABLERO!BJ49/TABLERO!$DA49,TABLERO!BJ49))</f>
        <v/>
      </c>
      <c r="J49" s="680" t="str">
        <f>IF(OR(TABLERO!BK49=""),"",IF(TABLERO!$F$17="KVA",TABLERO!BK49/TABLERO!$DA49,TABLERO!BK49))</f>
        <v/>
      </c>
      <c r="K49" s="680" t="str">
        <f>IF(OR(TABLERO!BL49=""),"",IF(TABLERO!$F$17="KVA",TABLERO!BL49/TABLERO!$DA49,TABLERO!BL49))</f>
        <v/>
      </c>
      <c r="L49" s="680" t="str">
        <f>IF(OR(TABLERO!BO49=""),"",IF(TABLERO!$F$17="KVA",TABLERO!BO49/TABLERO!$DA49,TABLERO!BO49))</f>
        <v/>
      </c>
      <c r="M49" s="680" t="str">
        <f>IF(OR(TABLERO!BP49=""),"",IF(TABLERO!$F$17="KVA",TABLERO!BP49/TABLERO!$DA49,TABLERO!BP49))</f>
        <v/>
      </c>
      <c r="N49" s="680" t="str">
        <f>IF(TABLERO!BQ49="","",IF(TABLERO!$F$17="KVA",TABLERO!BQ49/TABLERO!$F$14,TABLERO!BQ49))</f>
        <v/>
      </c>
      <c r="O49" s="680" t="str">
        <f>IF(TABLERO!BS49=0,"",TABLERO!BS49)</f>
        <v/>
      </c>
      <c r="P49" s="681" t="str">
        <f>IF(TABLERO!BQ49="","",IF(TABLERO!$F$17="KVA",TABLERO!BR49/TABLERO!$F$14,TABLERO!BR49))</f>
        <v/>
      </c>
      <c r="Q49" s="682" t="str">
        <f>IF(TABLERO!H49="TB",IF(SUM(D49:N49)&lt;&gt;0,"",TABLERO!BU49),"")</f>
        <v/>
      </c>
    </row>
    <row r="50" spans="1:17">
      <c r="A50" s="678" t="str">
        <f>RESUMEN!A50</f>
        <v/>
      </c>
      <c r="B50" s="679" t="str">
        <f>IF('CUADRO (1)'!AI50="","",TABLERO!H50)</f>
        <v/>
      </c>
      <c r="C50" s="679" t="str">
        <f>IF('CUADRO (1)'!AI50="","",TABLERO!W50)</f>
        <v/>
      </c>
      <c r="D50" s="680" t="str">
        <f>IF(OR(TABLERO!BC50=""),"",IF(TABLERO!$F$17="KVA",TABLERO!BC50/TABLERO!$DA50,TABLERO!BC50))</f>
        <v/>
      </c>
      <c r="E50" s="680" t="str">
        <f>IF(OR(TABLERO!BD50=""),"",IF(TABLERO!$F$17="KVA",TABLERO!BD50/TABLERO!$DA50,TABLERO!BD50))</f>
        <v/>
      </c>
      <c r="F50" s="680" t="str">
        <f>IF(OR(TABLERO!BE50=""),"",IF(TABLERO!$F$17="KVA",TABLERO!BE50/TABLERO!$DA50,TABLERO!BE50))</f>
        <v/>
      </c>
      <c r="G50" s="680" t="str">
        <f>IF(OR(TABLERO!BH50=""),"",IF(TABLERO!$F$17="KVA",TABLERO!BH50/TABLERO!$DA50,TABLERO!BH50))</f>
        <v/>
      </c>
      <c r="H50" s="680" t="str">
        <f>IF(OR(TABLERO!BI50=""),"",IF(TABLERO!$F$17="KVA",TABLERO!BI50/TABLERO!$DA50,TABLERO!BI50))</f>
        <v/>
      </c>
      <c r="I50" s="680" t="str">
        <f>IF(OR(TABLERO!BJ50=""),"",IF(TABLERO!$F$17="KVA",TABLERO!BJ50/TABLERO!$DA50,TABLERO!BJ50))</f>
        <v/>
      </c>
      <c r="J50" s="680" t="str">
        <f>IF(OR(TABLERO!BK50=""),"",IF(TABLERO!$F$17="KVA",TABLERO!BK50/TABLERO!$DA50,TABLERO!BK50))</f>
        <v/>
      </c>
      <c r="K50" s="680" t="str">
        <f>IF(OR(TABLERO!BL50=""),"",IF(TABLERO!$F$17="KVA",TABLERO!BL50/TABLERO!$DA50,TABLERO!BL50))</f>
        <v/>
      </c>
      <c r="L50" s="680" t="str">
        <f>IF(OR(TABLERO!BO50=""),"",IF(TABLERO!$F$17="KVA",TABLERO!BO50/TABLERO!$DA50,TABLERO!BO50))</f>
        <v/>
      </c>
      <c r="M50" s="680" t="str">
        <f>IF(OR(TABLERO!BP50=""),"",IF(TABLERO!$F$17="KVA",TABLERO!BP50/TABLERO!$DA50,TABLERO!BP50))</f>
        <v/>
      </c>
      <c r="N50" s="680" t="str">
        <f>IF(TABLERO!BQ50="","",IF(TABLERO!$F$17="KVA",TABLERO!BQ50/TABLERO!$F$14,TABLERO!BQ50))</f>
        <v/>
      </c>
      <c r="O50" s="680" t="str">
        <f>IF(TABLERO!BS50=0,"",TABLERO!BS50)</f>
        <v/>
      </c>
      <c r="P50" s="681" t="str">
        <f>IF(TABLERO!BQ50="","",IF(TABLERO!$F$17="KVA",TABLERO!BR50/TABLERO!$F$14,TABLERO!BR50))</f>
        <v/>
      </c>
      <c r="Q50" s="682" t="str">
        <f>IF(TABLERO!H50="TB",IF(SUM(D50:N50)&lt;&gt;0,"",TABLERO!BU50),"")</f>
        <v/>
      </c>
    </row>
    <row r="51" spans="1:17">
      <c r="A51" s="678" t="str">
        <f>RESUMEN!A51</f>
        <v/>
      </c>
      <c r="B51" s="679" t="str">
        <f>IF('CUADRO (1)'!AI51="","",TABLERO!H51)</f>
        <v/>
      </c>
      <c r="C51" s="679" t="str">
        <f>IF('CUADRO (1)'!AI51="","",TABLERO!W51)</f>
        <v/>
      </c>
      <c r="D51" s="680" t="str">
        <f>IF(OR(TABLERO!BC51=""),"",IF(TABLERO!$F$17="KVA",TABLERO!BC51/TABLERO!$DA51,TABLERO!BC51))</f>
        <v/>
      </c>
      <c r="E51" s="680" t="str">
        <f>IF(OR(TABLERO!BD51=""),"",IF(TABLERO!$F$17="KVA",TABLERO!BD51/TABLERO!$DA51,TABLERO!BD51))</f>
        <v/>
      </c>
      <c r="F51" s="680" t="str">
        <f>IF(OR(TABLERO!BE51=""),"",IF(TABLERO!$F$17="KVA",TABLERO!BE51/TABLERO!$DA51,TABLERO!BE51))</f>
        <v/>
      </c>
      <c r="G51" s="680" t="str">
        <f>IF(OR(TABLERO!BH51=""),"",IF(TABLERO!$F$17="KVA",TABLERO!BH51/TABLERO!$DA51,TABLERO!BH51))</f>
        <v/>
      </c>
      <c r="H51" s="680" t="str">
        <f>IF(OR(TABLERO!BI51=""),"",IF(TABLERO!$F$17="KVA",TABLERO!BI51/TABLERO!$DA51,TABLERO!BI51))</f>
        <v/>
      </c>
      <c r="I51" s="680" t="str">
        <f>IF(OR(TABLERO!BJ51=""),"",IF(TABLERO!$F$17="KVA",TABLERO!BJ51/TABLERO!$DA51,TABLERO!BJ51))</f>
        <v/>
      </c>
      <c r="J51" s="680" t="str">
        <f>IF(OR(TABLERO!BK51=""),"",IF(TABLERO!$F$17="KVA",TABLERO!BK51/TABLERO!$DA51,TABLERO!BK51))</f>
        <v/>
      </c>
      <c r="K51" s="680" t="str">
        <f>IF(OR(TABLERO!BL51=""),"",IF(TABLERO!$F$17="KVA",TABLERO!BL51/TABLERO!$DA51,TABLERO!BL51))</f>
        <v/>
      </c>
      <c r="L51" s="680" t="str">
        <f>IF(OR(TABLERO!BO51=""),"",IF(TABLERO!$F$17="KVA",TABLERO!BO51/TABLERO!$DA51,TABLERO!BO51))</f>
        <v/>
      </c>
      <c r="M51" s="680" t="str">
        <f>IF(OR(TABLERO!BP51=""),"",IF(TABLERO!$F$17="KVA",TABLERO!BP51/TABLERO!$DA51,TABLERO!BP51))</f>
        <v/>
      </c>
      <c r="N51" s="680" t="str">
        <f>IF(TABLERO!BQ51="","",IF(TABLERO!$F$17="KVA",TABLERO!BQ51/TABLERO!$F$14,TABLERO!BQ51))</f>
        <v/>
      </c>
      <c r="O51" s="680" t="str">
        <f>IF(TABLERO!BS51=0,"",TABLERO!BS51)</f>
        <v/>
      </c>
      <c r="P51" s="681" t="str">
        <f>IF(TABLERO!BQ51="","",IF(TABLERO!$F$17="KVA",TABLERO!BR51/TABLERO!$F$14,TABLERO!BR51))</f>
        <v/>
      </c>
      <c r="Q51" s="682" t="str">
        <f>IF(TABLERO!H51="TB",IF(SUM(D51:N51)&lt;&gt;0,"",TABLERO!BU51),"")</f>
        <v/>
      </c>
    </row>
    <row r="52" spans="1:17">
      <c r="A52" s="678" t="str">
        <f>RESUMEN!A52</f>
        <v/>
      </c>
      <c r="B52" s="679" t="str">
        <f>IF('CUADRO (1)'!AI52="","",TABLERO!H52)</f>
        <v/>
      </c>
      <c r="C52" s="679" t="str">
        <f>IF('CUADRO (1)'!AI52="","",TABLERO!W52)</f>
        <v/>
      </c>
      <c r="D52" s="680" t="str">
        <f>IF(OR(TABLERO!BC52=""),"",IF(TABLERO!$F$17="KVA",TABLERO!BC52/TABLERO!$DA52,TABLERO!BC52))</f>
        <v/>
      </c>
      <c r="E52" s="680" t="str">
        <f>IF(OR(TABLERO!BD52=""),"",IF(TABLERO!$F$17="KVA",TABLERO!BD52/TABLERO!$DA52,TABLERO!BD52))</f>
        <v/>
      </c>
      <c r="F52" s="680" t="str">
        <f>IF(OR(TABLERO!BE52=""),"",IF(TABLERO!$F$17="KVA",TABLERO!BE52/TABLERO!$DA52,TABLERO!BE52))</f>
        <v/>
      </c>
      <c r="G52" s="680" t="str">
        <f>IF(OR(TABLERO!BH52=""),"",IF(TABLERO!$F$17="KVA",TABLERO!BH52/TABLERO!$DA52,TABLERO!BH52))</f>
        <v/>
      </c>
      <c r="H52" s="680" t="str">
        <f>IF(OR(TABLERO!BI52=""),"",IF(TABLERO!$F$17="KVA",TABLERO!BI52/TABLERO!$DA52,TABLERO!BI52))</f>
        <v/>
      </c>
      <c r="I52" s="680" t="str">
        <f>IF(OR(TABLERO!BJ52=""),"",IF(TABLERO!$F$17="KVA",TABLERO!BJ52/TABLERO!$DA52,TABLERO!BJ52))</f>
        <v/>
      </c>
      <c r="J52" s="680" t="str">
        <f>IF(OR(TABLERO!BK52=""),"",IF(TABLERO!$F$17="KVA",TABLERO!BK52/TABLERO!$DA52,TABLERO!BK52))</f>
        <v/>
      </c>
      <c r="K52" s="680" t="str">
        <f>IF(OR(TABLERO!BL52=""),"",IF(TABLERO!$F$17="KVA",TABLERO!BL52/TABLERO!$DA52,TABLERO!BL52))</f>
        <v/>
      </c>
      <c r="L52" s="680" t="str">
        <f>IF(OR(TABLERO!BO52=""),"",IF(TABLERO!$F$17="KVA",TABLERO!BO52/TABLERO!$DA52,TABLERO!BO52))</f>
        <v/>
      </c>
      <c r="M52" s="680" t="str">
        <f>IF(OR(TABLERO!BP52=""),"",IF(TABLERO!$F$17="KVA",TABLERO!BP52/TABLERO!$DA52,TABLERO!BP52))</f>
        <v/>
      </c>
      <c r="N52" s="680" t="str">
        <f>IF(TABLERO!BQ52="","",IF(TABLERO!$F$17="KVA",TABLERO!BQ52/TABLERO!$F$14,TABLERO!BQ52))</f>
        <v/>
      </c>
      <c r="O52" s="680" t="str">
        <f>IF(TABLERO!BS52=0,"",TABLERO!BS52)</f>
        <v/>
      </c>
      <c r="P52" s="681" t="str">
        <f>IF(TABLERO!BQ52="","",IF(TABLERO!$F$17="KVA",TABLERO!BR52/TABLERO!$F$14,TABLERO!BR52))</f>
        <v/>
      </c>
      <c r="Q52" s="682" t="str">
        <f>IF(TABLERO!H52="TB",IF(SUM(D52:N52)&lt;&gt;0,"",TABLERO!BU52),"")</f>
        <v/>
      </c>
    </row>
    <row r="53" spans="1:17">
      <c r="A53" s="678" t="str">
        <f>RESUMEN!A53</f>
        <v/>
      </c>
      <c r="B53" s="679" t="str">
        <f>IF('CUADRO (1)'!AI53="","",TABLERO!H53)</f>
        <v/>
      </c>
      <c r="C53" s="679" t="str">
        <f>IF('CUADRO (1)'!AI53="","",TABLERO!W53)</f>
        <v/>
      </c>
      <c r="D53" s="680" t="str">
        <f>IF(OR(TABLERO!BC53=""),"",IF(TABLERO!$F$17="KVA",TABLERO!BC53/TABLERO!$DA53,TABLERO!BC53))</f>
        <v/>
      </c>
      <c r="E53" s="680" t="str">
        <f>IF(OR(TABLERO!BD53=""),"",IF(TABLERO!$F$17="KVA",TABLERO!BD53/TABLERO!$DA53,TABLERO!BD53))</f>
        <v/>
      </c>
      <c r="F53" s="680" t="str">
        <f>IF(OR(TABLERO!BE53=""),"",IF(TABLERO!$F$17="KVA",TABLERO!BE53/TABLERO!$DA53,TABLERO!BE53))</f>
        <v/>
      </c>
      <c r="G53" s="680" t="str">
        <f>IF(OR(TABLERO!BH53=""),"",IF(TABLERO!$F$17="KVA",TABLERO!BH53/TABLERO!$DA53,TABLERO!BH53))</f>
        <v/>
      </c>
      <c r="H53" s="680" t="str">
        <f>IF(OR(TABLERO!BI53=""),"",IF(TABLERO!$F$17="KVA",TABLERO!BI53/TABLERO!$DA53,TABLERO!BI53))</f>
        <v/>
      </c>
      <c r="I53" s="680" t="str">
        <f>IF(OR(TABLERO!BJ53=""),"",IF(TABLERO!$F$17="KVA",TABLERO!BJ53/TABLERO!$DA53,TABLERO!BJ53))</f>
        <v/>
      </c>
      <c r="J53" s="680" t="str">
        <f>IF(OR(TABLERO!BK53=""),"",IF(TABLERO!$F$17="KVA",TABLERO!BK53/TABLERO!$DA53,TABLERO!BK53))</f>
        <v/>
      </c>
      <c r="K53" s="680" t="str">
        <f>IF(OR(TABLERO!BL53=""),"",IF(TABLERO!$F$17="KVA",TABLERO!BL53/TABLERO!$DA53,TABLERO!BL53))</f>
        <v/>
      </c>
      <c r="L53" s="680" t="str">
        <f>IF(OR(TABLERO!BO53=""),"",IF(TABLERO!$F$17="KVA",TABLERO!BO53/TABLERO!$DA53,TABLERO!BO53))</f>
        <v/>
      </c>
      <c r="M53" s="680" t="str">
        <f>IF(OR(TABLERO!BP53=""),"",IF(TABLERO!$F$17="KVA",TABLERO!BP53/TABLERO!$DA53,TABLERO!BP53))</f>
        <v/>
      </c>
      <c r="N53" s="680" t="str">
        <f>IF(TABLERO!BQ53="","",IF(TABLERO!$F$17="KVA",TABLERO!BQ53/TABLERO!$F$14,TABLERO!BQ53))</f>
        <v/>
      </c>
      <c r="O53" s="680" t="str">
        <f>IF(TABLERO!BS53=0,"",TABLERO!BS53)</f>
        <v/>
      </c>
      <c r="P53" s="681" t="str">
        <f>IF(TABLERO!BQ53="","",IF(TABLERO!$F$17="KVA",TABLERO!BR53/TABLERO!$F$14,TABLERO!BR53))</f>
        <v/>
      </c>
      <c r="Q53" s="682" t="str">
        <f>IF(TABLERO!H53="TB",IF(SUM(D53:N53)&lt;&gt;0,"",TABLERO!BU53),"")</f>
        <v/>
      </c>
    </row>
    <row r="54" spans="1:17">
      <c r="A54" s="678" t="str">
        <f>RESUMEN!A54</f>
        <v/>
      </c>
      <c r="B54" s="679" t="str">
        <f>IF('CUADRO (1)'!AI54="","",TABLERO!H54)</f>
        <v/>
      </c>
      <c r="C54" s="679" t="str">
        <f>IF('CUADRO (1)'!AI54="","",TABLERO!W54)</f>
        <v/>
      </c>
      <c r="D54" s="680" t="str">
        <f>IF(OR(TABLERO!BC54=""),"",IF(TABLERO!$F$17="KVA",TABLERO!BC54/TABLERO!$DA54,TABLERO!BC54))</f>
        <v/>
      </c>
      <c r="E54" s="680" t="str">
        <f>IF(OR(TABLERO!BD54=""),"",IF(TABLERO!$F$17="KVA",TABLERO!BD54/TABLERO!$DA54,TABLERO!BD54))</f>
        <v/>
      </c>
      <c r="F54" s="680" t="str">
        <f>IF(OR(TABLERO!BE54=""),"",IF(TABLERO!$F$17="KVA",TABLERO!BE54/TABLERO!$DA54,TABLERO!BE54))</f>
        <v/>
      </c>
      <c r="G54" s="680" t="str">
        <f>IF(OR(TABLERO!BH54=""),"",IF(TABLERO!$F$17="KVA",TABLERO!BH54/TABLERO!$DA54,TABLERO!BH54))</f>
        <v/>
      </c>
      <c r="H54" s="680" t="str">
        <f>IF(OR(TABLERO!BI54=""),"",IF(TABLERO!$F$17="KVA",TABLERO!BI54/TABLERO!$DA54,TABLERO!BI54))</f>
        <v/>
      </c>
      <c r="I54" s="680" t="str">
        <f>IF(OR(TABLERO!BJ54=""),"",IF(TABLERO!$F$17="KVA",TABLERO!BJ54/TABLERO!$DA54,TABLERO!BJ54))</f>
        <v/>
      </c>
      <c r="J54" s="680" t="str">
        <f>IF(OR(TABLERO!BK54=""),"",IF(TABLERO!$F$17="KVA",TABLERO!BK54/TABLERO!$DA54,TABLERO!BK54))</f>
        <v/>
      </c>
      <c r="K54" s="680" t="str">
        <f>IF(OR(TABLERO!BL54=""),"",IF(TABLERO!$F$17="KVA",TABLERO!BL54/TABLERO!$DA54,TABLERO!BL54))</f>
        <v/>
      </c>
      <c r="L54" s="680" t="str">
        <f>IF(OR(TABLERO!BO54=""),"",IF(TABLERO!$F$17="KVA",TABLERO!BO54/TABLERO!$DA54,TABLERO!BO54))</f>
        <v/>
      </c>
      <c r="M54" s="680" t="str">
        <f>IF(OR(TABLERO!BP54=""),"",IF(TABLERO!$F$17="KVA",TABLERO!BP54/TABLERO!$DA54,TABLERO!BP54))</f>
        <v/>
      </c>
      <c r="N54" s="680" t="str">
        <f>IF(TABLERO!BQ54="","",IF(TABLERO!$F$17="KVA",TABLERO!BQ54/TABLERO!$F$14,TABLERO!BQ54))</f>
        <v/>
      </c>
      <c r="O54" s="680" t="str">
        <f>IF(TABLERO!BS54=0,"",TABLERO!BS54)</f>
        <v/>
      </c>
      <c r="P54" s="681" t="str">
        <f>IF(TABLERO!BQ54="","",IF(TABLERO!$F$17="KVA",TABLERO!BR54/TABLERO!$F$14,TABLERO!BR54))</f>
        <v/>
      </c>
      <c r="Q54" s="682" t="str">
        <f>IF(TABLERO!H54="TB",IF(SUM(D54:N54)&lt;&gt;0,"",TABLERO!BU54),"")</f>
        <v/>
      </c>
    </row>
    <row r="55" spans="1:17">
      <c r="A55" s="678" t="str">
        <f>RESUMEN!A55</f>
        <v/>
      </c>
      <c r="B55" s="679" t="str">
        <f>IF('CUADRO (1)'!AI55="","",TABLERO!H55)</f>
        <v/>
      </c>
      <c r="C55" s="679" t="str">
        <f>IF('CUADRO (1)'!AI55="","",TABLERO!W55)</f>
        <v/>
      </c>
      <c r="D55" s="680" t="str">
        <f>IF(OR(TABLERO!BC55=""),"",IF(TABLERO!$F$17="KVA",TABLERO!BC55/TABLERO!$DA55,TABLERO!BC55))</f>
        <v/>
      </c>
      <c r="E55" s="680" t="str">
        <f>IF(OR(TABLERO!BD55=""),"",IF(TABLERO!$F$17="KVA",TABLERO!BD55/TABLERO!$DA55,TABLERO!BD55))</f>
        <v/>
      </c>
      <c r="F55" s="680" t="str">
        <f>IF(OR(TABLERO!BE55=""),"",IF(TABLERO!$F$17="KVA",TABLERO!BE55/TABLERO!$DA55,TABLERO!BE55))</f>
        <v/>
      </c>
      <c r="G55" s="680" t="str">
        <f>IF(OR(TABLERO!BH55=""),"",IF(TABLERO!$F$17="KVA",TABLERO!BH55/TABLERO!$DA55,TABLERO!BH55))</f>
        <v/>
      </c>
      <c r="H55" s="680" t="str">
        <f>IF(OR(TABLERO!BI55=""),"",IF(TABLERO!$F$17="KVA",TABLERO!BI55/TABLERO!$DA55,TABLERO!BI55))</f>
        <v/>
      </c>
      <c r="I55" s="680" t="str">
        <f>IF(OR(TABLERO!BJ55=""),"",IF(TABLERO!$F$17="KVA",TABLERO!BJ55/TABLERO!$DA55,TABLERO!BJ55))</f>
        <v/>
      </c>
      <c r="J55" s="680" t="str">
        <f>IF(OR(TABLERO!BK55=""),"",IF(TABLERO!$F$17="KVA",TABLERO!BK55/TABLERO!$DA55,TABLERO!BK55))</f>
        <v/>
      </c>
      <c r="K55" s="680" t="str">
        <f>IF(OR(TABLERO!BL55=""),"",IF(TABLERO!$F$17="KVA",TABLERO!BL55/TABLERO!$DA55,TABLERO!BL55))</f>
        <v/>
      </c>
      <c r="L55" s="680" t="str">
        <f>IF(OR(TABLERO!BO55=""),"",IF(TABLERO!$F$17="KVA",TABLERO!BO55/TABLERO!$DA55,TABLERO!BO55))</f>
        <v/>
      </c>
      <c r="M55" s="680" t="str">
        <f>IF(OR(TABLERO!BP55=""),"",IF(TABLERO!$F$17="KVA",TABLERO!BP55/TABLERO!$DA55,TABLERO!BP55))</f>
        <v/>
      </c>
      <c r="N55" s="680" t="str">
        <f>IF(TABLERO!BQ55="","",IF(TABLERO!$F$17="KVA",TABLERO!BQ55/TABLERO!$F$14,TABLERO!BQ55))</f>
        <v/>
      </c>
      <c r="O55" s="680" t="str">
        <f>IF(TABLERO!BS55=0,"",TABLERO!BS55)</f>
        <v/>
      </c>
      <c r="P55" s="681" t="str">
        <f>IF(TABLERO!BQ55="","",IF(TABLERO!$F$17="KVA",TABLERO!BR55/TABLERO!$F$14,TABLERO!BR55))</f>
        <v/>
      </c>
      <c r="Q55" s="682" t="str">
        <f>IF(TABLERO!H55="TB",IF(SUM(D55:N55)&lt;&gt;0,"",TABLERO!BU55),"")</f>
        <v/>
      </c>
    </row>
    <row r="56" spans="1:17">
      <c r="A56" s="678" t="str">
        <f>RESUMEN!A56</f>
        <v/>
      </c>
      <c r="B56" s="679" t="str">
        <f>IF('CUADRO (1)'!AI56="","",TABLERO!H56)</f>
        <v/>
      </c>
      <c r="C56" s="679" t="str">
        <f>IF('CUADRO (1)'!AI56="","",TABLERO!W56)</f>
        <v/>
      </c>
      <c r="D56" s="680" t="str">
        <f>IF(OR(TABLERO!BC56=""),"",IF(TABLERO!$F$17="KVA",TABLERO!BC56/TABLERO!$DA56,TABLERO!BC56))</f>
        <v/>
      </c>
      <c r="E56" s="680" t="str">
        <f>IF(OR(TABLERO!BD56=""),"",IF(TABLERO!$F$17="KVA",TABLERO!BD56/TABLERO!$DA56,TABLERO!BD56))</f>
        <v/>
      </c>
      <c r="F56" s="680" t="str">
        <f>IF(OR(TABLERO!BE56=""),"",IF(TABLERO!$F$17="KVA",TABLERO!BE56/TABLERO!$DA56,TABLERO!BE56))</f>
        <v/>
      </c>
      <c r="G56" s="680" t="str">
        <f>IF(OR(TABLERO!BH56=""),"",IF(TABLERO!$F$17="KVA",TABLERO!BH56/TABLERO!$DA56,TABLERO!BH56))</f>
        <v/>
      </c>
      <c r="H56" s="680" t="str">
        <f>IF(OR(TABLERO!BI56=""),"",IF(TABLERO!$F$17="KVA",TABLERO!BI56/TABLERO!$DA56,TABLERO!BI56))</f>
        <v/>
      </c>
      <c r="I56" s="680" t="str">
        <f>IF(OR(TABLERO!BJ56=""),"",IF(TABLERO!$F$17="KVA",TABLERO!BJ56/TABLERO!$DA56,TABLERO!BJ56))</f>
        <v/>
      </c>
      <c r="J56" s="680" t="str">
        <f>IF(OR(TABLERO!BK56=""),"",IF(TABLERO!$F$17="KVA",TABLERO!BK56/TABLERO!$DA56,TABLERO!BK56))</f>
        <v/>
      </c>
      <c r="K56" s="680" t="str">
        <f>IF(OR(TABLERO!BL56=""),"",IF(TABLERO!$F$17="KVA",TABLERO!BL56/TABLERO!$DA56,TABLERO!BL56))</f>
        <v/>
      </c>
      <c r="L56" s="680" t="str">
        <f>IF(OR(TABLERO!BO56=""),"",IF(TABLERO!$F$17="KVA",TABLERO!BO56/TABLERO!$DA56,TABLERO!BO56))</f>
        <v/>
      </c>
      <c r="M56" s="680" t="str">
        <f>IF(OR(TABLERO!BP56=""),"",IF(TABLERO!$F$17="KVA",TABLERO!BP56/TABLERO!$DA56,TABLERO!BP56))</f>
        <v/>
      </c>
      <c r="N56" s="680" t="str">
        <f>IF(TABLERO!BQ56="","",IF(TABLERO!$F$17="KVA",TABLERO!BQ56/TABLERO!$F$14,TABLERO!BQ56))</f>
        <v/>
      </c>
      <c r="O56" s="680" t="str">
        <f>IF(TABLERO!BS56=0,"",TABLERO!BS56)</f>
        <v/>
      </c>
      <c r="P56" s="681" t="str">
        <f>IF(TABLERO!BQ56="","",IF(TABLERO!$F$17="KVA",TABLERO!BR56/TABLERO!$F$14,TABLERO!BR56))</f>
        <v/>
      </c>
      <c r="Q56" s="682" t="str">
        <f>IF(TABLERO!H56="TB",IF(SUM(D56:N56)&lt;&gt;0,"",TABLERO!BU56),"")</f>
        <v/>
      </c>
    </row>
    <row r="57" spans="1:17">
      <c r="A57" s="678" t="str">
        <f>RESUMEN!A57</f>
        <v/>
      </c>
      <c r="B57" s="679" t="str">
        <f>IF('CUADRO (1)'!AI57="","",TABLERO!H57)</f>
        <v/>
      </c>
      <c r="C57" s="679" t="str">
        <f>IF('CUADRO (1)'!AI57="","",TABLERO!W57)</f>
        <v/>
      </c>
      <c r="D57" s="680" t="str">
        <f>IF(OR(TABLERO!BC57=""),"",IF(TABLERO!$F$17="KVA",TABLERO!BC57/TABLERO!$DA57,TABLERO!BC57))</f>
        <v/>
      </c>
      <c r="E57" s="680" t="str">
        <f>IF(OR(TABLERO!BD57=""),"",IF(TABLERO!$F$17="KVA",TABLERO!BD57/TABLERO!$DA57,TABLERO!BD57))</f>
        <v/>
      </c>
      <c r="F57" s="680" t="str">
        <f>IF(OR(TABLERO!BE57=""),"",IF(TABLERO!$F$17="KVA",TABLERO!BE57/TABLERO!$DA57,TABLERO!BE57))</f>
        <v/>
      </c>
      <c r="G57" s="680" t="str">
        <f>IF(OR(TABLERO!BH57=""),"",IF(TABLERO!$F$17="KVA",TABLERO!BH57/TABLERO!$DA57,TABLERO!BH57))</f>
        <v/>
      </c>
      <c r="H57" s="680" t="str">
        <f>IF(OR(TABLERO!BI57=""),"",IF(TABLERO!$F$17="KVA",TABLERO!BI57/TABLERO!$DA57,TABLERO!BI57))</f>
        <v/>
      </c>
      <c r="I57" s="680" t="str">
        <f>IF(OR(TABLERO!BJ57=""),"",IF(TABLERO!$F$17="KVA",TABLERO!BJ57/TABLERO!$DA57,TABLERO!BJ57))</f>
        <v/>
      </c>
      <c r="J57" s="680" t="str">
        <f>IF(OR(TABLERO!BK57=""),"",IF(TABLERO!$F$17="KVA",TABLERO!BK57/TABLERO!$DA57,TABLERO!BK57))</f>
        <v/>
      </c>
      <c r="K57" s="680" t="str">
        <f>IF(OR(TABLERO!BL57=""),"",IF(TABLERO!$F$17="KVA",TABLERO!BL57/TABLERO!$DA57,TABLERO!BL57))</f>
        <v/>
      </c>
      <c r="L57" s="680" t="str">
        <f>IF(OR(TABLERO!BO57=""),"",IF(TABLERO!$F$17="KVA",TABLERO!BO57/TABLERO!$DA57,TABLERO!BO57))</f>
        <v/>
      </c>
      <c r="M57" s="680" t="str">
        <f>IF(OR(TABLERO!BP57=""),"",IF(TABLERO!$F$17="KVA",TABLERO!BP57/TABLERO!$DA57,TABLERO!BP57))</f>
        <v/>
      </c>
      <c r="N57" s="680" t="str">
        <f>IF(TABLERO!BQ57="","",IF(TABLERO!$F$17="KVA",TABLERO!BQ57/TABLERO!$F$14,TABLERO!BQ57))</f>
        <v/>
      </c>
      <c r="O57" s="680" t="str">
        <f>IF(TABLERO!BS57=0,"",TABLERO!BS57)</f>
        <v/>
      </c>
      <c r="P57" s="681" t="str">
        <f>IF(TABLERO!BQ57="","",IF(TABLERO!$F$17="KVA",TABLERO!BR57/TABLERO!$F$14,TABLERO!BR57))</f>
        <v/>
      </c>
      <c r="Q57" s="682" t="str">
        <f>IF(TABLERO!H57="TB",IF(SUM(D57:N57)&lt;&gt;0,"",TABLERO!BU57),"")</f>
        <v/>
      </c>
    </row>
    <row r="58" spans="1:17">
      <c r="A58" s="678" t="str">
        <f>RESUMEN!A58</f>
        <v/>
      </c>
      <c r="B58" s="679" t="str">
        <f>IF('CUADRO (1)'!AI58="","",TABLERO!H58)</f>
        <v/>
      </c>
      <c r="C58" s="679" t="str">
        <f>IF('CUADRO (1)'!AI58="","",TABLERO!W58)</f>
        <v/>
      </c>
      <c r="D58" s="680" t="str">
        <f>IF(OR(TABLERO!BC58=""),"",IF(TABLERO!$F$17="KVA",TABLERO!BC58/TABLERO!$DA58,TABLERO!BC58))</f>
        <v/>
      </c>
      <c r="E58" s="680" t="str">
        <f>IF(OR(TABLERO!BD58=""),"",IF(TABLERO!$F$17="KVA",TABLERO!BD58/TABLERO!$DA58,TABLERO!BD58))</f>
        <v/>
      </c>
      <c r="F58" s="680" t="str">
        <f>IF(OR(TABLERO!BE58=""),"",IF(TABLERO!$F$17="KVA",TABLERO!BE58/TABLERO!$DA58,TABLERO!BE58))</f>
        <v/>
      </c>
      <c r="G58" s="680" t="str">
        <f>IF(OR(TABLERO!BH58=""),"",IF(TABLERO!$F$17="KVA",TABLERO!BH58/TABLERO!$DA58,TABLERO!BH58))</f>
        <v/>
      </c>
      <c r="H58" s="680" t="str">
        <f>IF(OR(TABLERO!BI58=""),"",IF(TABLERO!$F$17="KVA",TABLERO!BI58/TABLERO!$DA58,TABLERO!BI58))</f>
        <v/>
      </c>
      <c r="I58" s="680" t="str">
        <f>IF(OR(TABLERO!BJ58=""),"",IF(TABLERO!$F$17="KVA",TABLERO!BJ58/TABLERO!$DA58,TABLERO!BJ58))</f>
        <v/>
      </c>
      <c r="J58" s="680" t="str">
        <f>IF(OR(TABLERO!BK58=""),"",IF(TABLERO!$F$17="KVA",TABLERO!BK58/TABLERO!$DA58,TABLERO!BK58))</f>
        <v/>
      </c>
      <c r="K58" s="680" t="str">
        <f>IF(OR(TABLERO!BL58=""),"",IF(TABLERO!$F$17="KVA",TABLERO!BL58/TABLERO!$DA58,TABLERO!BL58))</f>
        <v/>
      </c>
      <c r="L58" s="680" t="str">
        <f>IF(OR(TABLERO!BO58=""),"",IF(TABLERO!$F$17="KVA",TABLERO!BO58/TABLERO!$DA58,TABLERO!BO58))</f>
        <v/>
      </c>
      <c r="M58" s="680" t="str">
        <f>IF(OR(TABLERO!BP58=""),"",IF(TABLERO!$F$17="KVA",TABLERO!BP58/TABLERO!$DA58,TABLERO!BP58))</f>
        <v/>
      </c>
      <c r="N58" s="680" t="str">
        <f>IF(TABLERO!BQ58="","",IF(TABLERO!$F$17="KVA",TABLERO!BQ58/TABLERO!$F$14,TABLERO!BQ58))</f>
        <v/>
      </c>
      <c r="O58" s="680" t="str">
        <f>IF(TABLERO!BS58=0,"",TABLERO!BS58)</f>
        <v/>
      </c>
      <c r="P58" s="681" t="str">
        <f>IF(TABLERO!BQ58="","",IF(TABLERO!$F$17="KVA",TABLERO!BR58/TABLERO!$F$14,TABLERO!BR58))</f>
        <v/>
      </c>
      <c r="Q58" s="682" t="str">
        <f>IF(TABLERO!H58="TB",IF(SUM(D58:N58)&lt;&gt;0,"",TABLERO!BU58),"")</f>
        <v/>
      </c>
    </row>
    <row r="59" spans="1:17">
      <c r="A59" s="678" t="str">
        <f>RESUMEN!A59</f>
        <v/>
      </c>
      <c r="B59" s="679" t="str">
        <f>IF('CUADRO (1)'!AI59="","",TABLERO!H59)</f>
        <v/>
      </c>
      <c r="C59" s="679" t="str">
        <f>IF('CUADRO (1)'!AI59="","",TABLERO!W59)</f>
        <v/>
      </c>
      <c r="D59" s="680" t="str">
        <f>IF(OR(TABLERO!BC59=""),"",IF(TABLERO!$F$17="KVA",TABLERO!BC59/TABLERO!$DA59,TABLERO!BC59))</f>
        <v/>
      </c>
      <c r="E59" s="680" t="str">
        <f>IF(OR(TABLERO!BD59=""),"",IF(TABLERO!$F$17="KVA",TABLERO!BD59/TABLERO!$DA59,TABLERO!BD59))</f>
        <v/>
      </c>
      <c r="F59" s="680" t="str">
        <f>IF(OR(TABLERO!BE59=""),"",IF(TABLERO!$F$17="KVA",TABLERO!BE59/TABLERO!$DA59,TABLERO!BE59))</f>
        <v/>
      </c>
      <c r="G59" s="680" t="str">
        <f>IF(OR(TABLERO!BH59=""),"",IF(TABLERO!$F$17="KVA",TABLERO!BH59/TABLERO!$DA59,TABLERO!BH59))</f>
        <v/>
      </c>
      <c r="H59" s="680" t="str">
        <f>IF(OR(TABLERO!BI59=""),"",IF(TABLERO!$F$17="KVA",TABLERO!BI59/TABLERO!$DA59,TABLERO!BI59))</f>
        <v/>
      </c>
      <c r="I59" s="680" t="str">
        <f>IF(OR(TABLERO!BJ59=""),"",IF(TABLERO!$F$17="KVA",TABLERO!BJ59/TABLERO!$DA59,TABLERO!BJ59))</f>
        <v/>
      </c>
      <c r="J59" s="680" t="str">
        <f>IF(OR(TABLERO!BK59=""),"",IF(TABLERO!$F$17="KVA",TABLERO!BK59/TABLERO!$DA59,TABLERO!BK59))</f>
        <v/>
      </c>
      <c r="K59" s="680" t="str">
        <f>IF(OR(TABLERO!BL59=""),"",IF(TABLERO!$F$17="KVA",TABLERO!BL59/TABLERO!$DA59,TABLERO!BL59))</f>
        <v/>
      </c>
      <c r="L59" s="680" t="str">
        <f>IF(OR(TABLERO!BO59=""),"",IF(TABLERO!$F$17="KVA",TABLERO!BO59/TABLERO!$DA59,TABLERO!BO59))</f>
        <v/>
      </c>
      <c r="M59" s="680" t="str">
        <f>IF(OR(TABLERO!BP59=""),"",IF(TABLERO!$F$17="KVA",TABLERO!BP59/TABLERO!$DA59,TABLERO!BP59))</f>
        <v/>
      </c>
      <c r="N59" s="680" t="str">
        <f>IF(TABLERO!BQ59="","",IF(TABLERO!$F$17="KVA",TABLERO!BQ59/TABLERO!$F$14,TABLERO!BQ59))</f>
        <v/>
      </c>
      <c r="O59" s="680" t="str">
        <f>IF(TABLERO!BS59=0,"",TABLERO!BS59)</f>
        <v/>
      </c>
      <c r="P59" s="681" t="str">
        <f>IF(TABLERO!BQ59="","",IF(TABLERO!$F$17="KVA",TABLERO!BR59/TABLERO!$F$14,TABLERO!BR59))</f>
        <v/>
      </c>
      <c r="Q59" s="682" t="str">
        <f>IF(TABLERO!H59="TB",IF(SUM(D59:N59)&lt;&gt;0,"",TABLERO!BU59),"")</f>
        <v/>
      </c>
    </row>
    <row r="60" spans="1:17" hidden="1">
      <c r="A60" s="678" t="str">
        <f>RESUMEN!A60</f>
        <v/>
      </c>
      <c r="B60" s="679" t="str">
        <f>IF('CUADRO (1)'!AI60="","",TABLERO!H60)</f>
        <v/>
      </c>
      <c r="C60" s="679" t="str">
        <f>IF('CUADRO (1)'!AI60="","",TABLERO!W60)</f>
        <v/>
      </c>
      <c r="D60" s="680" t="str">
        <f>IF(OR(TABLERO!BC60=""),"",IF(TABLERO!$F$17="KVA",TABLERO!BC60/TABLERO!$DA60,TABLERO!BC60))</f>
        <v/>
      </c>
      <c r="E60" s="680" t="str">
        <f>IF(OR(TABLERO!BD60=""),"",IF(TABLERO!$F$17="KVA",TABLERO!BD60/TABLERO!$DA60,TABLERO!BD60))</f>
        <v/>
      </c>
      <c r="F60" s="680" t="str">
        <f>IF(OR(TABLERO!BE60=""),"",IF(TABLERO!$F$17="KVA",TABLERO!BE60/TABLERO!$DA60,TABLERO!BE60))</f>
        <v/>
      </c>
      <c r="G60" s="680" t="str">
        <f>IF(OR(TABLERO!BH60=""),"",IF(TABLERO!$F$17="KVA",TABLERO!BH60/TABLERO!$DA60,TABLERO!BH60))</f>
        <v/>
      </c>
      <c r="H60" s="680" t="str">
        <f>IF(OR(TABLERO!BI60=""),"",IF(TABLERO!$F$17="KVA",TABLERO!BI60/TABLERO!$DA60,TABLERO!BI60))</f>
        <v/>
      </c>
      <c r="I60" s="680" t="str">
        <f>IF(OR(TABLERO!BJ60=""),"",IF(TABLERO!$F$17="KVA",TABLERO!BJ60/TABLERO!$DA60,TABLERO!BJ60))</f>
        <v/>
      </c>
      <c r="J60" s="680" t="str">
        <f>IF(OR(TABLERO!BK60=""),"",IF(TABLERO!$F$17="KVA",TABLERO!BK60/TABLERO!$DA60,TABLERO!BK60))</f>
        <v/>
      </c>
      <c r="K60" s="680" t="str">
        <f>IF(OR(TABLERO!BL60=""),"",IF(TABLERO!$F$17="KVA",TABLERO!BL60/TABLERO!$DA60,TABLERO!BL60))</f>
        <v/>
      </c>
      <c r="L60" s="680" t="str">
        <f>IF(OR(TABLERO!BO60=""),"",IF(TABLERO!$F$17="KVA",TABLERO!BO60/TABLERO!$DA60,TABLERO!BO60))</f>
        <v/>
      </c>
      <c r="M60" s="680" t="str">
        <f>IF(OR(TABLERO!BP60=""),"",IF(TABLERO!$F$17="KVA",TABLERO!BP60/TABLERO!$DA60,TABLERO!BP60))</f>
        <v/>
      </c>
      <c r="N60" s="680" t="str">
        <f>IF(TABLERO!BQ60="","",IF(TABLERO!$F$17="KVA",TABLERO!BQ60/TABLERO!$F$14,TABLERO!BQ60))</f>
        <v/>
      </c>
      <c r="O60" s="680" t="str">
        <f>IF(TABLERO!BS60=0,"",TABLERO!BS60)</f>
        <v/>
      </c>
      <c r="P60" s="681" t="str">
        <f>IF(TABLERO!BQ60="","",IF(TABLERO!$F$17="KVA",TABLERO!BR60/TABLERO!$F$14,TABLERO!BR60))</f>
        <v/>
      </c>
      <c r="Q60" s="682" t="str">
        <f>IF(TABLERO!H60="TB",IF(SUM(D60:N60)&lt;&gt;0,"",TABLERO!BU60),"")</f>
        <v/>
      </c>
    </row>
    <row r="61" spans="1:17" hidden="1">
      <c r="A61" s="678" t="str">
        <f>RESUMEN!A61</f>
        <v>31</v>
      </c>
      <c r="B61" s="679" t="str">
        <f>IF('CUADRO (1)'!AI61="","",TABLERO!H61)</f>
        <v/>
      </c>
      <c r="C61" s="679" t="str">
        <f>IF('CUADRO (1)'!AI61="","",TABLERO!W61)</f>
        <v/>
      </c>
      <c r="D61" s="680" t="str">
        <f>IF(OR(TABLERO!BC61=""),"",IF(TABLERO!$F$17="KVA",TABLERO!BC61/TABLERO!$DA61,TABLERO!BC61))</f>
        <v/>
      </c>
      <c r="E61" s="680" t="str">
        <f>IF(OR(TABLERO!BD61=""),"",IF(TABLERO!$F$17="KVA",TABLERO!BD61/TABLERO!$DA61,TABLERO!BD61))</f>
        <v/>
      </c>
      <c r="F61" s="680" t="str">
        <f>IF(OR(TABLERO!BE61=""),"",IF(TABLERO!$F$17="KVA",TABLERO!BE61/TABLERO!$DA61,TABLERO!BE61))</f>
        <v/>
      </c>
      <c r="G61" s="680" t="str">
        <f>IF(OR(TABLERO!BH61=""),"",IF(TABLERO!$F$17="KVA",TABLERO!BH61/TABLERO!$DA61,TABLERO!BH61))</f>
        <v/>
      </c>
      <c r="H61" s="680" t="str">
        <f>IF(OR(TABLERO!BI61=""),"",IF(TABLERO!$F$17="KVA",TABLERO!BI61/TABLERO!$DA61,TABLERO!BI61))</f>
        <v/>
      </c>
      <c r="I61" s="680" t="str">
        <f>IF(OR(TABLERO!BJ61=""),"",IF(TABLERO!$F$17="KVA",TABLERO!BJ61/TABLERO!$DA61,TABLERO!BJ61))</f>
        <v/>
      </c>
      <c r="J61" s="680" t="str">
        <f>IF(OR(TABLERO!BK61=""),"",IF(TABLERO!$F$17="KVA",TABLERO!BK61/TABLERO!$DA61,TABLERO!BK61))</f>
        <v/>
      </c>
      <c r="K61" s="680" t="str">
        <f>IF(OR(TABLERO!BL61=""),"",IF(TABLERO!$F$17="KVA",TABLERO!BL61/TABLERO!$DA61,TABLERO!BL61))</f>
        <v/>
      </c>
      <c r="L61" s="680" t="str">
        <f>IF(OR(TABLERO!BO61=""),"",IF(TABLERO!$F$17="KVA",TABLERO!BO61/TABLERO!$DA61,TABLERO!BO61))</f>
        <v/>
      </c>
      <c r="M61" s="680" t="str">
        <f>IF(OR(TABLERO!BP61=""),"",IF(TABLERO!$F$17="KVA",TABLERO!BP61/TABLERO!$DA61,TABLERO!BP61))</f>
        <v/>
      </c>
      <c r="N61" s="680" t="str">
        <f>IF(TABLERO!BQ61="","",IF(TABLERO!$F$17="KVA",TABLERO!BQ61/TABLERO!$F$14,TABLERO!BQ61))</f>
        <v/>
      </c>
      <c r="O61" s="680" t="str">
        <f>IF(TABLERO!BS61=0,"",TABLERO!BS61)</f>
        <v/>
      </c>
      <c r="P61" s="681" t="str">
        <f>IF(TABLERO!BQ61="","",IF(TABLERO!$F$17="KVA",TABLERO!BR61/TABLERO!$F$14,TABLERO!BR61))</f>
        <v/>
      </c>
      <c r="Q61" s="682" t="str">
        <f>IF(TABLERO!H61="TB",IF(SUM(D61:N61)&lt;&gt;0,"",TABLERO!BU61),"")</f>
        <v/>
      </c>
    </row>
    <row r="62" spans="1:17" hidden="1">
      <c r="A62" s="678" t="str">
        <f>RESUMEN!A62</f>
        <v>32</v>
      </c>
      <c r="B62" s="679" t="str">
        <f>IF('CUADRO (1)'!AI62="","",TABLERO!H62)</f>
        <v/>
      </c>
      <c r="C62" s="679" t="str">
        <f>IF('CUADRO (1)'!AI62="","",TABLERO!W62)</f>
        <v/>
      </c>
      <c r="D62" s="680" t="str">
        <f>IF(OR(TABLERO!BC62=""),"",IF(TABLERO!$F$17="KVA",TABLERO!BC62/TABLERO!$DA62,TABLERO!BC62))</f>
        <v/>
      </c>
      <c r="E62" s="680" t="str">
        <f>IF(OR(TABLERO!BD62=""),"",IF(TABLERO!$F$17="KVA",TABLERO!BD62/TABLERO!$DA62,TABLERO!BD62))</f>
        <v/>
      </c>
      <c r="F62" s="680" t="str">
        <f>IF(OR(TABLERO!BE62=""),"",IF(TABLERO!$F$17="KVA",TABLERO!BE62/TABLERO!$DA62,TABLERO!BE62))</f>
        <v/>
      </c>
      <c r="G62" s="680" t="str">
        <f>IF(OR(TABLERO!BH62=""),"",IF(TABLERO!$F$17="KVA",TABLERO!BH62/TABLERO!$DA62,TABLERO!BH62))</f>
        <v/>
      </c>
      <c r="H62" s="680" t="str">
        <f>IF(OR(TABLERO!BI62=""),"",IF(TABLERO!$F$17="KVA",TABLERO!BI62/TABLERO!$DA62,TABLERO!BI62))</f>
        <v/>
      </c>
      <c r="I62" s="680" t="str">
        <f>IF(OR(TABLERO!BJ62=""),"",IF(TABLERO!$F$17="KVA",TABLERO!BJ62/TABLERO!$DA62,TABLERO!BJ62))</f>
        <v/>
      </c>
      <c r="J62" s="680" t="str">
        <f>IF(OR(TABLERO!BK62=""),"",IF(TABLERO!$F$17="KVA",TABLERO!BK62/TABLERO!$DA62,TABLERO!BK62))</f>
        <v/>
      </c>
      <c r="K62" s="680" t="str">
        <f>IF(OR(TABLERO!BL62=""),"",IF(TABLERO!$F$17="KVA",TABLERO!BL62/TABLERO!$DA62,TABLERO!BL62))</f>
        <v/>
      </c>
      <c r="L62" s="680" t="str">
        <f>IF(OR(TABLERO!BO62=""),"",IF(TABLERO!$F$17="KVA",TABLERO!BO62/TABLERO!$DA62,TABLERO!BO62))</f>
        <v/>
      </c>
      <c r="M62" s="680" t="str">
        <f>IF(OR(TABLERO!BP62=""),"",IF(TABLERO!$F$17="KVA",TABLERO!BP62/TABLERO!$DA62,TABLERO!BP62))</f>
        <v/>
      </c>
      <c r="N62" s="680" t="str">
        <f>IF(TABLERO!BQ62="","",IF(TABLERO!$F$17="KVA",TABLERO!BQ62/TABLERO!$F$14,TABLERO!BQ62))</f>
        <v/>
      </c>
      <c r="O62" s="680" t="str">
        <f>IF(TABLERO!BS62=0,"",TABLERO!BS62)</f>
        <v/>
      </c>
      <c r="P62" s="681" t="str">
        <f>IF(TABLERO!BQ62="","",IF(TABLERO!$F$17="KVA",TABLERO!BR62/TABLERO!$F$14,TABLERO!BR62))</f>
        <v/>
      </c>
      <c r="Q62" s="682" t="str">
        <f>IF(TABLERO!H62="TB",IF(SUM(D62:N62)&lt;&gt;0,"",TABLERO!BU62),"")</f>
        <v/>
      </c>
    </row>
    <row r="63" spans="1:17" hidden="1">
      <c r="A63" s="678" t="str">
        <f>RESUMEN!A63</f>
        <v>33</v>
      </c>
      <c r="B63" s="679" t="str">
        <f>IF('CUADRO (1)'!AI63="","",TABLERO!H63)</f>
        <v/>
      </c>
      <c r="C63" s="679" t="str">
        <f>IF('CUADRO (1)'!AI63="","",TABLERO!W63)</f>
        <v/>
      </c>
      <c r="D63" s="680" t="str">
        <f>IF(OR(TABLERO!BC63=""),"",IF(TABLERO!$F$17="KVA",TABLERO!BC63/TABLERO!$DA63,TABLERO!BC63))</f>
        <v/>
      </c>
      <c r="E63" s="680" t="str">
        <f>IF(OR(TABLERO!BD63=""),"",IF(TABLERO!$F$17="KVA",TABLERO!BD63/TABLERO!$DA63,TABLERO!BD63))</f>
        <v/>
      </c>
      <c r="F63" s="680" t="str">
        <f>IF(OR(TABLERO!BE63=""),"",IF(TABLERO!$F$17="KVA",TABLERO!BE63/TABLERO!$DA63,TABLERO!BE63))</f>
        <v/>
      </c>
      <c r="G63" s="680" t="str">
        <f>IF(OR(TABLERO!BH63=""),"",IF(TABLERO!$F$17="KVA",TABLERO!BH63/TABLERO!$DA63,TABLERO!BH63))</f>
        <v/>
      </c>
      <c r="H63" s="680" t="str">
        <f>IF(OR(TABLERO!BI63=""),"",IF(TABLERO!$F$17="KVA",TABLERO!BI63/TABLERO!$DA63,TABLERO!BI63))</f>
        <v/>
      </c>
      <c r="I63" s="680" t="str">
        <f>IF(OR(TABLERO!BJ63=""),"",IF(TABLERO!$F$17="KVA",TABLERO!BJ63/TABLERO!$DA63,TABLERO!BJ63))</f>
        <v/>
      </c>
      <c r="J63" s="680" t="str">
        <f>IF(OR(TABLERO!BK63=""),"",IF(TABLERO!$F$17="KVA",TABLERO!BK63/TABLERO!$DA63,TABLERO!BK63))</f>
        <v/>
      </c>
      <c r="K63" s="680" t="str">
        <f>IF(OR(TABLERO!BL63=""),"",IF(TABLERO!$F$17="KVA",TABLERO!BL63/TABLERO!$DA63,TABLERO!BL63))</f>
        <v/>
      </c>
      <c r="L63" s="680" t="str">
        <f>IF(OR(TABLERO!BO63=""),"",IF(TABLERO!$F$17="KVA",TABLERO!BO63/TABLERO!$DA63,TABLERO!BO63))</f>
        <v/>
      </c>
      <c r="M63" s="680" t="str">
        <f>IF(OR(TABLERO!BP63=""),"",IF(TABLERO!$F$17="KVA",TABLERO!BP63/TABLERO!$DA63,TABLERO!BP63))</f>
        <v/>
      </c>
      <c r="N63" s="680" t="str">
        <f>IF(TABLERO!BQ63="","",IF(TABLERO!$F$17="KVA",TABLERO!BQ63/TABLERO!$F$14,TABLERO!BQ63))</f>
        <v/>
      </c>
      <c r="O63" s="680" t="str">
        <f>IF(TABLERO!BS63=0,"",TABLERO!BS63)</f>
        <v/>
      </c>
      <c r="P63" s="681" t="str">
        <f>IF(TABLERO!BQ63="","",IF(TABLERO!$F$17="KVA",TABLERO!BR63/TABLERO!$F$14,TABLERO!BR63))</f>
        <v/>
      </c>
      <c r="Q63" s="682" t="str">
        <f>IF(TABLERO!H63="TB",IF(SUM(D63:N63)&lt;&gt;0,"",TABLERO!BU63),"")</f>
        <v/>
      </c>
    </row>
    <row r="64" spans="1:17" hidden="1">
      <c r="A64" s="678" t="str">
        <f>RESUMEN!A64</f>
        <v>34</v>
      </c>
      <c r="B64" s="679" t="str">
        <f>IF('CUADRO (1)'!AI64="","",TABLERO!H64)</f>
        <v/>
      </c>
      <c r="C64" s="679" t="str">
        <f>IF('CUADRO (1)'!AI64="","",TABLERO!W64)</f>
        <v/>
      </c>
      <c r="D64" s="680" t="str">
        <f>IF(OR(TABLERO!BC64=""),"",IF(TABLERO!$F$17="KVA",TABLERO!BC64/TABLERO!$DA64,TABLERO!BC64))</f>
        <v/>
      </c>
      <c r="E64" s="680" t="str">
        <f>IF(OR(TABLERO!BD64=""),"",IF(TABLERO!$F$17="KVA",TABLERO!BD64/TABLERO!$DA64,TABLERO!BD64))</f>
        <v/>
      </c>
      <c r="F64" s="680" t="str">
        <f>IF(OR(TABLERO!BE64=""),"",IF(TABLERO!$F$17="KVA",TABLERO!BE64/TABLERO!$DA64,TABLERO!BE64))</f>
        <v/>
      </c>
      <c r="G64" s="680" t="str">
        <f>IF(OR(TABLERO!BH64=""),"",IF(TABLERO!$F$17="KVA",TABLERO!BH64/TABLERO!$DA64,TABLERO!BH64))</f>
        <v/>
      </c>
      <c r="H64" s="680" t="str">
        <f>IF(OR(TABLERO!BI64=""),"",IF(TABLERO!$F$17="KVA",TABLERO!BI64/TABLERO!$DA64,TABLERO!BI64))</f>
        <v/>
      </c>
      <c r="I64" s="680" t="str">
        <f>IF(OR(TABLERO!BJ64=""),"",IF(TABLERO!$F$17="KVA",TABLERO!BJ64/TABLERO!$DA64,TABLERO!BJ64))</f>
        <v/>
      </c>
      <c r="J64" s="680" t="str">
        <f>IF(OR(TABLERO!BK64=""),"",IF(TABLERO!$F$17="KVA",TABLERO!BK64/TABLERO!$DA64,TABLERO!BK64))</f>
        <v/>
      </c>
      <c r="K64" s="680" t="str">
        <f>IF(OR(TABLERO!BL64=""),"",IF(TABLERO!$F$17="KVA",TABLERO!BL64/TABLERO!$DA64,TABLERO!BL64))</f>
        <v/>
      </c>
      <c r="L64" s="680" t="str">
        <f>IF(OR(TABLERO!BO64=""),"",IF(TABLERO!$F$17="KVA",TABLERO!BO64/TABLERO!$DA64,TABLERO!BO64))</f>
        <v/>
      </c>
      <c r="M64" s="680" t="str">
        <f>IF(OR(TABLERO!BP64=""),"",IF(TABLERO!$F$17="KVA",TABLERO!BP64/TABLERO!$DA64,TABLERO!BP64))</f>
        <v/>
      </c>
      <c r="N64" s="680" t="str">
        <f>IF(TABLERO!BQ64="","",IF(TABLERO!$F$17="KVA",TABLERO!BQ64/TABLERO!$F$14,TABLERO!BQ64))</f>
        <v/>
      </c>
      <c r="O64" s="680" t="str">
        <f>IF(TABLERO!BS64=0,"",TABLERO!BS64)</f>
        <v/>
      </c>
      <c r="P64" s="681" t="str">
        <f>IF(TABLERO!BQ64="","",IF(TABLERO!$F$17="KVA",TABLERO!BR64/TABLERO!$F$14,TABLERO!BR64))</f>
        <v/>
      </c>
      <c r="Q64" s="682" t="str">
        <f>IF(TABLERO!H64="TB",IF(SUM(D64:N64)&lt;&gt;0,"",TABLERO!BU64),"")</f>
        <v/>
      </c>
    </row>
    <row r="65" spans="1:17" hidden="1">
      <c r="A65" s="678" t="str">
        <f>RESUMEN!A65</f>
        <v>35</v>
      </c>
      <c r="B65" s="679" t="str">
        <f>IF('CUADRO (1)'!AI65="","",TABLERO!H65)</f>
        <v/>
      </c>
      <c r="C65" s="679" t="str">
        <f>IF('CUADRO (1)'!AI65="","",TABLERO!W65)</f>
        <v/>
      </c>
      <c r="D65" s="680" t="str">
        <f>IF(OR(TABLERO!BC65=""),"",IF(TABLERO!$F$17="KVA",TABLERO!BC65/TABLERO!$DA65,TABLERO!BC65))</f>
        <v/>
      </c>
      <c r="E65" s="680" t="str">
        <f>IF(OR(TABLERO!BD65=""),"",IF(TABLERO!$F$17="KVA",TABLERO!BD65/TABLERO!$DA65,TABLERO!BD65))</f>
        <v/>
      </c>
      <c r="F65" s="680" t="str">
        <f>IF(OR(TABLERO!BE65=""),"",IF(TABLERO!$F$17="KVA",TABLERO!BE65/TABLERO!$DA65,TABLERO!BE65))</f>
        <v/>
      </c>
      <c r="G65" s="680" t="str">
        <f>IF(OR(TABLERO!BH65=""),"",IF(TABLERO!$F$17="KVA",TABLERO!BH65/TABLERO!$DA65,TABLERO!BH65))</f>
        <v/>
      </c>
      <c r="H65" s="680" t="str">
        <f>IF(OR(TABLERO!BI65=""),"",IF(TABLERO!$F$17="KVA",TABLERO!BI65/TABLERO!$DA65,TABLERO!BI65))</f>
        <v/>
      </c>
      <c r="I65" s="680" t="str">
        <f>IF(OR(TABLERO!BJ65=""),"",IF(TABLERO!$F$17="KVA",TABLERO!BJ65/TABLERO!$DA65,TABLERO!BJ65))</f>
        <v/>
      </c>
      <c r="J65" s="680" t="str">
        <f>IF(OR(TABLERO!BK65=""),"",IF(TABLERO!$F$17="KVA",TABLERO!BK65/TABLERO!$DA65,TABLERO!BK65))</f>
        <v/>
      </c>
      <c r="K65" s="680" t="str">
        <f>IF(OR(TABLERO!BL65=""),"",IF(TABLERO!$F$17="KVA",TABLERO!BL65/TABLERO!$DA65,TABLERO!BL65))</f>
        <v/>
      </c>
      <c r="L65" s="680" t="str">
        <f>IF(OR(TABLERO!BO65=""),"",IF(TABLERO!$F$17="KVA",TABLERO!BO65/TABLERO!$DA65,TABLERO!BO65))</f>
        <v/>
      </c>
      <c r="M65" s="680" t="str">
        <f>IF(OR(TABLERO!BP65=""),"",IF(TABLERO!$F$17="KVA",TABLERO!BP65/TABLERO!$DA65,TABLERO!BP65))</f>
        <v/>
      </c>
      <c r="N65" s="680" t="str">
        <f>IF(TABLERO!BQ65="","",IF(TABLERO!$F$17="KVA",TABLERO!BQ65/TABLERO!$F$14,TABLERO!BQ65))</f>
        <v/>
      </c>
      <c r="O65" s="680" t="str">
        <f>IF(TABLERO!BS65=0,"",TABLERO!BS65)</f>
        <v/>
      </c>
      <c r="P65" s="681" t="str">
        <f>IF(TABLERO!BQ65="","",IF(TABLERO!$F$17="KVA",TABLERO!BR65/TABLERO!$F$14,TABLERO!BR65))</f>
        <v/>
      </c>
      <c r="Q65" s="682" t="str">
        <f>IF(TABLERO!H65="TB",IF(SUM(D65:N65)&lt;&gt;0,"",TABLERO!BU65),"")</f>
        <v/>
      </c>
    </row>
    <row r="66" spans="1:17" hidden="1">
      <c r="A66" s="678" t="str">
        <f>RESUMEN!A66</f>
        <v>36</v>
      </c>
      <c r="B66" s="679" t="str">
        <f>IF('CUADRO (1)'!AI66="","",TABLERO!H66)</f>
        <v/>
      </c>
      <c r="C66" s="679" t="str">
        <f>IF('CUADRO (1)'!AI66="","",TABLERO!W66)</f>
        <v/>
      </c>
      <c r="D66" s="680" t="str">
        <f>IF(OR(TABLERO!BC66=""),"",IF(TABLERO!$F$17="KVA",TABLERO!BC66/TABLERO!$DA66,TABLERO!BC66))</f>
        <v/>
      </c>
      <c r="E66" s="680" t="str">
        <f>IF(OR(TABLERO!BD66=""),"",IF(TABLERO!$F$17="KVA",TABLERO!BD66/TABLERO!$DA66,TABLERO!BD66))</f>
        <v/>
      </c>
      <c r="F66" s="680" t="str">
        <f>IF(OR(TABLERO!BE66=""),"",IF(TABLERO!$F$17="KVA",TABLERO!BE66/TABLERO!$DA66,TABLERO!BE66))</f>
        <v/>
      </c>
      <c r="G66" s="680" t="str">
        <f>IF(OR(TABLERO!BH66=""),"",IF(TABLERO!$F$17="KVA",TABLERO!BH66/TABLERO!$DA66,TABLERO!BH66))</f>
        <v/>
      </c>
      <c r="H66" s="680" t="str">
        <f>IF(OR(TABLERO!BI66=""),"",IF(TABLERO!$F$17="KVA",TABLERO!BI66/TABLERO!$DA66,TABLERO!BI66))</f>
        <v/>
      </c>
      <c r="I66" s="680" t="str">
        <f>IF(OR(TABLERO!BJ66=""),"",IF(TABLERO!$F$17="KVA",TABLERO!BJ66/TABLERO!$DA66,TABLERO!BJ66))</f>
        <v/>
      </c>
      <c r="J66" s="680" t="str">
        <f>IF(OR(TABLERO!BK66=""),"",IF(TABLERO!$F$17="KVA",TABLERO!BK66/TABLERO!$DA66,TABLERO!BK66))</f>
        <v/>
      </c>
      <c r="K66" s="680" t="str">
        <f>IF(OR(TABLERO!BL66=""),"",IF(TABLERO!$F$17="KVA",TABLERO!BL66/TABLERO!$DA66,TABLERO!BL66))</f>
        <v/>
      </c>
      <c r="L66" s="680" t="str">
        <f>IF(OR(TABLERO!BO66=""),"",IF(TABLERO!$F$17="KVA",TABLERO!BO66/TABLERO!$DA66,TABLERO!BO66))</f>
        <v/>
      </c>
      <c r="M66" s="680" t="str">
        <f>IF(OR(TABLERO!BP66=""),"",IF(TABLERO!$F$17="KVA",TABLERO!BP66/TABLERO!$DA66,TABLERO!BP66))</f>
        <v/>
      </c>
      <c r="N66" s="680" t="str">
        <f>IF(TABLERO!BQ66="","",IF(TABLERO!$F$17="KVA",TABLERO!BQ66/TABLERO!$F$14,TABLERO!BQ66))</f>
        <v/>
      </c>
      <c r="O66" s="680" t="str">
        <f>IF(TABLERO!BS66=0,"",TABLERO!BS66)</f>
        <v/>
      </c>
      <c r="P66" s="681" t="str">
        <f>IF(TABLERO!BQ66="","",IF(TABLERO!$F$17="KVA",TABLERO!BR66/TABLERO!$F$14,TABLERO!BR66))</f>
        <v/>
      </c>
      <c r="Q66" s="682" t="str">
        <f>IF(TABLERO!H66="TB",IF(SUM(D66:N66)&lt;&gt;0,"",TABLERO!BU66),"")</f>
        <v/>
      </c>
    </row>
    <row r="67" spans="1:17" hidden="1">
      <c r="A67" s="678" t="str">
        <f>RESUMEN!A67</f>
        <v>37</v>
      </c>
      <c r="B67" s="679" t="str">
        <f>IF('CUADRO (1)'!AI67="","",TABLERO!H67)</f>
        <v/>
      </c>
      <c r="C67" s="679" t="str">
        <f>IF('CUADRO (1)'!AI67="","",TABLERO!W67)</f>
        <v/>
      </c>
      <c r="D67" s="680" t="str">
        <f>IF(OR(TABLERO!BC67=""),"",IF(TABLERO!$F$17="KVA",TABLERO!BC67/TABLERO!$DA67,TABLERO!BC67))</f>
        <v/>
      </c>
      <c r="E67" s="680" t="str">
        <f>IF(OR(TABLERO!BD67=""),"",IF(TABLERO!$F$17="KVA",TABLERO!BD67/TABLERO!$DA67,TABLERO!BD67))</f>
        <v/>
      </c>
      <c r="F67" s="680" t="str">
        <f>IF(OR(TABLERO!BE67=""),"",IF(TABLERO!$F$17="KVA",TABLERO!BE67/TABLERO!$DA67,TABLERO!BE67))</f>
        <v/>
      </c>
      <c r="G67" s="680" t="str">
        <f>IF(OR(TABLERO!BH67=""),"",IF(TABLERO!$F$17="KVA",TABLERO!BH67/TABLERO!$DA67,TABLERO!BH67))</f>
        <v/>
      </c>
      <c r="H67" s="680" t="str">
        <f>IF(OR(TABLERO!BI67=""),"",IF(TABLERO!$F$17="KVA",TABLERO!BI67/TABLERO!$DA67,TABLERO!BI67))</f>
        <v/>
      </c>
      <c r="I67" s="680" t="str">
        <f>IF(OR(TABLERO!BJ67=""),"",IF(TABLERO!$F$17="KVA",TABLERO!BJ67/TABLERO!$DA67,TABLERO!BJ67))</f>
        <v/>
      </c>
      <c r="J67" s="680" t="str">
        <f>IF(OR(TABLERO!BK67=""),"",IF(TABLERO!$F$17="KVA",TABLERO!BK67/TABLERO!$DA67,TABLERO!BK67))</f>
        <v/>
      </c>
      <c r="K67" s="680" t="str">
        <f>IF(OR(TABLERO!BL67=""),"",IF(TABLERO!$F$17="KVA",TABLERO!BL67/TABLERO!$DA67,TABLERO!BL67))</f>
        <v/>
      </c>
      <c r="L67" s="680" t="str">
        <f>IF(OR(TABLERO!BO67=""),"",IF(TABLERO!$F$17="KVA",TABLERO!BO67/TABLERO!$DA67,TABLERO!BO67))</f>
        <v/>
      </c>
      <c r="M67" s="680" t="str">
        <f>IF(OR(TABLERO!BP67=""),"",IF(TABLERO!$F$17="KVA",TABLERO!BP67/TABLERO!$DA67,TABLERO!BP67))</f>
        <v/>
      </c>
      <c r="N67" s="680" t="str">
        <f>IF(TABLERO!BQ67="","",IF(TABLERO!$F$17="KVA",TABLERO!BQ67/TABLERO!$F$14,TABLERO!BQ67))</f>
        <v/>
      </c>
      <c r="O67" s="680" t="str">
        <f>IF(TABLERO!BS67=0,"",TABLERO!BS67)</f>
        <v/>
      </c>
      <c r="P67" s="681" t="str">
        <f>IF(TABLERO!BQ67="","",IF(TABLERO!$F$17="KVA",TABLERO!BR67/TABLERO!$F$14,TABLERO!BR67))</f>
        <v/>
      </c>
      <c r="Q67" s="682" t="str">
        <f>IF(TABLERO!H67="TB",IF(SUM(D67:N67)&lt;&gt;0,"",TABLERO!BU67),"")</f>
        <v/>
      </c>
    </row>
    <row r="68" spans="1:17" hidden="1">
      <c r="A68" s="678" t="str">
        <f>RESUMEN!A68</f>
        <v>38</v>
      </c>
      <c r="B68" s="679" t="str">
        <f>IF('CUADRO (1)'!AI68="","",TABLERO!H68)</f>
        <v/>
      </c>
      <c r="C68" s="679" t="str">
        <f>IF('CUADRO (1)'!AI68="","",TABLERO!W68)</f>
        <v/>
      </c>
      <c r="D68" s="680" t="str">
        <f>IF(OR(TABLERO!BC68=""),"",IF(TABLERO!$F$17="KVA",TABLERO!BC68/TABLERO!$DA68,TABLERO!BC68))</f>
        <v/>
      </c>
      <c r="E68" s="680" t="str">
        <f>IF(OR(TABLERO!BD68=""),"",IF(TABLERO!$F$17="KVA",TABLERO!BD68/TABLERO!$DA68,TABLERO!BD68))</f>
        <v/>
      </c>
      <c r="F68" s="680" t="str">
        <f>IF(OR(TABLERO!BE68=""),"",IF(TABLERO!$F$17="KVA",TABLERO!BE68/TABLERO!$DA68,TABLERO!BE68))</f>
        <v/>
      </c>
      <c r="G68" s="680" t="str">
        <f>IF(OR(TABLERO!BH68=""),"",IF(TABLERO!$F$17="KVA",TABLERO!BH68/TABLERO!$DA68,TABLERO!BH68))</f>
        <v/>
      </c>
      <c r="H68" s="680" t="str">
        <f>IF(OR(TABLERO!BI68=""),"",IF(TABLERO!$F$17="KVA",TABLERO!BI68/TABLERO!$DA68,TABLERO!BI68))</f>
        <v/>
      </c>
      <c r="I68" s="680" t="str">
        <f>IF(OR(TABLERO!BJ68=""),"",IF(TABLERO!$F$17="KVA",TABLERO!BJ68/TABLERO!$DA68,TABLERO!BJ68))</f>
        <v/>
      </c>
      <c r="J68" s="680" t="str">
        <f>IF(OR(TABLERO!BK68=""),"",IF(TABLERO!$F$17="KVA",TABLERO!BK68/TABLERO!$DA68,TABLERO!BK68))</f>
        <v/>
      </c>
      <c r="K68" s="680" t="str">
        <f>IF(OR(TABLERO!BL68=""),"",IF(TABLERO!$F$17="KVA",TABLERO!BL68/TABLERO!$DA68,TABLERO!BL68))</f>
        <v/>
      </c>
      <c r="L68" s="680" t="str">
        <f>IF(OR(TABLERO!BO68=""),"",IF(TABLERO!$F$17="KVA",TABLERO!BO68/TABLERO!$DA68,TABLERO!BO68))</f>
        <v/>
      </c>
      <c r="M68" s="680" t="str">
        <f>IF(OR(TABLERO!BP68=""),"",IF(TABLERO!$F$17="KVA",TABLERO!BP68/TABLERO!$DA68,TABLERO!BP68))</f>
        <v/>
      </c>
      <c r="N68" s="680" t="str">
        <f>IF(TABLERO!BQ68="","",IF(TABLERO!$F$17="KVA",TABLERO!BQ68/TABLERO!$F$14,TABLERO!BQ68))</f>
        <v/>
      </c>
      <c r="O68" s="680" t="str">
        <f>IF(TABLERO!BS68=0,"",TABLERO!BS68)</f>
        <v/>
      </c>
      <c r="P68" s="681" t="str">
        <f>IF(TABLERO!BQ68="","",IF(TABLERO!$F$17="KVA",TABLERO!BR68/TABLERO!$F$14,TABLERO!BR68))</f>
        <v/>
      </c>
      <c r="Q68" s="682" t="str">
        <f>IF(TABLERO!H68="TB",IF(SUM(D68:N68)&lt;&gt;0,"",TABLERO!BU68),"")</f>
        <v/>
      </c>
    </row>
    <row r="69" spans="1:17" hidden="1">
      <c r="A69" s="678" t="str">
        <f>RESUMEN!A69</f>
        <v>39</v>
      </c>
      <c r="B69" s="679" t="str">
        <f>IF('CUADRO (1)'!AI69="","",TABLERO!H69)</f>
        <v/>
      </c>
      <c r="C69" s="679" t="str">
        <f>IF('CUADRO (1)'!AI69="","",TABLERO!W69)</f>
        <v/>
      </c>
      <c r="D69" s="680" t="str">
        <f>IF(OR(TABLERO!BC69=""),"",IF(TABLERO!$F$17="KVA",TABLERO!BC69/TABLERO!$DA69,TABLERO!BC69))</f>
        <v/>
      </c>
      <c r="E69" s="680" t="str">
        <f>IF(OR(TABLERO!BD69=""),"",IF(TABLERO!$F$17="KVA",TABLERO!BD69/TABLERO!$DA69,TABLERO!BD69))</f>
        <v/>
      </c>
      <c r="F69" s="680" t="str">
        <f>IF(OR(TABLERO!BE69=""),"",IF(TABLERO!$F$17="KVA",TABLERO!BE69/TABLERO!$DA69,TABLERO!BE69))</f>
        <v/>
      </c>
      <c r="G69" s="680" t="str">
        <f>IF(OR(TABLERO!BH69=""),"",IF(TABLERO!$F$17="KVA",TABLERO!BH69/TABLERO!$DA69,TABLERO!BH69))</f>
        <v/>
      </c>
      <c r="H69" s="680" t="str">
        <f>IF(OR(TABLERO!BI69=""),"",IF(TABLERO!$F$17="KVA",TABLERO!BI69/TABLERO!$DA69,TABLERO!BI69))</f>
        <v/>
      </c>
      <c r="I69" s="680" t="str">
        <f>IF(OR(TABLERO!BJ69=""),"",IF(TABLERO!$F$17="KVA",TABLERO!BJ69/TABLERO!$DA69,TABLERO!BJ69))</f>
        <v/>
      </c>
      <c r="J69" s="680" t="str">
        <f>IF(OR(TABLERO!BK69=""),"",IF(TABLERO!$F$17="KVA",TABLERO!BK69/TABLERO!$DA69,TABLERO!BK69))</f>
        <v/>
      </c>
      <c r="K69" s="680" t="str">
        <f>IF(OR(TABLERO!BL69=""),"",IF(TABLERO!$F$17="KVA",TABLERO!BL69/TABLERO!$DA69,TABLERO!BL69))</f>
        <v/>
      </c>
      <c r="L69" s="680" t="str">
        <f>IF(OR(TABLERO!BO69=""),"",IF(TABLERO!$F$17="KVA",TABLERO!BO69/TABLERO!$DA69,TABLERO!BO69))</f>
        <v/>
      </c>
      <c r="M69" s="680" t="str">
        <f>IF(OR(TABLERO!BP69=""),"",IF(TABLERO!$F$17="KVA",TABLERO!BP69/TABLERO!$DA69,TABLERO!BP69))</f>
        <v/>
      </c>
      <c r="N69" s="680" t="str">
        <f>IF(TABLERO!BQ69="","",IF(TABLERO!$F$17="KVA",TABLERO!BQ69/TABLERO!$F$14,TABLERO!BQ69))</f>
        <v/>
      </c>
      <c r="O69" s="680" t="str">
        <f>IF(TABLERO!BS69=0,"",TABLERO!BS69)</f>
        <v/>
      </c>
      <c r="P69" s="681" t="str">
        <f>IF(TABLERO!BQ69="","",IF(TABLERO!$F$17="KVA",TABLERO!BR69/TABLERO!$F$14,TABLERO!BR69))</f>
        <v/>
      </c>
      <c r="Q69" s="682" t="str">
        <f>IF(TABLERO!H69="TB",IF(SUM(D69:N69)&lt;&gt;0,"",TABLERO!BU69),"")</f>
        <v/>
      </c>
    </row>
    <row r="70" spans="1:17" hidden="1">
      <c r="A70" s="678" t="str">
        <f>RESUMEN!A70</f>
        <v>40</v>
      </c>
      <c r="B70" s="679" t="str">
        <f>IF('CUADRO (1)'!AI70="","",TABLERO!H70)</f>
        <v/>
      </c>
      <c r="C70" s="679" t="str">
        <f>IF('CUADRO (1)'!AI70="","",TABLERO!W70)</f>
        <v/>
      </c>
      <c r="D70" s="680" t="str">
        <f>IF(OR(TABLERO!BC70=""),"",IF(TABLERO!$F$17="KVA",TABLERO!BC70/TABLERO!$DA70,TABLERO!BC70))</f>
        <v/>
      </c>
      <c r="E70" s="680" t="str">
        <f>IF(OR(TABLERO!BD70=""),"",IF(TABLERO!$F$17="KVA",TABLERO!BD70/TABLERO!$DA70,TABLERO!BD70))</f>
        <v/>
      </c>
      <c r="F70" s="680" t="str">
        <f>IF(OR(TABLERO!BE70=""),"",IF(TABLERO!$F$17="KVA",TABLERO!BE70/TABLERO!$DA70,TABLERO!BE70))</f>
        <v/>
      </c>
      <c r="G70" s="680" t="str">
        <f>IF(OR(TABLERO!BH70=""),"",IF(TABLERO!$F$17="KVA",TABLERO!BH70/TABLERO!$DA70,TABLERO!BH70))</f>
        <v/>
      </c>
      <c r="H70" s="680" t="str">
        <f>IF(OR(TABLERO!BI70=""),"",IF(TABLERO!$F$17="KVA",TABLERO!BI70/TABLERO!$DA70,TABLERO!BI70))</f>
        <v/>
      </c>
      <c r="I70" s="680" t="str">
        <f>IF(OR(TABLERO!BJ70=""),"",IF(TABLERO!$F$17="KVA",TABLERO!BJ70/TABLERO!$DA70,TABLERO!BJ70))</f>
        <v/>
      </c>
      <c r="J70" s="680" t="str">
        <f>IF(OR(TABLERO!BK70=""),"",IF(TABLERO!$F$17="KVA",TABLERO!BK70/TABLERO!$DA70,TABLERO!BK70))</f>
        <v/>
      </c>
      <c r="K70" s="680" t="str">
        <f>IF(OR(TABLERO!BL70=""),"",IF(TABLERO!$F$17="KVA",TABLERO!BL70/TABLERO!$DA70,TABLERO!BL70))</f>
        <v/>
      </c>
      <c r="L70" s="680" t="str">
        <f>IF(OR(TABLERO!BO70=""),"",IF(TABLERO!$F$17="KVA",TABLERO!BO70/TABLERO!$DA70,TABLERO!BO70))</f>
        <v/>
      </c>
      <c r="M70" s="680" t="str">
        <f>IF(OR(TABLERO!BP70=""),"",IF(TABLERO!$F$17="KVA",TABLERO!BP70/TABLERO!$DA70,TABLERO!BP70))</f>
        <v/>
      </c>
      <c r="N70" s="680" t="str">
        <f>IF(TABLERO!BQ70="","",IF(TABLERO!$F$17="KVA",TABLERO!BQ70/TABLERO!$F$14,TABLERO!BQ70))</f>
        <v/>
      </c>
      <c r="O70" s="680" t="str">
        <f>IF(TABLERO!BS70=0,"",TABLERO!BS70)</f>
        <v/>
      </c>
      <c r="P70" s="681" t="str">
        <f>IF(TABLERO!BQ70="","",IF(TABLERO!$F$17="KVA",TABLERO!BR70/TABLERO!$F$14,TABLERO!BR70))</f>
        <v/>
      </c>
      <c r="Q70" s="682" t="str">
        <f>IF(TABLERO!H70="TB",IF(SUM(D70:N70)&lt;&gt;0,"",TABLERO!BU70),"")</f>
        <v/>
      </c>
    </row>
    <row r="71" spans="1:17" hidden="1">
      <c r="A71" s="678" t="str">
        <f>RESUMEN!A71</f>
        <v>41</v>
      </c>
      <c r="B71" s="679" t="str">
        <f>IF('CUADRO (1)'!AI71="","",TABLERO!H71)</f>
        <v/>
      </c>
      <c r="C71" s="679" t="str">
        <f>IF('CUADRO (1)'!AI71="","",TABLERO!W71)</f>
        <v/>
      </c>
      <c r="D71" s="680" t="str">
        <f>IF(OR(TABLERO!BC71=""),"",IF(TABLERO!$F$17="KVA",TABLERO!BC71/TABLERO!$DA71,TABLERO!BC71))</f>
        <v/>
      </c>
      <c r="E71" s="680" t="str">
        <f>IF(OR(TABLERO!BD71=""),"",IF(TABLERO!$F$17="KVA",TABLERO!BD71/TABLERO!$DA71,TABLERO!BD71))</f>
        <v/>
      </c>
      <c r="F71" s="680" t="str">
        <f>IF(OR(TABLERO!BE71=""),"",IF(TABLERO!$F$17="KVA",TABLERO!BE71/TABLERO!$DA71,TABLERO!BE71))</f>
        <v/>
      </c>
      <c r="G71" s="680" t="str">
        <f>IF(OR(TABLERO!BH71=""),"",IF(TABLERO!$F$17="KVA",TABLERO!BH71/TABLERO!$DA71,TABLERO!BH71))</f>
        <v/>
      </c>
      <c r="H71" s="680" t="str">
        <f>IF(OR(TABLERO!BI71=""),"",IF(TABLERO!$F$17="KVA",TABLERO!BI71/TABLERO!$DA71,TABLERO!BI71))</f>
        <v/>
      </c>
      <c r="I71" s="680" t="str">
        <f>IF(OR(TABLERO!BJ71=""),"",IF(TABLERO!$F$17="KVA",TABLERO!BJ71/TABLERO!$DA71,TABLERO!BJ71))</f>
        <v/>
      </c>
      <c r="J71" s="680" t="str">
        <f>IF(OR(TABLERO!BK71=""),"",IF(TABLERO!$F$17="KVA",TABLERO!BK71/TABLERO!$DA71,TABLERO!BK71))</f>
        <v/>
      </c>
      <c r="K71" s="680" t="str">
        <f>IF(OR(TABLERO!BL71=""),"",IF(TABLERO!$F$17="KVA",TABLERO!BL71/TABLERO!$DA71,TABLERO!BL71))</f>
        <v/>
      </c>
      <c r="L71" s="680" t="str">
        <f>IF(OR(TABLERO!BO71=""),"",IF(TABLERO!$F$17="KVA",TABLERO!BO71/TABLERO!$DA71,TABLERO!BO71))</f>
        <v/>
      </c>
      <c r="M71" s="680" t="str">
        <f>IF(OR(TABLERO!BP71=""),"",IF(TABLERO!$F$17="KVA",TABLERO!BP71/TABLERO!$DA71,TABLERO!BP71))</f>
        <v/>
      </c>
      <c r="N71" s="680" t="str">
        <f>IF(TABLERO!BQ71="","",IF(TABLERO!$F$17="KVA",TABLERO!BQ71/TABLERO!$F$14,TABLERO!BQ71))</f>
        <v/>
      </c>
      <c r="O71" s="680" t="str">
        <f>IF(TABLERO!BS71=0,"",TABLERO!BS71)</f>
        <v/>
      </c>
      <c r="P71" s="681" t="str">
        <f>IF(TABLERO!BQ71="","",IF(TABLERO!$F$17="KVA",TABLERO!BR71/TABLERO!$F$14,TABLERO!BR71))</f>
        <v/>
      </c>
      <c r="Q71" s="682" t="str">
        <f>IF(TABLERO!H71="TB",IF(SUM(D71:N71)&lt;&gt;0,"",TABLERO!BU71),"")</f>
        <v/>
      </c>
    </row>
    <row r="72" spans="1:17" hidden="1">
      <c r="A72" s="678" t="str">
        <f>RESUMEN!A72</f>
        <v>42</v>
      </c>
      <c r="B72" s="679" t="str">
        <f>IF('CUADRO (1)'!AI72="","",TABLERO!H72)</f>
        <v/>
      </c>
      <c r="C72" s="679" t="str">
        <f>IF('CUADRO (1)'!AI72="","",TABLERO!W72)</f>
        <v/>
      </c>
      <c r="D72" s="680" t="str">
        <f>IF(OR(TABLERO!BC72=""),"",IF(TABLERO!$F$17="KVA",TABLERO!BC72/TABLERO!$DA72,TABLERO!BC72))</f>
        <v/>
      </c>
      <c r="E72" s="680" t="str">
        <f>IF(OR(TABLERO!BD72=""),"",IF(TABLERO!$F$17="KVA",TABLERO!BD72/TABLERO!$DA72,TABLERO!BD72))</f>
        <v/>
      </c>
      <c r="F72" s="680" t="str">
        <f>IF(OR(TABLERO!BE72=""),"",IF(TABLERO!$F$17="KVA",TABLERO!BE72/TABLERO!$DA72,TABLERO!BE72))</f>
        <v/>
      </c>
      <c r="G72" s="680" t="str">
        <f>IF(OR(TABLERO!BH72=""),"",IF(TABLERO!$F$17="KVA",TABLERO!BH72/TABLERO!$DA72,TABLERO!BH72))</f>
        <v/>
      </c>
      <c r="H72" s="680" t="str">
        <f>IF(OR(TABLERO!BI72=""),"",IF(TABLERO!$F$17="KVA",TABLERO!BI72/TABLERO!$DA72,TABLERO!BI72))</f>
        <v/>
      </c>
      <c r="I72" s="680" t="str">
        <f>IF(OR(TABLERO!BJ72=""),"",IF(TABLERO!$F$17="KVA",TABLERO!BJ72/TABLERO!$DA72,TABLERO!BJ72))</f>
        <v/>
      </c>
      <c r="J72" s="680" t="str">
        <f>IF(OR(TABLERO!BK72=""),"",IF(TABLERO!$F$17="KVA",TABLERO!BK72/TABLERO!$DA72,TABLERO!BK72))</f>
        <v/>
      </c>
      <c r="K72" s="680" t="str">
        <f>IF(OR(TABLERO!BL72=""),"",IF(TABLERO!$F$17="KVA",TABLERO!BL72/TABLERO!$DA72,TABLERO!BL72))</f>
        <v/>
      </c>
      <c r="L72" s="680" t="str">
        <f>IF(OR(TABLERO!BO72=""),"",IF(TABLERO!$F$17="KVA",TABLERO!BO72/TABLERO!$DA72,TABLERO!BO72))</f>
        <v/>
      </c>
      <c r="M72" s="680" t="str">
        <f>IF(OR(TABLERO!BP72=""),"",IF(TABLERO!$F$17="KVA",TABLERO!BP72/TABLERO!$DA72,TABLERO!BP72))</f>
        <v/>
      </c>
      <c r="N72" s="680" t="str">
        <f>IF(TABLERO!BQ72="","",IF(TABLERO!$F$17="KVA",TABLERO!BQ72/TABLERO!$F$14,TABLERO!BQ72))</f>
        <v/>
      </c>
      <c r="O72" s="680" t="str">
        <f>IF(TABLERO!BS72=0,"",TABLERO!BS72)</f>
        <v/>
      </c>
      <c r="P72" s="681" t="str">
        <f>IF(TABLERO!BQ72="","",IF(TABLERO!$F$17="KVA",TABLERO!BR72/TABLERO!$F$14,TABLERO!BR72))</f>
        <v/>
      </c>
      <c r="Q72" s="682" t="str">
        <f>IF(TABLERO!H72="TB",IF(SUM(D72:N72)&lt;&gt;0,"",TABLERO!BU72),"")</f>
        <v/>
      </c>
    </row>
    <row r="73" spans="1:17" hidden="1">
      <c r="A73" s="678" t="str">
        <f>RESUMEN!A73</f>
        <v>43</v>
      </c>
      <c r="B73" s="679" t="str">
        <f>IF('CUADRO (1)'!AI73="","",TABLERO!H73)</f>
        <v/>
      </c>
      <c r="C73" s="679" t="str">
        <f>IF('CUADRO (1)'!AI73="","",TABLERO!W73)</f>
        <v/>
      </c>
      <c r="D73" s="680" t="str">
        <f>IF(OR(TABLERO!BC73=""),"",IF(TABLERO!$F$17="KVA",TABLERO!BC73/TABLERO!$DA73,TABLERO!BC73))</f>
        <v/>
      </c>
      <c r="E73" s="680" t="str">
        <f>IF(OR(TABLERO!BD73=""),"",IF(TABLERO!$F$17="KVA",TABLERO!BD73/TABLERO!$DA73,TABLERO!BD73))</f>
        <v/>
      </c>
      <c r="F73" s="680" t="str">
        <f>IF(OR(TABLERO!BE73=""),"",IF(TABLERO!$F$17="KVA",TABLERO!BE73/TABLERO!$DA73,TABLERO!BE73))</f>
        <v/>
      </c>
      <c r="G73" s="680" t="str">
        <f>IF(OR(TABLERO!BH73=""),"",IF(TABLERO!$F$17="KVA",TABLERO!BH73/TABLERO!$DA73,TABLERO!BH73))</f>
        <v/>
      </c>
      <c r="H73" s="680" t="str">
        <f>IF(OR(TABLERO!BI73=""),"",IF(TABLERO!$F$17="KVA",TABLERO!BI73/TABLERO!$DA73,TABLERO!BI73))</f>
        <v/>
      </c>
      <c r="I73" s="680" t="str">
        <f>IF(OR(TABLERO!BJ73=""),"",IF(TABLERO!$F$17="KVA",TABLERO!BJ73/TABLERO!$DA73,TABLERO!BJ73))</f>
        <v/>
      </c>
      <c r="J73" s="680" t="str">
        <f>IF(OR(TABLERO!BK73=""),"",IF(TABLERO!$F$17="KVA",TABLERO!BK73/TABLERO!$DA73,TABLERO!BK73))</f>
        <v/>
      </c>
      <c r="K73" s="680" t="str">
        <f>IF(OR(TABLERO!BL73=""),"",IF(TABLERO!$F$17="KVA",TABLERO!BL73/TABLERO!$DA73,TABLERO!BL73))</f>
        <v/>
      </c>
      <c r="L73" s="680" t="str">
        <f>IF(OR(TABLERO!BO73=""),"",IF(TABLERO!$F$17="KVA",TABLERO!BO73/TABLERO!$DA73,TABLERO!BO73))</f>
        <v/>
      </c>
      <c r="M73" s="680" t="str">
        <f>IF(OR(TABLERO!BP73=""),"",IF(TABLERO!$F$17="KVA",TABLERO!BP73/TABLERO!$DA73,TABLERO!BP73))</f>
        <v/>
      </c>
      <c r="N73" s="680" t="str">
        <f>IF(TABLERO!BQ73="","",IF(TABLERO!$F$17="KVA",TABLERO!BQ73/TABLERO!$F$14,TABLERO!BQ73))</f>
        <v/>
      </c>
      <c r="O73" s="680" t="str">
        <f>IF(TABLERO!BS73=0,"",TABLERO!BS73)</f>
        <v/>
      </c>
      <c r="P73" s="681" t="str">
        <f>IF(TABLERO!BQ73="","",IF(TABLERO!$F$17="KVA",TABLERO!BR73/TABLERO!$F$14,TABLERO!BR73))</f>
        <v/>
      </c>
      <c r="Q73" s="682" t="str">
        <f>IF(TABLERO!H73="TB",IF(SUM(D73:N73)&lt;&gt;0,"",TABLERO!BU73),"")</f>
        <v/>
      </c>
    </row>
    <row r="74" spans="1:17" hidden="1">
      <c r="A74" s="678" t="str">
        <f>RESUMEN!A74</f>
        <v>44</v>
      </c>
      <c r="B74" s="679" t="str">
        <f>IF('CUADRO (1)'!AI74="","",TABLERO!H74)</f>
        <v/>
      </c>
      <c r="C74" s="679" t="str">
        <f>IF('CUADRO (1)'!AI74="","",TABLERO!W74)</f>
        <v/>
      </c>
      <c r="D74" s="680" t="str">
        <f>IF(OR(TABLERO!BC74=""),"",IF(TABLERO!$F$17="KVA",TABLERO!BC74/TABLERO!$DA74,TABLERO!BC74))</f>
        <v/>
      </c>
      <c r="E74" s="680" t="str">
        <f>IF(OR(TABLERO!BD74=""),"",IF(TABLERO!$F$17="KVA",TABLERO!BD74/TABLERO!$DA74,TABLERO!BD74))</f>
        <v/>
      </c>
      <c r="F74" s="680" t="str">
        <f>IF(OR(TABLERO!BE74=""),"",IF(TABLERO!$F$17="KVA",TABLERO!BE74/TABLERO!$DA74,TABLERO!BE74))</f>
        <v/>
      </c>
      <c r="G74" s="680" t="str">
        <f>IF(OR(TABLERO!BH74=""),"",IF(TABLERO!$F$17="KVA",TABLERO!BH74/TABLERO!$DA74,TABLERO!BH74))</f>
        <v/>
      </c>
      <c r="H74" s="680" t="str">
        <f>IF(OR(TABLERO!BI74=""),"",IF(TABLERO!$F$17="KVA",TABLERO!BI74/TABLERO!$DA74,TABLERO!BI74))</f>
        <v/>
      </c>
      <c r="I74" s="680" t="str">
        <f>IF(OR(TABLERO!BJ74=""),"",IF(TABLERO!$F$17="KVA",TABLERO!BJ74/TABLERO!$DA74,TABLERO!BJ74))</f>
        <v/>
      </c>
      <c r="J74" s="680" t="str">
        <f>IF(OR(TABLERO!BK74=""),"",IF(TABLERO!$F$17="KVA",TABLERO!BK74/TABLERO!$DA74,TABLERO!BK74))</f>
        <v/>
      </c>
      <c r="K74" s="680" t="str">
        <f>IF(OR(TABLERO!BL74=""),"",IF(TABLERO!$F$17="KVA",TABLERO!BL74/TABLERO!$DA74,TABLERO!BL74))</f>
        <v/>
      </c>
      <c r="L74" s="680" t="str">
        <f>IF(OR(TABLERO!BO74=""),"",IF(TABLERO!$F$17="KVA",TABLERO!BO74/TABLERO!$DA74,TABLERO!BO74))</f>
        <v/>
      </c>
      <c r="M74" s="680" t="str">
        <f>IF(OR(TABLERO!BP74=""),"",IF(TABLERO!$F$17="KVA",TABLERO!BP74/TABLERO!$DA74,TABLERO!BP74))</f>
        <v/>
      </c>
      <c r="N74" s="680" t="str">
        <f>IF(TABLERO!BQ74="","",IF(TABLERO!$F$17="KVA",TABLERO!BQ74/TABLERO!$F$14,TABLERO!BQ74))</f>
        <v/>
      </c>
      <c r="O74" s="680" t="str">
        <f>IF(TABLERO!BS74=0,"",TABLERO!BS74)</f>
        <v/>
      </c>
      <c r="P74" s="681" t="str">
        <f>IF(TABLERO!BQ74="","",IF(TABLERO!$F$17="KVA",TABLERO!BR74/TABLERO!$F$14,TABLERO!BR74))</f>
        <v/>
      </c>
      <c r="Q74" s="682" t="str">
        <f>IF(TABLERO!H74="TB",IF(SUM(D74:N74)&lt;&gt;0,"",TABLERO!BU74),"")</f>
        <v/>
      </c>
    </row>
    <row r="75" spans="1:17" hidden="1">
      <c r="A75" s="678" t="str">
        <f>RESUMEN!A75</f>
        <v>45</v>
      </c>
      <c r="B75" s="679" t="str">
        <f>IF('CUADRO (1)'!AI75="","",TABLERO!H75)</f>
        <v/>
      </c>
      <c r="C75" s="679" t="str">
        <f>IF('CUADRO (1)'!AI75="","",TABLERO!W75)</f>
        <v/>
      </c>
      <c r="D75" s="680" t="str">
        <f>IF(OR(TABLERO!BC75=""),"",IF(TABLERO!$F$17="KVA",TABLERO!BC75/TABLERO!$DA75,TABLERO!BC75))</f>
        <v/>
      </c>
      <c r="E75" s="680" t="str">
        <f>IF(OR(TABLERO!BD75=""),"",IF(TABLERO!$F$17="KVA",TABLERO!BD75/TABLERO!$DA75,TABLERO!BD75))</f>
        <v/>
      </c>
      <c r="F75" s="680" t="str">
        <f>IF(OR(TABLERO!BE75=""),"",IF(TABLERO!$F$17="KVA",TABLERO!BE75/TABLERO!$DA75,TABLERO!BE75))</f>
        <v/>
      </c>
      <c r="G75" s="680" t="str">
        <f>IF(OR(TABLERO!BH75=""),"",IF(TABLERO!$F$17="KVA",TABLERO!BH75/TABLERO!$DA75,TABLERO!BH75))</f>
        <v/>
      </c>
      <c r="H75" s="680" t="str">
        <f>IF(OR(TABLERO!BI75=""),"",IF(TABLERO!$F$17="KVA",TABLERO!BI75/TABLERO!$DA75,TABLERO!BI75))</f>
        <v/>
      </c>
      <c r="I75" s="680" t="str">
        <f>IF(OR(TABLERO!BJ75=""),"",IF(TABLERO!$F$17="KVA",TABLERO!BJ75/TABLERO!$DA75,TABLERO!BJ75))</f>
        <v/>
      </c>
      <c r="J75" s="680" t="str">
        <f>IF(OR(TABLERO!BK75=""),"",IF(TABLERO!$F$17="KVA",TABLERO!BK75/TABLERO!$DA75,TABLERO!BK75))</f>
        <v/>
      </c>
      <c r="K75" s="680" t="str">
        <f>IF(OR(TABLERO!BL75=""),"",IF(TABLERO!$F$17="KVA",TABLERO!BL75/TABLERO!$DA75,TABLERO!BL75))</f>
        <v/>
      </c>
      <c r="L75" s="680" t="str">
        <f>IF(OR(TABLERO!BO75=""),"",IF(TABLERO!$F$17="KVA",TABLERO!BO75/TABLERO!$DA75,TABLERO!BO75))</f>
        <v/>
      </c>
      <c r="M75" s="680" t="str">
        <f>IF(OR(TABLERO!BP75=""),"",IF(TABLERO!$F$17="KVA",TABLERO!BP75/TABLERO!$DA75,TABLERO!BP75))</f>
        <v/>
      </c>
      <c r="N75" s="680" t="str">
        <f>IF(TABLERO!BQ75="","",IF(TABLERO!$F$17="KVA",TABLERO!BQ75/TABLERO!$F$14,TABLERO!BQ75))</f>
        <v/>
      </c>
      <c r="O75" s="680" t="str">
        <f>IF(TABLERO!BS75=0,"",TABLERO!BS75)</f>
        <v/>
      </c>
      <c r="P75" s="681" t="str">
        <f>IF(TABLERO!BQ75="","",IF(TABLERO!$F$17="KVA",TABLERO!BR75/TABLERO!$F$14,TABLERO!BR75))</f>
        <v/>
      </c>
      <c r="Q75" s="682" t="str">
        <f>IF(TABLERO!H75="TB",IF(SUM(D75:N75)&lt;&gt;0,"",TABLERO!BU75),"")</f>
        <v/>
      </c>
    </row>
    <row r="76" spans="1:17" hidden="1">
      <c r="A76" s="678" t="str">
        <f>RESUMEN!A76</f>
        <v>46</v>
      </c>
      <c r="B76" s="679" t="str">
        <f>IF('CUADRO (1)'!AI76="","",TABLERO!H76)</f>
        <v/>
      </c>
      <c r="C76" s="679" t="str">
        <f>IF('CUADRO (1)'!AI76="","",TABLERO!W76)</f>
        <v/>
      </c>
      <c r="D76" s="680" t="str">
        <f>IF(OR(TABLERO!BC76=""),"",IF(TABLERO!$F$17="KVA",TABLERO!BC76/TABLERO!$DA76,TABLERO!BC76))</f>
        <v/>
      </c>
      <c r="E76" s="680" t="str">
        <f>IF(OR(TABLERO!BD76=""),"",IF(TABLERO!$F$17="KVA",TABLERO!BD76/TABLERO!$DA76,TABLERO!BD76))</f>
        <v/>
      </c>
      <c r="F76" s="680" t="str">
        <f>IF(OR(TABLERO!BE76=""),"",IF(TABLERO!$F$17="KVA",TABLERO!BE76/TABLERO!$DA76,TABLERO!BE76))</f>
        <v/>
      </c>
      <c r="G76" s="680" t="str">
        <f>IF(OR(TABLERO!BH76=""),"",IF(TABLERO!$F$17="KVA",TABLERO!BH76/TABLERO!$DA76,TABLERO!BH76))</f>
        <v/>
      </c>
      <c r="H76" s="680" t="str">
        <f>IF(OR(TABLERO!BI76=""),"",IF(TABLERO!$F$17="KVA",TABLERO!BI76/TABLERO!$DA76,TABLERO!BI76))</f>
        <v/>
      </c>
      <c r="I76" s="680" t="str">
        <f>IF(OR(TABLERO!BJ76=""),"",IF(TABLERO!$F$17="KVA",TABLERO!BJ76/TABLERO!$DA76,TABLERO!BJ76))</f>
        <v/>
      </c>
      <c r="J76" s="680" t="str">
        <f>IF(OR(TABLERO!BK76=""),"",IF(TABLERO!$F$17="KVA",TABLERO!BK76/TABLERO!$DA76,TABLERO!BK76))</f>
        <v/>
      </c>
      <c r="K76" s="680" t="str">
        <f>IF(OR(TABLERO!BL76=""),"",IF(TABLERO!$F$17="KVA",TABLERO!BL76/TABLERO!$DA76,TABLERO!BL76))</f>
        <v/>
      </c>
      <c r="L76" s="680" t="str">
        <f>IF(OR(TABLERO!BO76=""),"",IF(TABLERO!$F$17="KVA",TABLERO!BO76/TABLERO!$DA76,TABLERO!BO76))</f>
        <v/>
      </c>
      <c r="M76" s="680" t="str">
        <f>IF(OR(TABLERO!BP76=""),"",IF(TABLERO!$F$17="KVA",TABLERO!BP76/TABLERO!$DA76,TABLERO!BP76))</f>
        <v/>
      </c>
      <c r="N76" s="680" t="str">
        <f>IF(TABLERO!BQ76="","",IF(TABLERO!$F$17="KVA",TABLERO!BQ76/TABLERO!$F$14,TABLERO!BQ76))</f>
        <v/>
      </c>
      <c r="O76" s="680" t="str">
        <f>IF(TABLERO!BS76=0,"",TABLERO!BS76)</f>
        <v/>
      </c>
      <c r="P76" s="681" t="str">
        <f>IF(TABLERO!BQ76="","",IF(TABLERO!$F$17="KVA",TABLERO!BR76/TABLERO!$F$14,TABLERO!BR76))</f>
        <v/>
      </c>
      <c r="Q76" s="682" t="str">
        <f>IF(TABLERO!H76="TB",IF(SUM(D76:N76)&lt;&gt;0,"",TABLERO!BU76),"")</f>
        <v/>
      </c>
    </row>
    <row r="77" spans="1:17" hidden="1">
      <c r="A77" s="678" t="str">
        <f>RESUMEN!A77</f>
        <v>47</v>
      </c>
      <c r="B77" s="679" t="str">
        <f>IF('CUADRO (1)'!AI77="","",TABLERO!H77)</f>
        <v/>
      </c>
      <c r="C77" s="679" t="str">
        <f>IF('CUADRO (1)'!AI77="","",TABLERO!W77)</f>
        <v/>
      </c>
      <c r="D77" s="680" t="str">
        <f>IF(OR(TABLERO!BC77=""),"",IF(TABLERO!$F$17="KVA",TABLERO!BC77/TABLERO!$DA77,TABLERO!BC77))</f>
        <v/>
      </c>
      <c r="E77" s="680" t="str">
        <f>IF(OR(TABLERO!BD77=""),"",IF(TABLERO!$F$17="KVA",TABLERO!BD77/TABLERO!$DA77,TABLERO!BD77))</f>
        <v/>
      </c>
      <c r="F77" s="680" t="str">
        <f>IF(OR(TABLERO!BE77=""),"",IF(TABLERO!$F$17="KVA",TABLERO!BE77/TABLERO!$DA77,TABLERO!BE77))</f>
        <v/>
      </c>
      <c r="G77" s="680" t="str">
        <f>IF(OR(TABLERO!BH77=""),"",IF(TABLERO!$F$17="KVA",TABLERO!BH77/TABLERO!$DA77,TABLERO!BH77))</f>
        <v/>
      </c>
      <c r="H77" s="680" t="str">
        <f>IF(OR(TABLERO!BI77=""),"",IF(TABLERO!$F$17="KVA",TABLERO!BI77/TABLERO!$DA77,TABLERO!BI77))</f>
        <v/>
      </c>
      <c r="I77" s="680" t="str">
        <f>IF(OR(TABLERO!BJ77=""),"",IF(TABLERO!$F$17="KVA",TABLERO!BJ77/TABLERO!$DA77,TABLERO!BJ77))</f>
        <v/>
      </c>
      <c r="J77" s="680" t="str">
        <f>IF(OR(TABLERO!BK77=""),"",IF(TABLERO!$F$17="KVA",TABLERO!BK77/TABLERO!$DA77,TABLERO!BK77))</f>
        <v/>
      </c>
      <c r="K77" s="680" t="str">
        <f>IF(OR(TABLERO!BL77=""),"",IF(TABLERO!$F$17="KVA",TABLERO!BL77/TABLERO!$DA77,TABLERO!BL77))</f>
        <v/>
      </c>
      <c r="L77" s="680" t="str">
        <f>IF(OR(TABLERO!BO77=""),"",IF(TABLERO!$F$17="KVA",TABLERO!BO77/TABLERO!$DA77,TABLERO!BO77))</f>
        <v/>
      </c>
      <c r="M77" s="680" t="str">
        <f>IF(OR(TABLERO!BP77=""),"",IF(TABLERO!$F$17="KVA",TABLERO!BP77/TABLERO!$DA77,TABLERO!BP77))</f>
        <v/>
      </c>
      <c r="N77" s="680" t="str">
        <f>IF(TABLERO!BQ77="","",IF(TABLERO!$F$17="KVA",TABLERO!BQ77/TABLERO!$F$14,TABLERO!BQ77))</f>
        <v/>
      </c>
      <c r="O77" s="680" t="str">
        <f>IF(TABLERO!BS77=0,"",TABLERO!BS77)</f>
        <v/>
      </c>
      <c r="P77" s="681" t="str">
        <f>IF(TABLERO!BQ77="","",IF(TABLERO!$F$17="KVA",TABLERO!BR77/TABLERO!$F$14,TABLERO!BR77))</f>
        <v/>
      </c>
      <c r="Q77" s="682" t="str">
        <f>IF(TABLERO!H77="TB",IF(SUM(D77:N77)&lt;&gt;0,"",TABLERO!BU77),"")</f>
        <v/>
      </c>
    </row>
    <row r="78" spans="1:17" hidden="1">
      <c r="A78" s="678" t="str">
        <f>RESUMEN!A78</f>
        <v>48</v>
      </c>
      <c r="B78" s="679" t="str">
        <f>IF('CUADRO (1)'!AI78="","",TABLERO!H78)</f>
        <v/>
      </c>
      <c r="C78" s="679" t="str">
        <f>IF('CUADRO (1)'!AI78="","",TABLERO!W78)</f>
        <v/>
      </c>
      <c r="D78" s="680" t="str">
        <f>IF(OR(TABLERO!BC78=""),"",IF(TABLERO!$F$17="KVA",TABLERO!BC78/TABLERO!$DA78,TABLERO!BC78))</f>
        <v/>
      </c>
      <c r="E78" s="680" t="str">
        <f>IF(OR(TABLERO!BD78=""),"",IF(TABLERO!$F$17="KVA",TABLERO!BD78/TABLERO!$DA78,TABLERO!BD78))</f>
        <v/>
      </c>
      <c r="F78" s="680" t="str">
        <f>IF(OR(TABLERO!BE78=""),"",IF(TABLERO!$F$17="KVA",TABLERO!BE78/TABLERO!$DA78,TABLERO!BE78))</f>
        <v/>
      </c>
      <c r="G78" s="680" t="str">
        <f>IF(OR(TABLERO!BH78=""),"",IF(TABLERO!$F$17="KVA",TABLERO!BH78/TABLERO!$DA78,TABLERO!BH78))</f>
        <v/>
      </c>
      <c r="H78" s="680" t="str">
        <f>IF(OR(TABLERO!BI78=""),"",IF(TABLERO!$F$17="KVA",TABLERO!BI78/TABLERO!$DA78,TABLERO!BI78))</f>
        <v/>
      </c>
      <c r="I78" s="680" t="str">
        <f>IF(OR(TABLERO!BJ78=""),"",IF(TABLERO!$F$17="KVA",TABLERO!BJ78/TABLERO!$DA78,TABLERO!BJ78))</f>
        <v/>
      </c>
      <c r="J78" s="680" t="str">
        <f>IF(OR(TABLERO!BK78=""),"",IF(TABLERO!$F$17="KVA",TABLERO!BK78/TABLERO!$DA78,TABLERO!BK78))</f>
        <v/>
      </c>
      <c r="K78" s="680" t="str">
        <f>IF(OR(TABLERO!BL78=""),"",IF(TABLERO!$F$17="KVA",TABLERO!BL78/TABLERO!$DA78,TABLERO!BL78))</f>
        <v/>
      </c>
      <c r="L78" s="680" t="str">
        <f>IF(OR(TABLERO!BO78=""),"",IF(TABLERO!$F$17="KVA",TABLERO!BO78/TABLERO!$DA78,TABLERO!BO78))</f>
        <v/>
      </c>
      <c r="M78" s="680" t="str">
        <f>IF(OR(TABLERO!BP78=""),"",IF(TABLERO!$F$17="KVA",TABLERO!BP78/TABLERO!$DA78,TABLERO!BP78))</f>
        <v/>
      </c>
      <c r="N78" s="680" t="str">
        <f>IF(TABLERO!BQ78="","",IF(TABLERO!$F$17="KVA",TABLERO!BQ78/TABLERO!$F$14,TABLERO!BQ78))</f>
        <v/>
      </c>
      <c r="O78" s="680" t="str">
        <f>IF(TABLERO!BS78=0,"",TABLERO!BS78)</f>
        <v/>
      </c>
      <c r="P78" s="681" t="str">
        <f>IF(TABLERO!BQ78="","",IF(TABLERO!$F$17="KVA",TABLERO!BR78/TABLERO!$F$14,TABLERO!BR78))</f>
        <v/>
      </c>
      <c r="Q78" s="682" t="str">
        <f>IF(TABLERO!H78="TB",IF(SUM(D78:N78)&lt;&gt;0,"",TABLERO!BU78),"")</f>
        <v/>
      </c>
    </row>
    <row r="79" spans="1:17" hidden="1">
      <c r="A79" s="678" t="str">
        <f>RESUMEN!A79</f>
        <v>49</v>
      </c>
      <c r="B79" s="679" t="str">
        <f>IF('CUADRO (1)'!AI79="","",TABLERO!H79)</f>
        <v/>
      </c>
      <c r="C79" s="679" t="str">
        <f>IF('CUADRO (1)'!AI79="","",TABLERO!W79)</f>
        <v/>
      </c>
      <c r="D79" s="680" t="str">
        <f>IF(OR(TABLERO!BC79=""),"",IF(TABLERO!$F$17="KVA",TABLERO!BC79/TABLERO!$DA79,TABLERO!BC79))</f>
        <v/>
      </c>
      <c r="E79" s="680" t="str">
        <f>IF(OR(TABLERO!BD79=""),"",IF(TABLERO!$F$17="KVA",TABLERO!BD79/TABLERO!$DA79,TABLERO!BD79))</f>
        <v/>
      </c>
      <c r="F79" s="680" t="str">
        <f>IF(OR(TABLERO!BE79=""),"",IF(TABLERO!$F$17="KVA",TABLERO!BE79/TABLERO!$DA79,TABLERO!BE79))</f>
        <v/>
      </c>
      <c r="G79" s="680" t="str">
        <f>IF(OR(TABLERO!BH79=""),"",IF(TABLERO!$F$17="KVA",TABLERO!BH79/TABLERO!$DA79,TABLERO!BH79))</f>
        <v/>
      </c>
      <c r="H79" s="680" t="str">
        <f>IF(OR(TABLERO!BI79=""),"",IF(TABLERO!$F$17="KVA",TABLERO!BI79/TABLERO!$DA79,TABLERO!BI79))</f>
        <v/>
      </c>
      <c r="I79" s="680" t="str">
        <f>IF(OR(TABLERO!BJ79=""),"",IF(TABLERO!$F$17="KVA",TABLERO!BJ79/TABLERO!$DA79,TABLERO!BJ79))</f>
        <v/>
      </c>
      <c r="J79" s="680" t="str">
        <f>IF(OR(TABLERO!BK79=""),"",IF(TABLERO!$F$17="KVA",TABLERO!BK79/TABLERO!$DA79,TABLERO!BK79))</f>
        <v/>
      </c>
      <c r="K79" s="680" t="str">
        <f>IF(OR(TABLERO!BL79=""),"",IF(TABLERO!$F$17="KVA",TABLERO!BL79/TABLERO!$DA79,TABLERO!BL79))</f>
        <v/>
      </c>
      <c r="L79" s="680" t="str">
        <f>IF(OR(TABLERO!BO79=""),"",IF(TABLERO!$F$17="KVA",TABLERO!BO79/TABLERO!$DA79,TABLERO!BO79))</f>
        <v/>
      </c>
      <c r="M79" s="680" t="str">
        <f>IF(OR(TABLERO!BP79=""),"",IF(TABLERO!$F$17="KVA",TABLERO!BP79/TABLERO!$DA79,TABLERO!BP79))</f>
        <v/>
      </c>
      <c r="N79" s="680" t="str">
        <f>IF(TABLERO!BQ79="","",IF(TABLERO!$F$17="KVA",TABLERO!BQ79/TABLERO!$F$14,TABLERO!BQ79))</f>
        <v/>
      </c>
      <c r="O79" s="680" t="str">
        <f>IF(TABLERO!BS79=0,"",TABLERO!BS79)</f>
        <v/>
      </c>
      <c r="P79" s="681" t="str">
        <f>IF(TABLERO!BQ79="","",IF(TABLERO!$F$17="KVA",TABLERO!BR79/TABLERO!$F$14,TABLERO!BR79))</f>
        <v/>
      </c>
      <c r="Q79" s="682" t="str">
        <f>IF(TABLERO!H79="TB",IF(SUM(D79:N79)&lt;&gt;0,"",TABLERO!BU79),"")</f>
        <v/>
      </c>
    </row>
    <row r="80" spans="1:17" hidden="1">
      <c r="A80" s="678" t="str">
        <f>RESUMEN!A80</f>
        <v>50</v>
      </c>
      <c r="B80" s="679" t="str">
        <f>IF('CUADRO (1)'!AI80="","",TABLERO!H80)</f>
        <v/>
      </c>
      <c r="C80" s="679" t="str">
        <f>IF('CUADRO (1)'!AI80="","",TABLERO!W80)</f>
        <v/>
      </c>
      <c r="D80" s="680" t="str">
        <f>IF(OR(TABLERO!BC80=""),"",IF(TABLERO!$F$17="KVA",TABLERO!BC80/TABLERO!$DA80,TABLERO!BC80))</f>
        <v/>
      </c>
      <c r="E80" s="680" t="str">
        <f>IF(OR(TABLERO!BD80=""),"",IF(TABLERO!$F$17="KVA",TABLERO!BD80/TABLERO!$DA80,TABLERO!BD80))</f>
        <v/>
      </c>
      <c r="F80" s="680" t="str">
        <f>IF(OR(TABLERO!BE80=""),"",IF(TABLERO!$F$17="KVA",TABLERO!BE80/TABLERO!$DA80,TABLERO!BE80))</f>
        <v/>
      </c>
      <c r="G80" s="680" t="str">
        <f>IF(OR(TABLERO!BH80=""),"",IF(TABLERO!$F$17="KVA",TABLERO!BH80/TABLERO!$DA80,TABLERO!BH80))</f>
        <v/>
      </c>
      <c r="H80" s="680" t="str">
        <f>IF(OR(TABLERO!BI80=""),"",IF(TABLERO!$F$17="KVA",TABLERO!BI80/TABLERO!$DA80,TABLERO!BI80))</f>
        <v/>
      </c>
      <c r="I80" s="680" t="str">
        <f>IF(OR(TABLERO!BJ80=""),"",IF(TABLERO!$F$17="KVA",TABLERO!BJ80/TABLERO!$DA80,TABLERO!BJ80))</f>
        <v/>
      </c>
      <c r="J80" s="680" t="str">
        <f>IF(OR(TABLERO!BK80=""),"",IF(TABLERO!$F$17="KVA",TABLERO!BK80/TABLERO!$DA80,TABLERO!BK80))</f>
        <v/>
      </c>
      <c r="K80" s="680" t="str">
        <f>IF(OR(TABLERO!BL80=""),"",IF(TABLERO!$F$17="KVA",TABLERO!BL80/TABLERO!$DA80,TABLERO!BL80))</f>
        <v/>
      </c>
      <c r="L80" s="680" t="str">
        <f>IF(OR(TABLERO!BO80=""),"",IF(TABLERO!$F$17="KVA",TABLERO!BO80/TABLERO!$DA80,TABLERO!BO80))</f>
        <v/>
      </c>
      <c r="M80" s="680" t="str">
        <f>IF(OR(TABLERO!BP80=""),"",IF(TABLERO!$F$17="KVA",TABLERO!BP80/TABLERO!$DA80,TABLERO!BP80))</f>
        <v/>
      </c>
      <c r="N80" s="680" t="str">
        <f>IF(TABLERO!BQ80="","",IF(TABLERO!$F$17="KVA",TABLERO!BQ80/TABLERO!$F$14,TABLERO!BQ80))</f>
        <v/>
      </c>
      <c r="O80" s="680" t="str">
        <f>IF(TABLERO!BS80=0,"",TABLERO!BS80)</f>
        <v/>
      </c>
      <c r="P80" s="681" t="str">
        <f>IF(TABLERO!BQ80="","",IF(TABLERO!$F$17="KVA",TABLERO!BR80/TABLERO!$F$14,TABLERO!BR80))</f>
        <v/>
      </c>
      <c r="Q80" s="682" t="str">
        <f>IF(TABLERO!H80="TB",IF(SUM(D80:N80)&lt;&gt;0,"",TABLERO!BU80),"")</f>
        <v/>
      </c>
    </row>
    <row r="81" spans="1:17" hidden="1">
      <c r="A81" s="678" t="str">
        <f>RESUMEN!A81</f>
        <v>51</v>
      </c>
      <c r="B81" s="679" t="str">
        <f>IF('CUADRO (1)'!AI81="","",TABLERO!H81)</f>
        <v/>
      </c>
      <c r="C81" s="679" t="str">
        <f>IF('CUADRO (1)'!AI81="","",TABLERO!W81)</f>
        <v/>
      </c>
      <c r="D81" s="680" t="str">
        <f>IF(OR(TABLERO!BC81=""),"",IF(TABLERO!$F$17="KVA",TABLERO!BC81/TABLERO!$DA81,TABLERO!BC81))</f>
        <v/>
      </c>
      <c r="E81" s="680" t="str">
        <f>IF(OR(TABLERO!BD81=""),"",IF(TABLERO!$F$17="KVA",TABLERO!BD81/TABLERO!$DA81,TABLERO!BD81))</f>
        <v/>
      </c>
      <c r="F81" s="680" t="str">
        <f>IF(OR(TABLERO!BE81=""),"",IF(TABLERO!$F$17="KVA",TABLERO!BE81/TABLERO!$DA81,TABLERO!BE81))</f>
        <v/>
      </c>
      <c r="G81" s="680" t="str">
        <f>IF(OR(TABLERO!BH81=""),"",IF(TABLERO!$F$17="KVA",TABLERO!BH81/TABLERO!$DA81,TABLERO!BH81))</f>
        <v/>
      </c>
      <c r="H81" s="680" t="str">
        <f>IF(OR(TABLERO!BI81=""),"",IF(TABLERO!$F$17="KVA",TABLERO!BI81/TABLERO!$DA81,TABLERO!BI81))</f>
        <v/>
      </c>
      <c r="I81" s="680" t="str">
        <f>IF(OR(TABLERO!BJ81=""),"",IF(TABLERO!$F$17="KVA",TABLERO!BJ81/TABLERO!$DA81,TABLERO!BJ81))</f>
        <v/>
      </c>
      <c r="J81" s="680" t="str">
        <f>IF(OR(TABLERO!BK81=""),"",IF(TABLERO!$F$17="KVA",TABLERO!BK81/TABLERO!$DA81,TABLERO!BK81))</f>
        <v/>
      </c>
      <c r="K81" s="680" t="str">
        <f>IF(OR(TABLERO!BL81=""),"",IF(TABLERO!$F$17="KVA",TABLERO!BL81/TABLERO!$DA81,TABLERO!BL81))</f>
        <v/>
      </c>
      <c r="L81" s="680" t="str">
        <f>IF(OR(TABLERO!BO81=""),"",IF(TABLERO!$F$17="KVA",TABLERO!BO81/TABLERO!$DA81,TABLERO!BO81))</f>
        <v/>
      </c>
      <c r="M81" s="680" t="str">
        <f>IF(OR(TABLERO!BP81=""),"",IF(TABLERO!$F$17="KVA",TABLERO!BP81/TABLERO!$DA81,TABLERO!BP81))</f>
        <v/>
      </c>
      <c r="N81" s="680" t="str">
        <f>IF(TABLERO!BQ81="","",IF(TABLERO!$F$17="KVA",TABLERO!BQ81/TABLERO!$F$14,TABLERO!BQ81))</f>
        <v/>
      </c>
      <c r="O81" s="680" t="str">
        <f>IF(TABLERO!BS81=0,"",TABLERO!BS81)</f>
        <v/>
      </c>
      <c r="P81" s="681" t="str">
        <f>IF(TABLERO!BQ81="","",IF(TABLERO!$F$17="KVA",TABLERO!BR81/TABLERO!$F$14,TABLERO!BR81))</f>
        <v/>
      </c>
      <c r="Q81" s="682" t="str">
        <f>IF(TABLERO!H81="TB",IF(SUM(D81:N81)&lt;&gt;0,"",TABLERO!BU81),"")</f>
        <v/>
      </c>
    </row>
    <row r="82" spans="1:17" hidden="1">
      <c r="A82" s="678" t="str">
        <f>RESUMEN!A82</f>
        <v>52</v>
      </c>
      <c r="B82" s="679" t="str">
        <f>IF('CUADRO (1)'!AI82="","",TABLERO!H82)</f>
        <v/>
      </c>
      <c r="C82" s="679" t="str">
        <f>IF('CUADRO (1)'!AI82="","",TABLERO!W82)</f>
        <v/>
      </c>
      <c r="D82" s="680" t="str">
        <f>IF(OR(TABLERO!BC82=""),"",IF(TABLERO!$F$17="KVA",TABLERO!BC82/TABLERO!$DA82,TABLERO!BC82))</f>
        <v/>
      </c>
      <c r="E82" s="680" t="str">
        <f>IF(OR(TABLERO!BD82=""),"",IF(TABLERO!$F$17="KVA",TABLERO!BD82/TABLERO!$DA82,TABLERO!BD82))</f>
        <v/>
      </c>
      <c r="F82" s="680" t="str">
        <f>IF(OR(TABLERO!BE82=""),"",IF(TABLERO!$F$17="KVA",TABLERO!BE82/TABLERO!$DA82,TABLERO!BE82))</f>
        <v/>
      </c>
      <c r="G82" s="680" t="str">
        <f>IF(OR(TABLERO!BH82=""),"",IF(TABLERO!$F$17="KVA",TABLERO!BH82/TABLERO!$DA82,TABLERO!BH82))</f>
        <v/>
      </c>
      <c r="H82" s="680" t="str">
        <f>IF(OR(TABLERO!BI82=""),"",IF(TABLERO!$F$17="KVA",TABLERO!BI82/TABLERO!$DA82,TABLERO!BI82))</f>
        <v/>
      </c>
      <c r="I82" s="680" t="str">
        <f>IF(OR(TABLERO!BJ82=""),"",IF(TABLERO!$F$17="KVA",TABLERO!BJ82/TABLERO!$DA82,TABLERO!BJ82))</f>
        <v/>
      </c>
      <c r="J82" s="680" t="str">
        <f>IF(OR(TABLERO!BK82=""),"",IF(TABLERO!$F$17="KVA",TABLERO!BK82/TABLERO!$DA82,TABLERO!BK82))</f>
        <v/>
      </c>
      <c r="K82" s="680" t="str">
        <f>IF(OR(TABLERO!BL82=""),"",IF(TABLERO!$F$17="KVA",TABLERO!BL82/TABLERO!$DA82,TABLERO!BL82))</f>
        <v/>
      </c>
      <c r="L82" s="680" t="str">
        <f>IF(OR(TABLERO!BO82=""),"",IF(TABLERO!$F$17="KVA",TABLERO!BO82/TABLERO!$DA82,TABLERO!BO82))</f>
        <v/>
      </c>
      <c r="M82" s="680" t="str">
        <f>IF(OR(TABLERO!BP82=""),"",IF(TABLERO!$F$17="KVA",TABLERO!BP82/TABLERO!$DA82,TABLERO!BP82))</f>
        <v/>
      </c>
      <c r="N82" s="680" t="str">
        <f>IF(TABLERO!BQ82="","",IF(TABLERO!$F$17="KVA",TABLERO!BQ82/TABLERO!$F$14,TABLERO!BQ82))</f>
        <v/>
      </c>
      <c r="O82" s="680" t="str">
        <f>IF(TABLERO!BS82=0,"",TABLERO!BS82)</f>
        <v/>
      </c>
      <c r="P82" s="681" t="str">
        <f>IF(TABLERO!BQ82="","",IF(TABLERO!$F$17="KVA",TABLERO!BR82/TABLERO!$F$14,TABLERO!BR82))</f>
        <v/>
      </c>
      <c r="Q82" s="682" t="str">
        <f>IF(TABLERO!H82="TB",IF(SUM(D82:N82)&lt;&gt;0,"",TABLERO!BU82),"")</f>
        <v/>
      </c>
    </row>
    <row r="83" spans="1:17" hidden="1">
      <c r="A83" s="678" t="str">
        <f>RESUMEN!A83</f>
        <v>53</v>
      </c>
      <c r="B83" s="679" t="str">
        <f>IF('CUADRO (1)'!AI83="","",TABLERO!H83)</f>
        <v/>
      </c>
      <c r="C83" s="679" t="str">
        <f>IF('CUADRO (1)'!AI83="","",TABLERO!W83)</f>
        <v/>
      </c>
      <c r="D83" s="680" t="str">
        <f>IF(OR(TABLERO!BC83=""),"",IF(TABLERO!$F$17="KVA",TABLERO!BC83/TABLERO!$DA83,TABLERO!BC83))</f>
        <v/>
      </c>
      <c r="E83" s="680" t="str">
        <f>IF(OR(TABLERO!BD83=""),"",IF(TABLERO!$F$17="KVA",TABLERO!BD83/TABLERO!$DA83,TABLERO!BD83))</f>
        <v/>
      </c>
      <c r="F83" s="680" t="str">
        <f>IF(OR(TABLERO!BE83=""),"",IF(TABLERO!$F$17="KVA",TABLERO!BE83/TABLERO!$DA83,TABLERO!BE83))</f>
        <v/>
      </c>
      <c r="G83" s="680" t="str">
        <f>IF(OR(TABLERO!BH83=""),"",IF(TABLERO!$F$17="KVA",TABLERO!BH83/TABLERO!$DA83,TABLERO!BH83))</f>
        <v/>
      </c>
      <c r="H83" s="680" t="str">
        <f>IF(OR(TABLERO!BI83=""),"",IF(TABLERO!$F$17="KVA",TABLERO!BI83/TABLERO!$DA83,TABLERO!BI83))</f>
        <v/>
      </c>
      <c r="I83" s="680" t="str">
        <f>IF(OR(TABLERO!BJ83=""),"",IF(TABLERO!$F$17="KVA",TABLERO!BJ83/TABLERO!$DA83,TABLERO!BJ83))</f>
        <v/>
      </c>
      <c r="J83" s="680" t="str">
        <f>IF(OR(TABLERO!BK83=""),"",IF(TABLERO!$F$17="KVA",TABLERO!BK83/TABLERO!$DA83,TABLERO!BK83))</f>
        <v/>
      </c>
      <c r="K83" s="680" t="str">
        <f>IF(OR(TABLERO!BL83=""),"",IF(TABLERO!$F$17="KVA",TABLERO!BL83/TABLERO!$DA83,TABLERO!BL83))</f>
        <v/>
      </c>
      <c r="L83" s="680" t="str">
        <f>IF(OR(TABLERO!BO83=""),"",IF(TABLERO!$F$17="KVA",TABLERO!BO83/TABLERO!$DA83,TABLERO!BO83))</f>
        <v/>
      </c>
      <c r="M83" s="680" t="str">
        <f>IF(OR(TABLERO!BP83=""),"",IF(TABLERO!$F$17="KVA",TABLERO!BP83/TABLERO!$DA83,TABLERO!BP83))</f>
        <v/>
      </c>
      <c r="N83" s="680" t="str">
        <f>IF(TABLERO!BQ83="","",IF(TABLERO!$F$17="KVA",TABLERO!BQ83/TABLERO!$F$14,TABLERO!BQ83))</f>
        <v/>
      </c>
      <c r="O83" s="680" t="str">
        <f>IF(TABLERO!BS83=0,"",TABLERO!BS83)</f>
        <v/>
      </c>
      <c r="P83" s="681" t="str">
        <f>IF(TABLERO!BQ83="","",IF(TABLERO!$F$17="KVA",TABLERO!BR83/TABLERO!$F$14,TABLERO!BR83))</f>
        <v/>
      </c>
      <c r="Q83" s="682" t="str">
        <f>IF(TABLERO!H83="TB",IF(SUM(D83:N83)&lt;&gt;0,"",TABLERO!BU83),"")</f>
        <v/>
      </c>
    </row>
    <row r="84" spans="1:17" hidden="1">
      <c r="A84" s="678" t="str">
        <f>RESUMEN!A84</f>
        <v>54</v>
      </c>
      <c r="B84" s="679" t="str">
        <f>IF('CUADRO (1)'!AI84="","",TABLERO!H84)</f>
        <v/>
      </c>
      <c r="C84" s="679" t="str">
        <f>IF('CUADRO (1)'!AI84="","",TABLERO!W84)</f>
        <v/>
      </c>
      <c r="D84" s="680" t="str">
        <f>IF(OR(TABLERO!BC84=""),"",IF(TABLERO!$F$17="KVA",TABLERO!BC84/TABLERO!$DA84,TABLERO!BC84))</f>
        <v/>
      </c>
      <c r="E84" s="680" t="str">
        <f>IF(OR(TABLERO!BD84=""),"",IF(TABLERO!$F$17="KVA",TABLERO!BD84/TABLERO!$DA84,TABLERO!BD84))</f>
        <v/>
      </c>
      <c r="F84" s="680" t="str">
        <f>IF(OR(TABLERO!BE84=""),"",IF(TABLERO!$F$17="KVA",TABLERO!BE84/TABLERO!$DA84,TABLERO!BE84))</f>
        <v/>
      </c>
      <c r="G84" s="680" t="str">
        <f>IF(OR(TABLERO!BH84=""),"",IF(TABLERO!$F$17="KVA",TABLERO!BH84/TABLERO!$DA84,TABLERO!BH84))</f>
        <v/>
      </c>
      <c r="H84" s="680" t="str">
        <f>IF(OR(TABLERO!BI84=""),"",IF(TABLERO!$F$17="KVA",TABLERO!BI84/TABLERO!$DA84,TABLERO!BI84))</f>
        <v/>
      </c>
      <c r="I84" s="680" t="str">
        <f>IF(OR(TABLERO!BJ84=""),"",IF(TABLERO!$F$17="KVA",TABLERO!BJ84/TABLERO!$DA84,TABLERO!BJ84))</f>
        <v/>
      </c>
      <c r="J84" s="680" t="str">
        <f>IF(OR(TABLERO!BK84=""),"",IF(TABLERO!$F$17="KVA",TABLERO!BK84/TABLERO!$DA84,TABLERO!BK84))</f>
        <v/>
      </c>
      <c r="K84" s="680" t="str">
        <f>IF(OR(TABLERO!BL84=""),"",IF(TABLERO!$F$17="KVA",TABLERO!BL84/TABLERO!$DA84,TABLERO!BL84))</f>
        <v/>
      </c>
      <c r="L84" s="680" t="str">
        <f>IF(OR(TABLERO!BO84=""),"",IF(TABLERO!$F$17="KVA",TABLERO!BO84/TABLERO!$DA84,TABLERO!BO84))</f>
        <v/>
      </c>
      <c r="M84" s="680" t="str">
        <f>IF(OR(TABLERO!BP84=""),"",IF(TABLERO!$F$17="KVA",TABLERO!BP84/TABLERO!$DA84,TABLERO!BP84))</f>
        <v/>
      </c>
      <c r="N84" s="680" t="str">
        <f>IF(TABLERO!BQ84="","",IF(TABLERO!$F$17="KVA",TABLERO!BQ84/TABLERO!$F$14,TABLERO!BQ84))</f>
        <v/>
      </c>
      <c r="O84" s="680" t="str">
        <f>IF(TABLERO!BS84=0,"",TABLERO!BS84)</f>
        <v/>
      </c>
      <c r="P84" s="681" t="str">
        <f>IF(TABLERO!BQ84="","",IF(TABLERO!$F$17="KVA",TABLERO!BR84/TABLERO!$F$14,TABLERO!BR84))</f>
        <v/>
      </c>
      <c r="Q84" s="682" t="str">
        <f>IF(TABLERO!H84="TB",IF(SUM(D84:N84)&lt;&gt;0,"",TABLERO!BU84),"")</f>
        <v/>
      </c>
    </row>
    <row r="85" spans="1:17" hidden="1">
      <c r="A85" s="678" t="str">
        <f>RESUMEN!A85</f>
        <v>55</v>
      </c>
      <c r="B85" s="679" t="str">
        <f>IF('CUADRO (1)'!AI85="","",TABLERO!H85)</f>
        <v/>
      </c>
      <c r="C85" s="679" t="str">
        <f>IF('CUADRO (1)'!AI85="","",TABLERO!W85)</f>
        <v/>
      </c>
      <c r="D85" s="680" t="str">
        <f>IF(OR(TABLERO!BC85=""),"",IF(TABLERO!$F$17="KVA",TABLERO!BC85/TABLERO!$DA85,TABLERO!BC85))</f>
        <v/>
      </c>
      <c r="E85" s="680" t="str">
        <f>IF(OR(TABLERO!BD85=""),"",IF(TABLERO!$F$17="KVA",TABLERO!BD85/TABLERO!$DA85,TABLERO!BD85))</f>
        <v/>
      </c>
      <c r="F85" s="680" t="str">
        <f>IF(OR(TABLERO!BE85=""),"",IF(TABLERO!$F$17="KVA",TABLERO!BE85/TABLERO!$DA85,TABLERO!BE85))</f>
        <v/>
      </c>
      <c r="G85" s="680" t="str">
        <f>IF(OR(TABLERO!BH85=""),"",IF(TABLERO!$F$17="KVA",TABLERO!BH85/TABLERO!$DA85,TABLERO!BH85))</f>
        <v/>
      </c>
      <c r="H85" s="680" t="str">
        <f>IF(OR(TABLERO!BI85=""),"",IF(TABLERO!$F$17="KVA",TABLERO!BI85/TABLERO!$DA85,TABLERO!BI85))</f>
        <v/>
      </c>
      <c r="I85" s="680" t="str">
        <f>IF(OR(TABLERO!BJ85=""),"",IF(TABLERO!$F$17="KVA",TABLERO!BJ85/TABLERO!$DA85,TABLERO!BJ85))</f>
        <v/>
      </c>
      <c r="J85" s="680" t="str">
        <f>IF(OR(TABLERO!BK85=""),"",IF(TABLERO!$F$17="KVA",TABLERO!BK85/TABLERO!$DA85,TABLERO!BK85))</f>
        <v/>
      </c>
      <c r="K85" s="680" t="str">
        <f>IF(OR(TABLERO!BL85=""),"",IF(TABLERO!$F$17="KVA",TABLERO!BL85/TABLERO!$DA85,TABLERO!BL85))</f>
        <v/>
      </c>
      <c r="L85" s="680" t="str">
        <f>IF(OR(TABLERO!BO85=""),"",IF(TABLERO!$F$17="KVA",TABLERO!BO85/TABLERO!$DA85,TABLERO!BO85))</f>
        <v/>
      </c>
      <c r="M85" s="680" t="str">
        <f>IF(OR(TABLERO!BP85=""),"",IF(TABLERO!$F$17="KVA",TABLERO!BP85/TABLERO!$DA85,TABLERO!BP85))</f>
        <v/>
      </c>
      <c r="N85" s="680" t="str">
        <f>IF(TABLERO!BQ85="","",IF(TABLERO!$F$17="KVA",TABLERO!BQ85/TABLERO!$F$14,TABLERO!BQ85))</f>
        <v/>
      </c>
      <c r="O85" s="680" t="str">
        <f>IF(TABLERO!BS85=0,"",TABLERO!BS85)</f>
        <v/>
      </c>
      <c r="P85" s="681" t="str">
        <f>IF(TABLERO!BQ85="","",IF(TABLERO!$F$17="KVA",TABLERO!BR85/TABLERO!$F$14,TABLERO!BR85))</f>
        <v/>
      </c>
      <c r="Q85" s="682" t="str">
        <f>IF(TABLERO!H85="TB",IF(SUM(D85:N85)&lt;&gt;0,"",TABLERO!BU85),"")</f>
        <v/>
      </c>
    </row>
    <row r="86" spans="1:17" hidden="1">
      <c r="A86" s="678" t="str">
        <f>RESUMEN!A86</f>
        <v>56</v>
      </c>
      <c r="B86" s="679" t="str">
        <f>IF('CUADRO (1)'!AI86="","",TABLERO!H86)</f>
        <v/>
      </c>
      <c r="C86" s="679" t="str">
        <f>IF('CUADRO (1)'!AI86="","",TABLERO!W86)</f>
        <v/>
      </c>
      <c r="D86" s="680" t="str">
        <f>IF(OR(TABLERO!BC86=""),"",IF(TABLERO!$F$17="KVA",TABLERO!BC86/TABLERO!$DA86,TABLERO!BC86))</f>
        <v/>
      </c>
      <c r="E86" s="680" t="str">
        <f>IF(OR(TABLERO!BD86=""),"",IF(TABLERO!$F$17="KVA",TABLERO!BD86/TABLERO!$DA86,TABLERO!BD86))</f>
        <v/>
      </c>
      <c r="F86" s="680" t="str">
        <f>IF(OR(TABLERO!BE86=""),"",IF(TABLERO!$F$17="KVA",TABLERO!BE86/TABLERO!$DA86,TABLERO!BE86))</f>
        <v/>
      </c>
      <c r="G86" s="680" t="str">
        <f>IF(OR(TABLERO!BH86=""),"",IF(TABLERO!$F$17="KVA",TABLERO!BH86/TABLERO!$DA86,TABLERO!BH86))</f>
        <v/>
      </c>
      <c r="H86" s="680" t="str">
        <f>IF(OR(TABLERO!BI86=""),"",IF(TABLERO!$F$17="KVA",TABLERO!BI86/TABLERO!$DA86,TABLERO!BI86))</f>
        <v/>
      </c>
      <c r="I86" s="680" t="str">
        <f>IF(OR(TABLERO!BJ86=""),"",IF(TABLERO!$F$17="KVA",TABLERO!BJ86/TABLERO!$DA86,TABLERO!BJ86))</f>
        <v/>
      </c>
      <c r="J86" s="680" t="str">
        <f>IF(OR(TABLERO!BK86=""),"",IF(TABLERO!$F$17="KVA",TABLERO!BK86/TABLERO!$DA86,TABLERO!BK86))</f>
        <v/>
      </c>
      <c r="K86" s="680" t="str">
        <f>IF(OR(TABLERO!BL86=""),"",IF(TABLERO!$F$17="KVA",TABLERO!BL86/TABLERO!$DA86,TABLERO!BL86))</f>
        <v/>
      </c>
      <c r="L86" s="680" t="str">
        <f>IF(OR(TABLERO!BO86=""),"",IF(TABLERO!$F$17="KVA",TABLERO!BO86/TABLERO!$DA86,TABLERO!BO86))</f>
        <v/>
      </c>
      <c r="M86" s="680" t="str">
        <f>IF(OR(TABLERO!BP86=""),"",IF(TABLERO!$F$17="KVA",TABLERO!BP86/TABLERO!$DA86,TABLERO!BP86))</f>
        <v/>
      </c>
      <c r="N86" s="680" t="str">
        <f>IF(TABLERO!BQ86="","",IF(TABLERO!$F$17="KVA",TABLERO!BQ86/TABLERO!$F$14,TABLERO!BQ86))</f>
        <v/>
      </c>
      <c r="O86" s="680" t="str">
        <f>IF(TABLERO!BS86=0,"",TABLERO!BS86)</f>
        <v/>
      </c>
      <c r="P86" s="681" t="str">
        <f>IF(TABLERO!BQ86="","",IF(TABLERO!$F$17="KVA",TABLERO!BR86/TABLERO!$F$14,TABLERO!BR86))</f>
        <v/>
      </c>
      <c r="Q86" s="682" t="str">
        <f>IF(TABLERO!H86="TB",IF(SUM(D86:N86)&lt;&gt;0,"",TABLERO!BU86),"")</f>
        <v/>
      </c>
    </row>
    <row r="87" spans="1:17" hidden="1">
      <c r="A87" s="678" t="str">
        <f>RESUMEN!A87</f>
        <v>57</v>
      </c>
      <c r="B87" s="679" t="str">
        <f>IF('CUADRO (1)'!AI87="","",TABLERO!H87)</f>
        <v/>
      </c>
      <c r="C87" s="679" t="str">
        <f>IF('CUADRO (1)'!AI87="","",TABLERO!W87)</f>
        <v/>
      </c>
      <c r="D87" s="680" t="str">
        <f>IF(OR(TABLERO!BC87=""),"",IF(TABLERO!$F$17="KVA",TABLERO!BC87/TABLERO!$DA87,TABLERO!BC87))</f>
        <v/>
      </c>
      <c r="E87" s="680" t="str">
        <f>IF(OR(TABLERO!BD87=""),"",IF(TABLERO!$F$17="KVA",TABLERO!BD87/TABLERO!$DA87,TABLERO!BD87))</f>
        <v/>
      </c>
      <c r="F87" s="680" t="str">
        <f>IF(OR(TABLERO!BE87=""),"",IF(TABLERO!$F$17="KVA",TABLERO!BE87/TABLERO!$DA87,TABLERO!BE87))</f>
        <v/>
      </c>
      <c r="G87" s="680" t="str">
        <f>IF(OR(TABLERO!BH87=""),"",IF(TABLERO!$F$17="KVA",TABLERO!BH87/TABLERO!$DA87,TABLERO!BH87))</f>
        <v/>
      </c>
      <c r="H87" s="680" t="str">
        <f>IF(OR(TABLERO!BI87=""),"",IF(TABLERO!$F$17="KVA",TABLERO!BI87/TABLERO!$DA87,TABLERO!BI87))</f>
        <v/>
      </c>
      <c r="I87" s="680" t="str">
        <f>IF(OR(TABLERO!BJ87=""),"",IF(TABLERO!$F$17="KVA",TABLERO!BJ87/TABLERO!$DA87,TABLERO!BJ87))</f>
        <v/>
      </c>
      <c r="J87" s="680" t="str">
        <f>IF(OR(TABLERO!BK87=""),"",IF(TABLERO!$F$17="KVA",TABLERO!BK87/TABLERO!$DA87,TABLERO!BK87))</f>
        <v/>
      </c>
      <c r="K87" s="680" t="str">
        <f>IF(OR(TABLERO!BL87=""),"",IF(TABLERO!$F$17="KVA",TABLERO!BL87/TABLERO!$DA87,TABLERO!BL87))</f>
        <v/>
      </c>
      <c r="L87" s="680" t="str">
        <f>IF(OR(TABLERO!BO87=""),"",IF(TABLERO!$F$17="KVA",TABLERO!BO87/TABLERO!$DA87,TABLERO!BO87))</f>
        <v/>
      </c>
      <c r="M87" s="680" t="str">
        <f>IF(OR(TABLERO!BP87=""),"",IF(TABLERO!$F$17="KVA",TABLERO!BP87/TABLERO!$DA87,TABLERO!BP87))</f>
        <v/>
      </c>
      <c r="N87" s="680" t="str">
        <f>IF(TABLERO!BQ87="","",IF(TABLERO!$F$17="KVA",TABLERO!BQ87/TABLERO!$F$14,TABLERO!BQ87))</f>
        <v/>
      </c>
      <c r="O87" s="680" t="str">
        <f>IF(TABLERO!BS87=0,"",TABLERO!BS87)</f>
        <v/>
      </c>
      <c r="P87" s="681" t="str">
        <f>IF(TABLERO!BQ87="","",IF(TABLERO!$F$17="KVA",TABLERO!BR87/TABLERO!$F$14,TABLERO!BR87))</f>
        <v/>
      </c>
      <c r="Q87" s="682" t="str">
        <f>IF(TABLERO!H87="TB",IF(SUM(D87:N87)&lt;&gt;0,"",TABLERO!BU87),"")</f>
        <v/>
      </c>
    </row>
    <row r="88" spans="1:17" hidden="1">
      <c r="A88" s="678" t="str">
        <f>RESUMEN!A88</f>
        <v>58</v>
      </c>
      <c r="B88" s="679" t="str">
        <f>IF('CUADRO (1)'!AI88="","",TABLERO!H88)</f>
        <v/>
      </c>
      <c r="C88" s="679" t="str">
        <f>IF('CUADRO (1)'!AI88="","",TABLERO!W88)</f>
        <v/>
      </c>
      <c r="D88" s="680" t="str">
        <f>IF(OR(TABLERO!BC88=""),"",IF(TABLERO!$F$17="KVA",TABLERO!BC88/TABLERO!$DA88,TABLERO!BC88))</f>
        <v/>
      </c>
      <c r="E88" s="680" t="str">
        <f>IF(OR(TABLERO!BD88=""),"",IF(TABLERO!$F$17="KVA",TABLERO!BD88/TABLERO!$DA88,TABLERO!BD88))</f>
        <v/>
      </c>
      <c r="F88" s="680" t="str">
        <f>IF(OR(TABLERO!BE88=""),"",IF(TABLERO!$F$17="KVA",TABLERO!BE88/TABLERO!$DA88,TABLERO!BE88))</f>
        <v/>
      </c>
      <c r="G88" s="680" t="str">
        <f>IF(OR(TABLERO!BH88=""),"",IF(TABLERO!$F$17="KVA",TABLERO!BH88/TABLERO!$DA88,TABLERO!BH88))</f>
        <v/>
      </c>
      <c r="H88" s="680" t="str">
        <f>IF(OR(TABLERO!BI88=""),"",IF(TABLERO!$F$17="KVA",TABLERO!BI88/TABLERO!$DA88,TABLERO!BI88))</f>
        <v/>
      </c>
      <c r="I88" s="680" t="str">
        <f>IF(OR(TABLERO!BJ88=""),"",IF(TABLERO!$F$17="KVA",TABLERO!BJ88/TABLERO!$DA88,TABLERO!BJ88))</f>
        <v/>
      </c>
      <c r="J88" s="680" t="str">
        <f>IF(OR(TABLERO!BK88=""),"",IF(TABLERO!$F$17="KVA",TABLERO!BK88/TABLERO!$DA88,TABLERO!BK88))</f>
        <v/>
      </c>
      <c r="K88" s="680" t="str">
        <f>IF(OR(TABLERO!BL88=""),"",IF(TABLERO!$F$17="KVA",TABLERO!BL88/TABLERO!$DA88,TABLERO!BL88))</f>
        <v/>
      </c>
      <c r="L88" s="680" t="str">
        <f>IF(OR(TABLERO!BO88=""),"",IF(TABLERO!$F$17="KVA",TABLERO!BO88/TABLERO!$DA88,TABLERO!BO88))</f>
        <v/>
      </c>
      <c r="M88" s="680" t="str">
        <f>IF(OR(TABLERO!BP88=""),"",IF(TABLERO!$F$17="KVA",TABLERO!BP88/TABLERO!$DA88,TABLERO!BP88))</f>
        <v/>
      </c>
      <c r="N88" s="680" t="str">
        <f>IF(TABLERO!BQ88="","",IF(TABLERO!$F$17="KVA",TABLERO!BQ88/TABLERO!$F$14,TABLERO!BQ88))</f>
        <v/>
      </c>
      <c r="O88" s="680" t="str">
        <f>IF(TABLERO!BS88=0,"",TABLERO!BS88)</f>
        <v/>
      </c>
      <c r="P88" s="681" t="str">
        <f>IF(TABLERO!BQ88="","",IF(TABLERO!$F$17="KVA",TABLERO!BR88/TABLERO!$F$14,TABLERO!BR88))</f>
        <v/>
      </c>
      <c r="Q88" s="682" t="str">
        <f>IF(TABLERO!H88="TB",IF(SUM(D88:N88)&lt;&gt;0,"",TABLERO!BU88),"")</f>
        <v/>
      </c>
    </row>
    <row r="89" spans="1:17" hidden="1">
      <c r="A89" s="678" t="str">
        <f>RESUMEN!A89</f>
        <v>59</v>
      </c>
      <c r="B89" s="679" t="str">
        <f>IF('CUADRO (1)'!AI89="","",TABLERO!H89)</f>
        <v/>
      </c>
      <c r="C89" s="679" t="str">
        <f>IF('CUADRO (1)'!AI89="","",TABLERO!W89)</f>
        <v/>
      </c>
      <c r="D89" s="680" t="str">
        <f>IF(OR(TABLERO!BC89=""),"",IF(TABLERO!$F$17="KVA",TABLERO!BC89/TABLERO!$DA89,TABLERO!BC89))</f>
        <v/>
      </c>
      <c r="E89" s="680" t="str">
        <f>IF(OR(TABLERO!BD89=""),"",IF(TABLERO!$F$17="KVA",TABLERO!BD89/TABLERO!$DA89,TABLERO!BD89))</f>
        <v/>
      </c>
      <c r="F89" s="680" t="str">
        <f>IF(OR(TABLERO!BE89=""),"",IF(TABLERO!$F$17="KVA",TABLERO!BE89/TABLERO!$DA89,TABLERO!BE89))</f>
        <v/>
      </c>
      <c r="G89" s="680" t="str">
        <f>IF(OR(TABLERO!BH89=""),"",IF(TABLERO!$F$17="KVA",TABLERO!BH89/TABLERO!$DA89,TABLERO!BH89))</f>
        <v/>
      </c>
      <c r="H89" s="680" t="str">
        <f>IF(OR(TABLERO!BI89=""),"",IF(TABLERO!$F$17="KVA",TABLERO!BI89/TABLERO!$DA89,TABLERO!BI89))</f>
        <v/>
      </c>
      <c r="I89" s="680" t="str">
        <f>IF(OR(TABLERO!BJ89=""),"",IF(TABLERO!$F$17="KVA",TABLERO!BJ89/TABLERO!$DA89,TABLERO!BJ89))</f>
        <v/>
      </c>
      <c r="J89" s="680" t="str">
        <f>IF(OR(TABLERO!BK89=""),"",IF(TABLERO!$F$17="KVA",TABLERO!BK89/TABLERO!$DA89,TABLERO!BK89))</f>
        <v/>
      </c>
      <c r="K89" s="680" t="str">
        <f>IF(OR(TABLERO!BL89=""),"",IF(TABLERO!$F$17="KVA",TABLERO!BL89/TABLERO!$DA89,TABLERO!BL89))</f>
        <v/>
      </c>
      <c r="L89" s="680" t="str">
        <f>IF(OR(TABLERO!BO89=""),"",IF(TABLERO!$F$17="KVA",TABLERO!BO89/TABLERO!$DA89,TABLERO!BO89))</f>
        <v/>
      </c>
      <c r="M89" s="680" t="str">
        <f>IF(OR(TABLERO!BP89=""),"",IF(TABLERO!$F$17="KVA",TABLERO!BP89/TABLERO!$DA89,TABLERO!BP89))</f>
        <v/>
      </c>
      <c r="N89" s="680" t="str">
        <f>IF(TABLERO!BQ89="","",IF(TABLERO!$F$17="KVA",TABLERO!BQ89/TABLERO!$F$14,TABLERO!BQ89))</f>
        <v/>
      </c>
      <c r="O89" s="680" t="str">
        <f>IF(TABLERO!BS89=0,"",TABLERO!BS89)</f>
        <v/>
      </c>
      <c r="P89" s="681" t="str">
        <f>IF(TABLERO!BQ89="","",IF(TABLERO!$F$17="KVA",TABLERO!BR89/TABLERO!$F$14,TABLERO!BR89))</f>
        <v/>
      </c>
      <c r="Q89" s="682" t="str">
        <f>IF(TABLERO!H89="TB",IF(SUM(D89:N89)&lt;&gt;0,"",TABLERO!BU89),"")</f>
        <v/>
      </c>
    </row>
    <row r="90" spans="1:17" hidden="1">
      <c r="A90" s="678" t="str">
        <f>RESUMEN!A90</f>
        <v>60</v>
      </c>
      <c r="B90" s="679" t="str">
        <f>IF('CUADRO (1)'!AI90="","",TABLERO!H90)</f>
        <v/>
      </c>
      <c r="C90" s="679" t="str">
        <f>IF('CUADRO (1)'!AI90="","",TABLERO!W90)</f>
        <v/>
      </c>
      <c r="D90" s="680" t="str">
        <f>IF(OR(TABLERO!BC90=""),"",IF(TABLERO!$F$17="KVA",TABLERO!BC90/TABLERO!$DA90,TABLERO!BC90))</f>
        <v/>
      </c>
      <c r="E90" s="680" t="str">
        <f>IF(OR(TABLERO!BD90=""),"",IF(TABLERO!$F$17="KVA",TABLERO!BD90/TABLERO!$DA90,TABLERO!BD90))</f>
        <v/>
      </c>
      <c r="F90" s="680" t="str">
        <f>IF(OR(TABLERO!BE90=""),"",IF(TABLERO!$F$17="KVA",TABLERO!BE90/TABLERO!$DA90,TABLERO!BE90))</f>
        <v/>
      </c>
      <c r="G90" s="680" t="str">
        <f>IF(OR(TABLERO!BH90=""),"",IF(TABLERO!$F$17="KVA",TABLERO!BH90/TABLERO!$DA90,TABLERO!BH90))</f>
        <v/>
      </c>
      <c r="H90" s="680" t="str">
        <f>IF(OR(TABLERO!BI90=""),"",IF(TABLERO!$F$17="KVA",TABLERO!BI90/TABLERO!$DA90,TABLERO!BI90))</f>
        <v/>
      </c>
      <c r="I90" s="680" t="str">
        <f>IF(OR(TABLERO!BJ90=""),"",IF(TABLERO!$F$17="KVA",TABLERO!BJ90/TABLERO!$DA90,TABLERO!BJ90))</f>
        <v/>
      </c>
      <c r="J90" s="680" t="str">
        <f>IF(OR(TABLERO!BK90=""),"",IF(TABLERO!$F$17="KVA",TABLERO!BK90/TABLERO!$DA90,TABLERO!BK90))</f>
        <v/>
      </c>
      <c r="K90" s="680" t="str">
        <f>IF(OR(TABLERO!BL90=""),"",IF(TABLERO!$F$17="KVA",TABLERO!BL90/TABLERO!$DA90,TABLERO!BL90))</f>
        <v/>
      </c>
      <c r="L90" s="680" t="str">
        <f>IF(OR(TABLERO!BO90=""),"",IF(TABLERO!$F$17="KVA",TABLERO!BO90/TABLERO!$DA90,TABLERO!BO90))</f>
        <v/>
      </c>
      <c r="M90" s="680" t="str">
        <f>IF(OR(TABLERO!BP90=""),"",IF(TABLERO!$F$17="KVA",TABLERO!BP90/TABLERO!$DA90,TABLERO!BP90))</f>
        <v/>
      </c>
      <c r="N90" s="680" t="str">
        <f>IF(TABLERO!BQ90="","",IF(TABLERO!$F$17="KVA",TABLERO!BQ90/TABLERO!$F$14,TABLERO!BQ90))</f>
        <v/>
      </c>
      <c r="O90" s="680" t="str">
        <f>IF(TABLERO!BS90=0,"",TABLERO!BS90)</f>
        <v/>
      </c>
      <c r="P90" s="681" t="str">
        <f>IF(TABLERO!BQ90="","",IF(TABLERO!$F$17="KVA",TABLERO!BR90/TABLERO!$F$14,TABLERO!BR90))</f>
        <v/>
      </c>
      <c r="Q90" s="682" t="str">
        <f>IF(TABLERO!H90="TB",IF(SUM(D90:N90)&lt;&gt;0,"",TABLERO!BU90),"")</f>
        <v/>
      </c>
    </row>
    <row r="91" spans="1:17" hidden="1">
      <c r="A91" s="678" t="str">
        <f>RESUMEN!A91</f>
        <v>61</v>
      </c>
      <c r="B91" s="679" t="str">
        <f>IF('CUADRO (1)'!AI91="","",TABLERO!H91)</f>
        <v/>
      </c>
      <c r="C91" s="679" t="str">
        <f>IF('CUADRO (1)'!AI91="","",TABLERO!W91)</f>
        <v/>
      </c>
      <c r="D91" s="680" t="str">
        <f>IF(OR(TABLERO!BC91=""),"",IF(TABLERO!$F$17="KVA",TABLERO!BC91/TABLERO!$DA91,TABLERO!BC91))</f>
        <v/>
      </c>
      <c r="E91" s="680" t="str">
        <f>IF(OR(TABLERO!BD91=""),"",IF(TABLERO!$F$17="KVA",TABLERO!BD91/TABLERO!$DA91,TABLERO!BD91))</f>
        <v/>
      </c>
      <c r="F91" s="680" t="str">
        <f>IF(OR(TABLERO!BE91=""),"",IF(TABLERO!$F$17="KVA",TABLERO!BE91/TABLERO!$DA91,TABLERO!BE91))</f>
        <v/>
      </c>
      <c r="G91" s="680" t="str">
        <f>IF(OR(TABLERO!BH91=""),"",IF(TABLERO!$F$17="KVA",TABLERO!BH91/TABLERO!$DA91,TABLERO!BH91))</f>
        <v/>
      </c>
      <c r="H91" s="680" t="str">
        <f>IF(OR(TABLERO!BI91=""),"",IF(TABLERO!$F$17="KVA",TABLERO!BI91/TABLERO!$DA91,TABLERO!BI91))</f>
        <v/>
      </c>
      <c r="I91" s="680" t="str">
        <f>IF(OR(TABLERO!BJ91=""),"",IF(TABLERO!$F$17="KVA",TABLERO!BJ91/TABLERO!$DA91,TABLERO!BJ91))</f>
        <v/>
      </c>
      <c r="J91" s="680" t="str">
        <f>IF(OR(TABLERO!BK91=""),"",IF(TABLERO!$F$17="KVA",TABLERO!BK91/TABLERO!$DA91,TABLERO!BK91))</f>
        <v/>
      </c>
      <c r="K91" s="680" t="str">
        <f>IF(OR(TABLERO!BL91=""),"",IF(TABLERO!$F$17="KVA",TABLERO!BL91/TABLERO!$DA91,TABLERO!BL91))</f>
        <v/>
      </c>
      <c r="L91" s="680" t="str">
        <f>IF(OR(TABLERO!BO91=""),"",IF(TABLERO!$F$17="KVA",TABLERO!BO91/TABLERO!$DA91,TABLERO!BO91))</f>
        <v/>
      </c>
      <c r="M91" s="680" t="str">
        <f>IF(OR(TABLERO!BP91=""),"",IF(TABLERO!$F$17="KVA",TABLERO!BP91/TABLERO!$DA91,TABLERO!BP91))</f>
        <v/>
      </c>
      <c r="N91" s="680" t="str">
        <f>IF(TABLERO!BQ91="","",IF(TABLERO!$F$17="KVA",TABLERO!BQ91/TABLERO!$F$14,TABLERO!BQ91))</f>
        <v/>
      </c>
      <c r="O91" s="680" t="str">
        <f>IF(TABLERO!BS91=0,"",TABLERO!BS91)</f>
        <v/>
      </c>
      <c r="P91" s="681" t="str">
        <f>IF(TABLERO!BQ91="","",IF(TABLERO!$F$17="KVA",TABLERO!BR91/TABLERO!$F$14,TABLERO!BR91))</f>
        <v/>
      </c>
      <c r="Q91" s="682" t="str">
        <f>IF(TABLERO!H91="TB",IF(SUM(D91:N91)&lt;&gt;0,"",TABLERO!BU91),"")</f>
        <v/>
      </c>
    </row>
    <row r="92" spans="1:17" hidden="1">
      <c r="A92" s="678" t="str">
        <f>RESUMEN!A92</f>
        <v>62</v>
      </c>
      <c r="B92" s="679" t="str">
        <f>IF('CUADRO (1)'!AI92="","",TABLERO!H92)</f>
        <v/>
      </c>
      <c r="C92" s="679" t="str">
        <f>IF('CUADRO (1)'!AI92="","",TABLERO!W92)</f>
        <v/>
      </c>
      <c r="D92" s="680" t="str">
        <f>IF(OR(TABLERO!BC92=""),"",IF(TABLERO!$F$17="KVA",TABLERO!BC92/TABLERO!$DA92,TABLERO!BC92))</f>
        <v/>
      </c>
      <c r="E92" s="680" t="str">
        <f>IF(OR(TABLERO!BD92=""),"",IF(TABLERO!$F$17="KVA",TABLERO!BD92/TABLERO!$DA92,TABLERO!BD92))</f>
        <v/>
      </c>
      <c r="F92" s="680" t="str">
        <f>IF(OR(TABLERO!BE92=""),"",IF(TABLERO!$F$17="KVA",TABLERO!BE92/TABLERO!$DA92,TABLERO!BE92))</f>
        <v/>
      </c>
      <c r="G92" s="680" t="str">
        <f>IF(OR(TABLERO!BH92=""),"",IF(TABLERO!$F$17="KVA",TABLERO!BH92/TABLERO!$DA92,TABLERO!BH92))</f>
        <v/>
      </c>
      <c r="H92" s="680" t="str">
        <f>IF(OR(TABLERO!BI92=""),"",IF(TABLERO!$F$17="KVA",TABLERO!BI92/TABLERO!$DA92,TABLERO!BI92))</f>
        <v/>
      </c>
      <c r="I92" s="680" t="str">
        <f>IF(OR(TABLERO!BJ92=""),"",IF(TABLERO!$F$17="KVA",TABLERO!BJ92/TABLERO!$DA92,TABLERO!BJ92))</f>
        <v/>
      </c>
      <c r="J92" s="680" t="str">
        <f>IF(OR(TABLERO!BK92=""),"",IF(TABLERO!$F$17="KVA",TABLERO!BK92/TABLERO!$DA92,TABLERO!BK92))</f>
        <v/>
      </c>
      <c r="K92" s="680" t="str">
        <f>IF(OR(TABLERO!BL92=""),"",IF(TABLERO!$F$17="KVA",TABLERO!BL92/TABLERO!$DA92,TABLERO!BL92))</f>
        <v/>
      </c>
      <c r="L92" s="680" t="str">
        <f>IF(OR(TABLERO!BO92=""),"",IF(TABLERO!$F$17="KVA",TABLERO!BO92/TABLERO!$DA92,TABLERO!BO92))</f>
        <v/>
      </c>
      <c r="M92" s="680" t="str">
        <f>IF(OR(TABLERO!BP92=""),"",IF(TABLERO!$F$17="KVA",TABLERO!BP92/TABLERO!$DA92,TABLERO!BP92))</f>
        <v/>
      </c>
      <c r="N92" s="680" t="str">
        <f>IF(TABLERO!BQ92="","",IF(TABLERO!$F$17="KVA",TABLERO!BQ92/TABLERO!$F$14,TABLERO!BQ92))</f>
        <v/>
      </c>
      <c r="O92" s="680" t="str">
        <f>IF(TABLERO!BS92=0,"",TABLERO!BS92)</f>
        <v/>
      </c>
      <c r="P92" s="681" t="str">
        <f>IF(TABLERO!BQ92="","",IF(TABLERO!$F$17="KVA",TABLERO!BR92/TABLERO!$F$14,TABLERO!BR92))</f>
        <v/>
      </c>
      <c r="Q92" s="682" t="str">
        <f>IF(TABLERO!H92="TB",IF(SUM(D92:N92)&lt;&gt;0,"",TABLERO!BU92),"")</f>
        <v/>
      </c>
    </row>
    <row r="93" spans="1:17" hidden="1">
      <c r="A93" s="678" t="str">
        <f>RESUMEN!A93</f>
        <v>63</v>
      </c>
      <c r="B93" s="679" t="str">
        <f>IF('CUADRO (1)'!AI93="","",TABLERO!H93)</f>
        <v/>
      </c>
      <c r="C93" s="679" t="str">
        <f>IF('CUADRO (1)'!AI93="","",TABLERO!W93)</f>
        <v/>
      </c>
      <c r="D93" s="680" t="str">
        <f>IF(OR(TABLERO!BC93=""),"",IF(TABLERO!$F$17="KVA",TABLERO!BC93/TABLERO!$DA93,TABLERO!BC93))</f>
        <v/>
      </c>
      <c r="E93" s="680" t="str">
        <f>IF(OR(TABLERO!BD93=""),"",IF(TABLERO!$F$17="KVA",TABLERO!BD93/TABLERO!$DA93,TABLERO!BD93))</f>
        <v/>
      </c>
      <c r="F93" s="680" t="str">
        <f>IF(OR(TABLERO!BE93=""),"",IF(TABLERO!$F$17="KVA",TABLERO!BE93/TABLERO!$DA93,TABLERO!BE93))</f>
        <v/>
      </c>
      <c r="G93" s="680" t="str">
        <f>IF(OR(TABLERO!BH93=""),"",IF(TABLERO!$F$17="KVA",TABLERO!BH93/TABLERO!$DA93,TABLERO!BH93))</f>
        <v/>
      </c>
      <c r="H93" s="680" t="str">
        <f>IF(OR(TABLERO!BI93=""),"",IF(TABLERO!$F$17="KVA",TABLERO!BI93/TABLERO!$DA93,TABLERO!BI93))</f>
        <v/>
      </c>
      <c r="I93" s="680" t="str">
        <f>IF(OR(TABLERO!BJ93=""),"",IF(TABLERO!$F$17="KVA",TABLERO!BJ93/TABLERO!$DA93,TABLERO!BJ93))</f>
        <v/>
      </c>
      <c r="J93" s="680" t="str">
        <f>IF(OR(TABLERO!BK93=""),"",IF(TABLERO!$F$17="KVA",TABLERO!BK93/TABLERO!$DA93,TABLERO!BK93))</f>
        <v/>
      </c>
      <c r="K93" s="680" t="str">
        <f>IF(OR(TABLERO!BL93=""),"",IF(TABLERO!$F$17="KVA",TABLERO!BL93/TABLERO!$DA93,TABLERO!BL93))</f>
        <v/>
      </c>
      <c r="L93" s="680" t="str">
        <f>IF(OR(TABLERO!BO93=""),"",IF(TABLERO!$F$17="KVA",TABLERO!BO93/TABLERO!$DA93,TABLERO!BO93))</f>
        <v/>
      </c>
      <c r="M93" s="680" t="str">
        <f>IF(OR(TABLERO!BP93=""),"",IF(TABLERO!$F$17="KVA",TABLERO!BP93/TABLERO!$DA93,TABLERO!BP93))</f>
        <v/>
      </c>
      <c r="N93" s="680" t="str">
        <f>IF(TABLERO!BQ93="","",IF(TABLERO!$F$17="KVA",TABLERO!BQ93/TABLERO!$F$14,TABLERO!BQ93))</f>
        <v/>
      </c>
      <c r="O93" s="680" t="str">
        <f>IF(TABLERO!BS93=0,"",TABLERO!BS93)</f>
        <v/>
      </c>
      <c r="P93" s="681" t="str">
        <f>IF(TABLERO!BQ93="","",IF(TABLERO!$F$17="KVA",TABLERO!BR93/TABLERO!$F$14,TABLERO!BR93))</f>
        <v/>
      </c>
      <c r="Q93" s="682" t="str">
        <f>IF(TABLERO!H93="TB",IF(SUM(D93:N93)&lt;&gt;0,"",TABLERO!BU93),"")</f>
        <v/>
      </c>
    </row>
    <row r="94" spans="1:17" hidden="1">
      <c r="A94" s="678" t="str">
        <f>RESUMEN!A94</f>
        <v>64</v>
      </c>
      <c r="B94" s="679" t="str">
        <f>IF('CUADRO (1)'!AI94="","",TABLERO!H94)</f>
        <v/>
      </c>
      <c r="C94" s="679" t="str">
        <f>IF('CUADRO (1)'!AI94="","",TABLERO!W94)</f>
        <v/>
      </c>
      <c r="D94" s="680" t="str">
        <f>IF(OR(TABLERO!BC94=""),"",IF(TABLERO!$F$17="KVA",TABLERO!BC94/TABLERO!$DA94,TABLERO!BC94))</f>
        <v/>
      </c>
      <c r="E94" s="680" t="str">
        <f>IF(OR(TABLERO!BD94=""),"",IF(TABLERO!$F$17="KVA",TABLERO!BD94/TABLERO!$DA94,TABLERO!BD94))</f>
        <v/>
      </c>
      <c r="F94" s="680" t="str">
        <f>IF(OR(TABLERO!BE94=""),"",IF(TABLERO!$F$17="KVA",TABLERO!BE94/TABLERO!$DA94,TABLERO!BE94))</f>
        <v/>
      </c>
      <c r="G94" s="680" t="str">
        <f>IF(OR(TABLERO!BH94=""),"",IF(TABLERO!$F$17="KVA",TABLERO!BH94/TABLERO!$DA94,TABLERO!BH94))</f>
        <v/>
      </c>
      <c r="H94" s="680" t="str">
        <f>IF(OR(TABLERO!BI94=""),"",IF(TABLERO!$F$17="KVA",TABLERO!BI94/TABLERO!$DA94,TABLERO!BI94))</f>
        <v/>
      </c>
      <c r="I94" s="680" t="str">
        <f>IF(OR(TABLERO!BJ94=""),"",IF(TABLERO!$F$17="KVA",TABLERO!BJ94/TABLERO!$DA94,TABLERO!BJ94))</f>
        <v/>
      </c>
      <c r="J94" s="680" t="str">
        <f>IF(OR(TABLERO!BK94=""),"",IF(TABLERO!$F$17="KVA",TABLERO!BK94/TABLERO!$DA94,TABLERO!BK94))</f>
        <v/>
      </c>
      <c r="K94" s="680" t="str">
        <f>IF(OR(TABLERO!BL94=""),"",IF(TABLERO!$F$17="KVA",TABLERO!BL94/TABLERO!$DA94,TABLERO!BL94))</f>
        <v/>
      </c>
      <c r="L94" s="680" t="str">
        <f>IF(OR(TABLERO!BO94=""),"",IF(TABLERO!$F$17="KVA",TABLERO!BO94/TABLERO!$DA94,TABLERO!BO94))</f>
        <v/>
      </c>
      <c r="M94" s="680" t="str">
        <f>IF(OR(TABLERO!BP94=""),"",IF(TABLERO!$F$17="KVA",TABLERO!BP94/TABLERO!$DA94,TABLERO!BP94))</f>
        <v/>
      </c>
      <c r="N94" s="680" t="str">
        <f>IF(TABLERO!BQ94="","",IF(TABLERO!$F$17="KVA",TABLERO!BQ94/TABLERO!$F$14,TABLERO!BQ94))</f>
        <v/>
      </c>
      <c r="O94" s="680" t="str">
        <f>IF(TABLERO!BS94=0,"",TABLERO!BS94)</f>
        <v/>
      </c>
      <c r="P94" s="681" t="str">
        <f>IF(TABLERO!BQ94="","",IF(TABLERO!$F$17="KVA",TABLERO!BR94/TABLERO!$F$14,TABLERO!BR94))</f>
        <v/>
      </c>
      <c r="Q94" s="682" t="str">
        <f>IF(TABLERO!H94="TB",IF(SUM(D94:N94)&lt;&gt;0,"",TABLERO!BU94),"")</f>
        <v/>
      </c>
    </row>
    <row r="95" spans="1:17" hidden="1">
      <c r="A95" s="678" t="str">
        <f>RESUMEN!A95</f>
        <v>65</v>
      </c>
      <c r="B95" s="679" t="str">
        <f>IF('CUADRO (1)'!AI95="","",TABLERO!H95)</f>
        <v/>
      </c>
      <c r="C95" s="679" t="str">
        <f>IF('CUADRO (1)'!AI95="","",TABLERO!W95)</f>
        <v/>
      </c>
      <c r="D95" s="680" t="str">
        <f>IF(OR(TABLERO!BC95=""),"",IF(TABLERO!$F$17="KVA",TABLERO!BC95/TABLERO!$DA95,TABLERO!BC95))</f>
        <v/>
      </c>
      <c r="E95" s="680" t="str">
        <f>IF(OR(TABLERO!BD95=""),"",IF(TABLERO!$F$17="KVA",TABLERO!BD95/TABLERO!$DA95,TABLERO!BD95))</f>
        <v/>
      </c>
      <c r="F95" s="680" t="str">
        <f>IF(OR(TABLERO!BE95=""),"",IF(TABLERO!$F$17="KVA",TABLERO!BE95/TABLERO!$DA95,TABLERO!BE95))</f>
        <v/>
      </c>
      <c r="G95" s="680" t="str">
        <f>IF(OR(TABLERO!BH95=""),"",IF(TABLERO!$F$17="KVA",TABLERO!BH95/TABLERO!$DA95,TABLERO!BH95))</f>
        <v/>
      </c>
      <c r="H95" s="680" t="str">
        <f>IF(OR(TABLERO!BI95=""),"",IF(TABLERO!$F$17="KVA",TABLERO!BI95/TABLERO!$DA95,TABLERO!BI95))</f>
        <v/>
      </c>
      <c r="I95" s="680" t="str">
        <f>IF(OR(TABLERO!BJ95=""),"",IF(TABLERO!$F$17="KVA",TABLERO!BJ95/TABLERO!$DA95,TABLERO!BJ95))</f>
        <v/>
      </c>
      <c r="J95" s="680" t="str">
        <f>IF(OR(TABLERO!BK95=""),"",IF(TABLERO!$F$17="KVA",TABLERO!BK95/TABLERO!$DA95,TABLERO!BK95))</f>
        <v/>
      </c>
      <c r="K95" s="680" t="str">
        <f>IF(OR(TABLERO!BL95=""),"",IF(TABLERO!$F$17="KVA",TABLERO!BL95/TABLERO!$DA95,TABLERO!BL95))</f>
        <v/>
      </c>
      <c r="L95" s="680" t="str">
        <f>IF(OR(TABLERO!BO95=""),"",IF(TABLERO!$F$17="KVA",TABLERO!BO95/TABLERO!$DA95,TABLERO!BO95))</f>
        <v/>
      </c>
      <c r="M95" s="680" t="str">
        <f>IF(OR(TABLERO!BP95=""),"",IF(TABLERO!$F$17="KVA",TABLERO!BP95/TABLERO!$DA95,TABLERO!BP95))</f>
        <v/>
      </c>
      <c r="N95" s="680" t="str">
        <f>IF(TABLERO!BQ95="","",IF(TABLERO!$F$17="KVA",TABLERO!BQ95/TABLERO!$F$14,TABLERO!BQ95))</f>
        <v/>
      </c>
      <c r="O95" s="680" t="str">
        <f>IF(TABLERO!BS95=0,"",TABLERO!BS95)</f>
        <v/>
      </c>
      <c r="P95" s="681" t="str">
        <f>IF(TABLERO!BQ95="","",IF(TABLERO!$F$17="KVA",TABLERO!BR95/TABLERO!$F$14,TABLERO!BR95))</f>
        <v/>
      </c>
      <c r="Q95" s="682" t="str">
        <f>IF(TABLERO!H95="TB",IF(SUM(D95:N95)&lt;&gt;0,"",TABLERO!BU95),"")</f>
        <v/>
      </c>
    </row>
    <row r="96" spans="1:17" hidden="1">
      <c r="A96" s="678" t="str">
        <f>RESUMEN!A96</f>
        <v>66</v>
      </c>
      <c r="B96" s="679" t="str">
        <f>IF('CUADRO (1)'!AI96="","",TABLERO!H96)</f>
        <v/>
      </c>
      <c r="C96" s="679" t="str">
        <f>IF('CUADRO (1)'!AI96="","",TABLERO!W96)</f>
        <v/>
      </c>
      <c r="D96" s="680" t="str">
        <f>IF(OR(TABLERO!BC96=""),"",IF(TABLERO!$F$17="KVA",TABLERO!BC96/TABLERO!$DA96,TABLERO!BC96))</f>
        <v/>
      </c>
      <c r="E96" s="680" t="str">
        <f>IF(OR(TABLERO!BD96=""),"",IF(TABLERO!$F$17="KVA",TABLERO!BD96/TABLERO!$DA96,TABLERO!BD96))</f>
        <v/>
      </c>
      <c r="F96" s="680" t="str">
        <f>IF(OR(TABLERO!BE96=""),"",IF(TABLERO!$F$17="KVA",TABLERO!BE96/TABLERO!$DA96,TABLERO!BE96))</f>
        <v/>
      </c>
      <c r="G96" s="680" t="str">
        <f>IF(OR(TABLERO!BH96=""),"",IF(TABLERO!$F$17="KVA",TABLERO!BH96/TABLERO!$DA96,TABLERO!BH96))</f>
        <v/>
      </c>
      <c r="H96" s="680" t="str">
        <f>IF(OR(TABLERO!BI96=""),"",IF(TABLERO!$F$17="KVA",TABLERO!BI96/TABLERO!$DA96,TABLERO!BI96))</f>
        <v/>
      </c>
      <c r="I96" s="680" t="str">
        <f>IF(OR(TABLERO!BJ96=""),"",IF(TABLERO!$F$17="KVA",TABLERO!BJ96/TABLERO!$DA96,TABLERO!BJ96))</f>
        <v/>
      </c>
      <c r="J96" s="680" t="str">
        <f>IF(OR(TABLERO!BK96=""),"",IF(TABLERO!$F$17="KVA",TABLERO!BK96/TABLERO!$DA96,TABLERO!BK96))</f>
        <v/>
      </c>
      <c r="K96" s="680" t="str">
        <f>IF(OR(TABLERO!BL96=""),"",IF(TABLERO!$F$17="KVA",TABLERO!BL96/TABLERO!$DA96,TABLERO!BL96))</f>
        <v/>
      </c>
      <c r="L96" s="680" t="str">
        <f>IF(OR(TABLERO!BO96=""),"",IF(TABLERO!$F$17="KVA",TABLERO!BO96/TABLERO!$DA96,TABLERO!BO96))</f>
        <v/>
      </c>
      <c r="M96" s="680" t="str">
        <f>IF(OR(TABLERO!BP96=""),"",IF(TABLERO!$F$17="KVA",TABLERO!BP96/TABLERO!$DA96,TABLERO!BP96))</f>
        <v/>
      </c>
      <c r="N96" s="680" t="str">
        <f>IF(TABLERO!BQ96="","",IF(TABLERO!$F$17="KVA",TABLERO!BQ96/TABLERO!$F$14,TABLERO!BQ96))</f>
        <v/>
      </c>
      <c r="O96" s="680" t="str">
        <f>IF(TABLERO!BS96=0,"",TABLERO!BS96)</f>
        <v/>
      </c>
      <c r="P96" s="681" t="str">
        <f>IF(TABLERO!BQ96="","",IF(TABLERO!$F$17="KVA",TABLERO!BR96/TABLERO!$F$14,TABLERO!BR96))</f>
        <v/>
      </c>
      <c r="Q96" s="682" t="str">
        <f>IF(TABLERO!H96="TB",IF(SUM(D96:N96)&lt;&gt;0,"",TABLERO!BU96),"")</f>
        <v/>
      </c>
    </row>
    <row r="97" spans="1:17" hidden="1">
      <c r="A97" s="678" t="str">
        <f>RESUMEN!A97</f>
        <v>67</v>
      </c>
      <c r="B97" s="679" t="str">
        <f>IF('CUADRO (1)'!AI97="","",TABLERO!H97)</f>
        <v/>
      </c>
      <c r="C97" s="679" t="str">
        <f>IF('CUADRO (1)'!AI97="","",TABLERO!W97)</f>
        <v/>
      </c>
      <c r="D97" s="680" t="str">
        <f>IF(OR(TABLERO!BC97=""),"",IF(TABLERO!$F$17="KVA",TABLERO!BC97/TABLERO!$DA97,TABLERO!BC97))</f>
        <v/>
      </c>
      <c r="E97" s="680" t="str">
        <f>IF(OR(TABLERO!BD97=""),"",IF(TABLERO!$F$17="KVA",TABLERO!BD97/TABLERO!$DA97,TABLERO!BD97))</f>
        <v/>
      </c>
      <c r="F97" s="680" t="str">
        <f>IF(OR(TABLERO!BE97=""),"",IF(TABLERO!$F$17="KVA",TABLERO!BE97/TABLERO!$DA97,TABLERO!BE97))</f>
        <v/>
      </c>
      <c r="G97" s="680" t="str">
        <f>IF(OR(TABLERO!BH97=""),"",IF(TABLERO!$F$17="KVA",TABLERO!BH97/TABLERO!$DA97,TABLERO!BH97))</f>
        <v/>
      </c>
      <c r="H97" s="680" t="str">
        <f>IF(OR(TABLERO!BI97=""),"",IF(TABLERO!$F$17="KVA",TABLERO!BI97/TABLERO!$DA97,TABLERO!BI97))</f>
        <v/>
      </c>
      <c r="I97" s="680" t="str">
        <f>IF(OR(TABLERO!BJ97=""),"",IF(TABLERO!$F$17="KVA",TABLERO!BJ97/TABLERO!$DA97,TABLERO!BJ97))</f>
        <v/>
      </c>
      <c r="J97" s="680" t="str">
        <f>IF(OR(TABLERO!BK97=""),"",IF(TABLERO!$F$17="KVA",TABLERO!BK97/TABLERO!$DA97,TABLERO!BK97))</f>
        <v/>
      </c>
      <c r="K97" s="680" t="str">
        <f>IF(OR(TABLERO!BL97=""),"",IF(TABLERO!$F$17="KVA",TABLERO!BL97/TABLERO!$DA97,TABLERO!BL97))</f>
        <v/>
      </c>
      <c r="L97" s="680" t="str">
        <f>IF(OR(TABLERO!BO97=""),"",IF(TABLERO!$F$17="KVA",TABLERO!BO97/TABLERO!$DA97,TABLERO!BO97))</f>
        <v/>
      </c>
      <c r="M97" s="680" t="str">
        <f>IF(OR(TABLERO!BP97=""),"",IF(TABLERO!$F$17="KVA",TABLERO!BP97/TABLERO!$DA97,TABLERO!BP97))</f>
        <v/>
      </c>
      <c r="N97" s="680" t="str">
        <f>IF(TABLERO!BQ97="","",IF(TABLERO!$F$17="KVA",TABLERO!BQ97/TABLERO!$F$14,TABLERO!BQ97))</f>
        <v/>
      </c>
      <c r="O97" s="680" t="str">
        <f>IF(TABLERO!BS97=0,"",TABLERO!BS97)</f>
        <v/>
      </c>
      <c r="P97" s="681" t="str">
        <f>IF(TABLERO!BQ97="","",IF(TABLERO!$F$17="KVA",TABLERO!BR97/TABLERO!$F$14,TABLERO!BR97))</f>
        <v/>
      </c>
      <c r="Q97" s="682" t="str">
        <f>IF(TABLERO!H97="TB",IF(SUM(D97:N97)&lt;&gt;0,"",TABLERO!BU97),"")</f>
        <v/>
      </c>
    </row>
    <row r="98" spans="1:17" hidden="1">
      <c r="A98" s="678" t="str">
        <f>RESUMEN!A98</f>
        <v>68</v>
      </c>
      <c r="B98" s="679" t="str">
        <f>IF('CUADRO (1)'!AI98="","",TABLERO!H98)</f>
        <v/>
      </c>
      <c r="C98" s="679" t="str">
        <f>IF('CUADRO (1)'!AI98="","",TABLERO!W98)</f>
        <v/>
      </c>
      <c r="D98" s="680" t="str">
        <f>IF(OR(TABLERO!BC98=""),"",IF(TABLERO!$F$17="KVA",TABLERO!BC98/TABLERO!$DA98,TABLERO!BC98))</f>
        <v/>
      </c>
      <c r="E98" s="680" t="str">
        <f>IF(OR(TABLERO!BD98=""),"",IF(TABLERO!$F$17="KVA",TABLERO!BD98/TABLERO!$DA98,TABLERO!BD98))</f>
        <v/>
      </c>
      <c r="F98" s="680" t="str">
        <f>IF(OR(TABLERO!BE98=""),"",IF(TABLERO!$F$17="KVA",TABLERO!BE98/TABLERO!$DA98,TABLERO!BE98))</f>
        <v/>
      </c>
      <c r="G98" s="680" t="str">
        <f>IF(OR(TABLERO!BH98=""),"",IF(TABLERO!$F$17="KVA",TABLERO!BH98/TABLERO!$DA98,TABLERO!BH98))</f>
        <v/>
      </c>
      <c r="H98" s="680" t="str">
        <f>IF(OR(TABLERO!BI98=""),"",IF(TABLERO!$F$17="KVA",TABLERO!BI98/TABLERO!$DA98,TABLERO!BI98))</f>
        <v/>
      </c>
      <c r="I98" s="680" t="str">
        <f>IF(OR(TABLERO!BJ98=""),"",IF(TABLERO!$F$17="KVA",TABLERO!BJ98/TABLERO!$DA98,TABLERO!BJ98))</f>
        <v/>
      </c>
      <c r="J98" s="680" t="str">
        <f>IF(OR(TABLERO!BK98=""),"",IF(TABLERO!$F$17="KVA",TABLERO!BK98/TABLERO!$DA98,TABLERO!BK98))</f>
        <v/>
      </c>
      <c r="K98" s="680" t="str">
        <f>IF(OR(TABLERO!BL98=""),"",IF(TABLERO!$F$17="KVA",TABLERO!BL98/TABLERO!$DA98,TABLERO!BL98))</f>
        <v/>
      </c>
      <c r="L98" s="680" t="str">
        <f>IF(OR(TABLERO!BO98=""),"",IF(TABLERO!$F$17="KVA",TABLERO!BO98/TABLERO!$DA98,TABLERO!BO98))</f>
        <v/>
      </c>
      <c r="M98" s="680" t="str">
        <f>IF(OR(TABLERO!BP98=""),"",IF(TABLERO!$F$17="KVA",TABLERO!BP98/TABLERO!$DA98,TABLERO!BP98))</f>
        <v/>
      </c>
      <c r="N98" s="680" t="str">
        <f>IF(TABLERO!BQ98="","",IF(TABLERO!$F$17="KVA",TABLERO!BQ98/TABLERO!$F$14,TABLERO!BQ98))</f>
        <v/>
      </c>
      <c r="O98" s="680" t="str">
        <f>IF(TABLERO!BS98=0,"",TABLERO!BS98)</f>
        <v/>
      </c>
      <c r="P98" s="681" t="str">
        <f>IF(TABLERO!BQ98="","",IF(TABLERO!$F$17="KVA",TABLERO!BR98/TABLERO!$F$14,TABLERO!BR98))</f>
        <v/>
      </c>
      <c r="Q98" s="682" t="str">
        <f>IF(TABLERO!H98="TB",IF(SUM(D98:N98)&lt;&gt;0,"",TABLERO!BU98),"")</f>
        <v/>
      </c>
    </row>
    <row r="99" spans="1:17" hidden="1">
      <c r="A99" s="678" t="str">
        <f>RESUMEN!A99</f>
        <v>69</v>
      </c>
      <c r="B99" s="679" t="str">
        <f>IF('CUADRO (1)'!AI99="","",TABLERO!H99)</f>
        <v/>
      </c>
      <c r="C99" s="679" t="str">
        <f>IF('CUADRO (1)'!AI99="","",TABLERO!W99)</f>
        <v/>
      </c>
      <c r="D99" s="680" t="str">
        <f>IF(OR(TABLERO!BC99=""),"",IF(TABLERO!$F$17="KVA",TABLERO!BC99/TABLERO!$DA99,TABLERO!BC99))</f>
        <v/>
      </c>
      <c r="E99" s="680" t="str">
        <f>IF(OR(TABLERO!BD99=""),"",IF(TABLERO!$F$17="KVA",TABLERO!BD99/TABLERO!$DA99,TABLERO!BD99))</f>
        <v/>
      </c>
      <c r="F99" s="680" t="str">
        <f>IF(OR(TABLERO!BE99=""),"",IF(TABLERO!$F$17="KVA",TABLERO!BE99/TABLERO!$DA99,TABLERO!BE99))</f>
        <v/>
      </c>
      <c r="G99" s="680" t="str">
        <f>IF(OR(TABLERO!BH99=""),"",IF(TABLERO!$F$17="KVA",TABLERO!BH99/TABLERO!$DA99,TABLERO!BH99))</f>
        <v/>
      </c>
      <c r="H99" s="680" t="str">
        <f>IF(OR(TABLERO!BI99=""),"",IF(TABLERO!$F$17="KVA",TABLERO!BI99/TABLERO!$DA99,TABLERO!BI99))</f>
        <v/>
      </c>
      <c r="I99" s="680" t="str">
        <f>IF(OR(TABLERO!BJ99=""),"",IF(TABLERO!$F$17="KVA",TABLERO!BJ99/TABLERO!$DA99,TABLERO!BJ99))</f>
        <v/>
      </c>
      <c r="J99" s="680" t="str">
        <f>IF(OR(TABLERO!BK99=""),"",IF(TABLERO!$F$17="KVA",TABLERO!BK99/TABLERO!$DA99,TABLERO!BK99))</f>
        <v/>
      </c>
      <c r="K99" s="680" t="str">
        <f>IF(OR(TABLERO!BL99=""),"",IF(TABLERO!$F$17="KVA",TABLERO!BL99/TABLERO!$DA99,TABLERO!BL99))</f>
        <v/>
      </c>
      <c r="L99" s="680" t="str">
        <f>IF(OR(TABLERO!BO99=""),"",IF(TABLERO!$F$17="KVA",TABLERO!BO99/TABLERO!$DA99,TABLERO!BO99))</f>
        <v/>
      </c>
      <c r="M99" s="680" t="str">
        <f>IF(OR(TABLERO!BP99=""),"",IF(TABLERO!$F$17="KVA",TABLERO!BP99/TABLERO!$DA99,TABLERO!BP99))</f>
        <v/>
      </c>
      <c r="N99" s="680" t="str">
        <f>IF(TABLERO!BQ99="","",IF(TABLERO!$F$17="KVA",TABLERO!BQ99/TABLERO!$F$14,TABLERO!BQ99))</f>
        <v/>
      </c>
      <c r="O99" s="680" t="str">
        <f>IF(TABLERO!BS99=0,"",TABLERO!BS99)</f>
        <v/>
      </c>
      <c r="P99" s="681" t="str">
        <f>IF(TABLERO!BQ99="","",IF(TABLERO!$F$17="KVA",TABLERO!BR99/TABLERO!$F$14,TABLERO!BR99))</f>
        <v/>
      </c>
      <c r="Q99" s="682" t="str">
        <f>IF(TABLERO!H99="TB",IF(SUM(D99:N99)&lt;&gt;0,"",TABLERO!BU99),"")</f>
        <v/>
      </c>
    </row>
    <row r="100" spans="1:17" hidden="1">
      <c r="A100" s="678" t="str">
        <f>RESUMEN!A100</f>
        <v>70</v>
      </c>
      <c r="B100" s="679" t="str">
        <f>IF('CUADRO (1)'!AI100="","",TABLERO!H100)</f>
        <v/>
      </c>
      <c r="C100" s="679" t="str">
        <f>IF('CUADRO (1)'!AI100="","",TABLERO!W100)</f>
        <v/>
      </c>
      <c r="D100" s="680" t="str">
        <f>IF(OR(TABLERO!BC100=""),"",IF(TABLERO!$F$17="KVA",TABLERO!BC100/TABLERO!$DA100,TABLERO!BC100))</f>
        <v/>
      </c>
      <c r="E100" s="680" t="str">
        <f>IF(OR(TABLERO!BD100=""),"",IF(TABLERO!$F$17="KVA",TABLERO!BD100/TABLERO!$DA100,TABLERO!BD100))</f>
        <v/>
      </c>
      <c r="F100" s="680" t="str">
        <f>IF(OR(TABLERO!BE100=""),"",IF(TABLERO!$F$17="KVA",TABLERO!BE100/TABLERO!$DA100,TABLERO!BE100))</f>
        <v/>
      </c>
      <c r="G100" s="680" t="str">
        <f>IF(OR(TABLERO!BH100=""),"",IF(TABLERO!$F$17="KVA",TABLERO!BH100/TABLERO!$DA100,TABLERO!BH100))</f>
        <v/>
      </c>
      <c r="H100" s="680" t="str">
        <f>IF(OR(TABLERO!BI100=""),"",IF(TABLERO!$F$17="KVA",TABLERO!BI100/TABLERO!$DA100,TABLERO!BI100))</f>
        <v/>
      </c>
      <c r="I100" s="680" t="str">
        <f>IF(OR(TABLERO!BJ100=""),"",IF(TABLERO!$F$17="KVA",TABLERO!BJ100/TABLERO!$DA100,TABLERO!BJ100))</f>
        <v/>
      </c>
      <c r="J100" s="680" t="str">
        <f>IF(OR(TABLERO!BK100=""),"",IF(TABLERO!$F$17="KVA",TABLERO!BK100/TABLERO!$DA100,TABLERO!BK100))</f>
        <v/>
      </c>
      <c r="K100" s="680" t="str">
        <f>IF(OR(TABLERO!BL100=""),"",IF(TABLERO!$F$17="KVA",TABLERO!BL100/TABLERO!$DA100,TABLERO!BL100))</f>
        <v/>
      </c>
      <c r="L100" s="680" t="str">
        <f>IF(OR(TABLERO!BO100=""),"",IF(TABLERO!$F$17="KVA",TABLERO!BO100/TABLERO!$DA100,TABLERO!BO100))</f>
        <v/>
      </c>
      <c r="M100" s="680" t="str">
        <f>IF(OR(TABLERO!BP100=""),"",IF(TABLERO!$F$17="KVA",TABLERO!BP100/TABLERO!$DA100,TABLERO!BP100))</f>
        <v/>
      </c>
      <c r="N100" s="680" t="str">
        <f>IF(TABLERO!BQ100="","",IF(TABLERO!$F$17="KVA",TABLERO!BQ100/TABLERO!$F$14,TABLERO!BQ100))</f>
        <v/>
      </c>
      <c r="O100" s="680" t="str">
        <f>IF(TABLERO!BS100=0,"",TABLERO!BS100)</f>
        <v/>
      </c>
      <c r="P100" s="681" t="str">
        <f>IF(TABLERO!BQ100="","",IF(TABLERO!$F$17="KVA",TABLERO!BR100/TABLERO!$F$14,TABLERO!BR100))</f>
        <v/>
      </c>
      <c r="Q100" s="682" t="str">
        <f>IF(TABLERO!H100="TB",IF(SUM(D100:N100)&lt;&gt;0,"",TABLERO!BU100),"")</f>
        <v/>
      </c>
    </row>
    <row r="101" spans="1:17" hidden="1">
      <c r="A101" s="678" t="str">
        <f>RESUMEN!A101</f>
        <v>71</v>
      </c>
      <c r="B101" s="679" t="str">
        <f>IF('CUADRO (1)'!AI101="","",TABLERO!H101)</f>
        <v/>
      </c>
      <c r="C101" s="679" t="str">
        <f>IF('CUADRO (1)'!AI101="","",TABLERO!W101)</f>
        <v/>
      </c>
      <c r="D101" s="680" t="str">
        <f>IF(OR(TABLERO!BC101=""),"",IF(TABLERO!$F$17="KVA",TABLERO!BC101/TABLERO!$DA101,TABLERO!BC101))</f>
        <v/>
      </c>
      <c r="E101" s="680" t="str">
        <f>IF(OR(TABLERO!BD101=""),"",IF(TABLERO!$F$17="KVA",TABLERO!BD101/TABLERO!$DA101,TABLERO!BD101))</f>
        <v/>
      </c>
      <c r="F101" s="680" t="str">
        <f>IF(OR(TABLERO!BE101=""),"",IF(TABLERO!$F$17="KVA",TABLERO!BE101/TABLERO!$DA101,TABLERO!BE101))</f>
        <v/>
      </c>
      <c r="G101" s="680" t="str">
        <f>IF(OR(TABLERO!BH101=""),"",IF(TABLERO!$F$17="KVA",TABLERO!BH101/TABLERO!$DA101,TABLERO!BH101))</f>
        <v/>
      </c>
      <c r="H101" s="680" t="str">
        <f>IF(OR(TABLERO!BI101=""),"",IF(TABLERO!$F$17="KVA",TABLERO!BI101/TABLERO!$DA101,TABLERO!BI101))</f>
        <v/>
      </c>
      <c r="I101" s="680" t="str">
        <f>IF(OR(TABLERO!BJ101=""),"",IF(TABLERO!$F$17="KVA",TABLERO!BJ101/TABLERO!$DA101,TABLERO!BJ101))</f>
        <v/>
      </c>
      <c r="J101" s="680" t="str">
        <f>IF(OR(TABLERO!BK101=""),"",IF(TABLERO!$F$17="KVA",TABLERO!BK101/TABLERO!$DA101,TABLERO!BK101))</f>
        <v/>
      </c>
      <c r="K101" s="680" t="str">
        <f>IF(OR(TABLERO!BL101=""),"",IF(TABLERO!$F$17="KVA",TABLERO!BL101/TABLERO!$DA101,TABLERO!BL101))</f>
        <v/>
      </c>
      <c r="L101" s="680" t="str">
        <f>IF(OR(TABLERO!BO101=""),"",IF(TABLERO!$F$17="KVA",TABLERO!BO101/TABLERO!$DA101,TABLERO!BO101))</f>
        <v/>
      </c>
      <c r="M101" s="680" t="str">
        <f>IF(OR(TABLERO!BP101=""),"",IF(TABLERO!$F$17="KVA",TABLERO!BP101/TABLERO!$DA101,TABLERO!BP101))</f>
        <v/>
      </c>
      <c r="N101" s="680" t="str">
        <f>IF(TABLERO!BQ101="","",IF(TABLERO!$F$17="KVA",TABLERO!BQ101/TABLERO!$F$14,TABLERO!BQ101))</f>
        <v/>
      </c>
      <c r="O101" s="680" t="str">
        <f>IF(TABLERO!BS101=0,"",TABLERO!BS101)</f>
        <v/>
      </c>
      <c r="P101" s="681" t="str">
        <f>IF(TABLERO!BQ101="","",IF(TABLERO!$F$17="KVA",TABLERO!BR101/TABLERO!$F$14,TABLERO!BR101))</f>
        <v/>
      </c>
      <c r="Q101" s="682" t="str">
        <f>IF(TABLERO!H101="TB",IF(SUM(D101:N101)&lt;&gt;0,"",TABLERO!BU101),"")</f>
        <v/>
      </c>
    </row>
    <row r="102" spans="1:17" hidden="1">
      <c r="A102" s="678" t="str">
        <f>RESUMEN!A102</f>
        <v>72</v>
      </c>
      <c r="B102" s="679" t="str">
        <f>IF('CUADRO (1)'!AI102="","",TABLERO!H102)</f>
        <v/>
      </c>
      <c r="C102" s="679" t="str">
        <f>IF('CUADRO (1)'!AI102="","",TABLERO!W102)</f>
        <v/>
      </c>
      <c r="D102" s="680" t="str">
        <f>IF(OR(TABLERO!BC102=""),"",IF(TABLERO!$F$17="KVA",TABLERO!BC102/TABLERO!$DA102,TABLERO!BC102))</f>
        <v/>
      </c>
      <c r="E102" s="680" t="str">
        <f>IF(OR(TABLERO!BD102=""),"",IF(TABLERO!$F$17="KVA",TABLERO!BD102/TABLERO!$DA102,TABLERO!BD102))</f>
        <v/>
      </c>
      <c r="F102" s="680" t="str">
        <f>IF(OR(TABLERO!BE102=""),"",IF(TABLERO!$F$17="KVA",TABLERO!BE102/TABLERO!$DA102,TABLERO!BE102))</f>
        <v/>
      </c>
      <c r="G102" s="680" t="str">
        <f>IF(OR(TABLERO!BH102=""),"",IF(TABLERO!$F$17="KVA",TABLERO!BH102/TABLERO!$DA102,TABLERO!BH102))</f>
        <v/>
      </c>
      <c r="H102" s="680" t="str">
        <f>IF(OR(TABLERO!BI102=""),"",IF(TABLERO!$F$17="KVA",TABLERO!BI102/TABLERO!$DA102,TABLERO!BI102))</f>
        <v/>
      </c>
      <c r="I102" s="680" t="str">
        <f>IF(OR(TABLERO!BJ102=""),"",IF(TABLERO!$F$17="KVA",TABLERO!BJ102/TABLERO!$DA102,TABLERO!BJ102))</f>
        <v/>
      </c>
      <c r="J102" s="680" t="str">
        <f>IF(OR(TABLERO!BK102=""),"",IF(TABLERO!$F$17="KVA",TABLERO!BK102/TABLERO!$DA102,TABLERO!BK102))</f>
        <v/>
      </c>
      <c r="K102" s="680" t="str">
        <f>IF(OR(TABLERO!BL102=""),"",IF(TABLERO!$F$17="KVA",TABLERO!BL102/TABLERO!$DA102,TABLERO!BL102))</f>
        <v/>
      </c>
      <c r="L102" s="680" t="str">
        <f>IF(OR(TABLERO!BO102=""),"",IF(TABLERO!$F$17="KVA",TABLERO!BO102/TABLERO!$DA102,TABLERO!BO102))</f>
        <v/>
      </c>
      <c r="M102" s="680" t="str">
        <f>IF(OR(TABLERO!BP102=""),"",IF(TABLERO!$F$17="KVA",TABLERO!BP102/TABLERO!$DA102,TABLERO!BP102))</f>
        <v/>
      </c>
      <c r="N102" s="680" t="str">
        <f>IF(TABLERO!BQ102="","",IF(TABLERO!$F$17="KVA",TABLERO!BQ102/TABLERO!$F$14,TABLERO!BQ102))</f>
        <v/>
      </c>
      <c r="O102" s="680" t="str">
        <f>IF(TABLERO!BS102=0,"",TABLERO!BS102)</f>
        <v/>
      </c>
      <c r="P102" s="681" t="str">
        <f>IF(TABLERO!BQ102="","",IF(TABLERO!$F$17="KVA",TABLERO!BR102/TABLERO!$F$14,TABLERO!BR102))</f>
        <v/>
      </c>
      <c r="Q102" s="682" t="str">
        <f>IF(TABLERO!H102="TB",IF(SUM(D102:N102)&lt;&gt;0,"",TABLERO!BU102),"")</f>
        <v/>
      </c>
    </row>
    <row r="103" spans="1:17" hidden="1">
      <c r="A103" s="678" t="str">
        <f>RESUMEN!A103</f>
        <v>73</v>
      </c>
      <c r="B103" s="679" t="str">
        <f>IF('CUADRO (1)'!AI103="","",TABLERO!H103)</f>
        <v/>
      </c>
      <c r="C103" s="679" t="str">
        <f>IF('CUADRO (1)'!AI103="","",TABLERO!W103)</f>
        <v/>
      </c>
      <c r="D103" s="680" t="str">
        <f>IF(OR(TABLERO!BC103=""),"",IF(TABLERO!$F$17="KVA",TABLERO!BC103/TABLERO!$DA103,TABLERO!BC103))</f>
        <v/>
      </c>
      <c r="E103" s="680" t="str">
        <f>IF(OR(TABLERO!BD103=""),"",IF(TABLERO!$F$17="KVA",TABLERO!BD103/TABLERO!$DA103,TABLERO!BD103))</f>
        <v/>
      </c>
      <c r="F103" s="680" t="str">
        <f>IF(OR(TABLERO!BE103=""),"",IF(TABLERO!$F$17="KVA",TABLERO!BE103/TABLERO!$DA103,TABLERO!BE103))</f>
        <v/>
      </c>
      <c r="G103" s="680" t="str">
        <f>IF(OR(TABLERO!BH103=""),"",IF(TABLERO!$F$17="KVA",TABLERO!BH103/TABLERO!$DA103,TABLERO!BH103))</f>
        <v/>
      </c>
      <c r="H103" s="680" t="str">
        <f>IF(OR(TABLERO!BI103=""),"",IF(TABLERO!$F$17="KVA",TABLERO!BI103/TABLERO!$DA103,TABLERO!BI103))</f>
        <v/>
      </c>
      <c r="I103" s="680" t="str">
        <f>IF(OR(TABLERO!BJ103=""),"",IF(TABLERO!$F$17="KVA",TABLERO!BJ103/TABLERO!$DA103,TABLERO!BJ103))</f>
        <v/>
      </c>
      <c r="J103" s="680" t="str">
        <f>IF(OR(TABLERO!BK103=""),"",IF(TABLERO!$F$17="KVA",TABLERO!BK103/TABLERO!$DA103,TABLERO!BK103))</f>
        <v/>
      </c>
      <c r="K103" s="680" t="str">
        <f>IF(OR(TABLERO!BL103=""),"",IF(TABLERO!$F$17="KVA",TABLERO!BL103/TABLERO!$DA103,TABLERO!BL103))</f>
        <v/>
      </c>
      <c r="L103" s="680" t="str">
        <f>IF(OR(TABLERO!BO103=""),"",IF(TABLERO!$F$17="KVA",TABLERO!BO103/TABLERO!$DA103,TABLERO!BO103))</f>
        <v/>
      </c>
      <c r="M103" s="680" t="str">
        <f>IF(OR(TABLERO!BP103=""),"",IF(TABLERO!$F$17="KVA",TABLERO!BP103/TABLERO!$DA103,TABLERO!BP103))</f>
        <v/>
      </c>
      <c r="N103" s="680" t="str">
        <f>IF(TABLERO!BQ103="","",IF(TABLERO!$F$17="KVA",TABLERO!BQ103/TABLERO!$F$14,TABLERO!BQ103))</f>
        <v/>
      </c>
      <c r="O103" s="680" t="str">
        <f>IF(TABLERO!BS103=0,"",TABLERO!BS103)</f>
        <v/>
      </c>
      <c r="P103" s="681" t="str">
        <f>IF(TABLERO!BQ103="","",IF(TABLERO!$F$17="KVA",TABLERO!BR103/TABLERO!$F$14,TABLERO!BR103))</f>
        <v/>
      </c>
      <c r="Q103" s="682" t="str">
        <f>IF(TABLERO!H103="TB",IF(SUM(D103:N103)&lt;&gt;0,"",TABLERO!BU103),"")</f>
        <v/>
      </c>
    </row>
    <row r="104" spans="1:17" hidden="1">
      <c r="A104" s="678" t="str">
        <f>RESUMEN!A104</f>
        <v>74</v>
      </c>
      <c r="B104" s="679" t="str">
        <f>IF('CUADRO (1)'!AI104="","",TABLERO!H104)</f>
        <v/>
      </c>
      <c r="C104" s="679" t="str">
        <f>IF('CUADRO (1)'!AI104="","",TABLERO!W104)</f>
        <v/>
      </c>
      <c r="D104" s="680" t="str">
        <f>IF(OR(TABLERO!BC104=""),"",IF(TABLERO!$F$17="KVA",TABLERO!BC104/TABLERO!$DA104,TABLERO!BC104))</f>
        <v/>
      </c>
      <c r="E104" s="680" t="str">
        <f>IF(OR(TABLERO!BD104=""),"",IF(TABLERO!$F$17="KVA",TABLERO!BD104/TABLERO!$DA104,TABLERO!BD104))</f>
        <v/>
      </c>
      <c r="F104" s="680" t="str">
        <f>IF(OR(TABLERO!BE104=""),"",IF(TABLERO!$F$17="KVA",TABLERO!BE104/TABLERO!$DA104,TABLERO!BE104))</f>
        <v/>
      </c>
      <c r="G104" s="680" t="str">
        <f>IF(OR(TABLERO!BH104=""),"",IF(TABLERO!$F$17="KVA",TABLERO!BH104/TABLERO!$DA104,TABLERO!BH104))</f>
        <v/>
      </c>
      <c r="H104" s="680" t="str">
        <f>IF(OR(TABLERO!BI104=""),"",IF(TABLERO!$F$17="KVA",TABLERO!BI104/TABLERO!$DA104,TABLERO!BI104))</f>
        <v/>
      </c>
      <c r="I104" s="680" t="str">
        <f>IF(OR(TABLERO!BJ104=""),"",IF(TABLERO!$F$17="KVA",TABLERO!BJ104/TABLERO!$DA104,TABLERO!BJ104))</f>
        <v/>
      </c>
      <c r="J104" s="680" t="str">
        <f>IF(OR(TABLERO!BK104=""),"",IF(TABLERO!$F$17="KVA",TABLERO!BK104/TABLERO!$DA104,TABLERO!BK104))</f>
        <v/>
      </c>
      <c r="K104" s="680" t="str">
        <f>IF(OR(TABLERO!BL104=""),"",IF(TABLERO!$F$17="KVA",TABLERO!BL104/TABLERO!$DA104,TABLERO!BL104))</f>
        <v/>
      </c>
      <c r="L104" s="680" t="str">
        <f>IF(OR(TABLERO!BO104=""),"",IF(TABLERO!$F$17="KVA",TABLERO!BO104/TABLERO!$DA104,TABLERO!BO104))</f>
        <v/>
      </c>
      <c r="M104" s="680" t="str">
        <f>IF(OR(TABLERO!BP104=""),"",IF(TABLERO!$F$17="KVA",TABLERO!BP104/TABLERO!$DA104,TABLERO!BP104))</f>
        <v/>
      </c>
      <c r="N104" s="680" t="str">
        <f>IF(TABLERO!BQ104="","",IF(TABLERO!$F$17="KVA",TABLERO!BQ104/TABLERO!$F$14,TABLERO!BQ104))</f>
        <v/>
      </c>
      <c r="O104" s="680" t="str">
        <f>IF(TABLERO!BS104=0,"",TABLERO!BS104)</f>
        <v/>
      </c>
      <c r="P104" s="681" t="str">
        <f>IF(TABLERO!BQ104="","",IF(TABLERO!$F$17="KVA",TABLERO!BR104/TABLERO!$F$14,TABLERO!BR104))</f>
        <v/>
      </c>
      <c r="Q104" s="682" t="str">
        <f>IF(TABLERO!H104="TB",IF(SUM(D104:N104)&lt;&gt;0,"",TABLERO!BU104),"")</f>
        <v/>
      </c>
    </row>
    <row r="105" spans="1:17" hidden="1">
      <c r="A105" s="678" t="str">
        <f>RESUMEN!A105</f>
        <v>75</v>
      </c>
      <c r="B105" s="679" t="str">
        <f>IF('CUADRO (1)'!AI105="","",TABLERO!H105)</f>
        <v/>
      </c>
      <c r="C105" s="679" t="str">
        <f>IF('CUADRO (1)'!AI105="","",TABLERO!W105)</f>
        <v/>
      </c>
      <c r="D105" s="680" t="str">
        <f>IF(OR(TABLERO!BC105=""),"",IF(TABLERO!$F$17="KVA",TABLERO!BC105/TABLERO!$DA105,TABLERO!BC105))</f>
        <v/>
      </c>
      <c r="E105" s="680" t="str">
        <f>IF(OR(TABLERO!BD105=""),"",IF(TABLERO!$F$17="KVA",TABLERO!BD105/TABLERO!$DA105,TABLERO!BD105))</f>
        <v/>
      </c>
      <c r="F105" s="680" t="str">
        <f>IF(OR(TABLERO!BE105=""),"",IF(TABLERO!$F$17="KVA",TABLERO!BE105/TABLERO!$DA105,TABLERO!BE105))</f>
        <v/>
      </c>
      <c r="G105" s="680" t="str">
        <f>IF(OR(TABLERO!BH105=""),"",IF(TABLERO!$F$17="KVA",TABLERO!BH105/TABLERO!$DA105,TABLERO!BH105))</f>
        <v/>
      </c>
      <c r="H105" s="680" t="str">
        <f>IF(OR(TABLERO!BI105=""),"",IF(TABLERO!$F$17="KVA",TABLERO!BI105/TABLERO!$DA105,TABLERO!BI105))</f>
        <v/>
      </c>
      <c r="I105" s="680" t="str">
        <f>IF(OR(TABLERO!BJ105=""),"",IF(TABLERO!$F$17="KVA",TABLERO!BJ105/TABLERO!$DA105,TABLERO!BJ105))</f>
        <v/>
      </c>
      <c r="J105" s="680" t="str">
        <f>IF(OR(TABLERO!BK105=""),"",IF(TABLERO!$F$17="KVA",TABLERO!BK105/TABLERO!$DA105,TABLERO!BK105))</f>
        <v/>
      </c>
      <c r="K105" s="680" t="str">
        <f>IF(OR(TABLERO!BL105=""),"",IF(TABLERO!$F$17="KVA",TABLERO!BL105/TABLERO!$DA105,TABLERO!BL105))</f>
        <v/>
      </c>
      <c r="L105" s="680" t="str">
        <f>IF(OR(TABLERO!BO105=""),"",IF(TABLERO!$F$17="KVA",TABLERO!BO105/TABLERO!$DA105,TABLERO!BO105))</f>
        <v/>
      </c>
      <c r="M105" s="680" t="str">
        <f>IF(OR(TABLERO!BP105=""),"",IF(TABLERO!$F$17="KVA",TABLERO!BP105/TABLERO!$DA105,TABLERO!BP105))</f>
        <v/>
      </c>
      <c r="N105" s="680" t="str">
        <f>IF(TABLERO!BQ105="","",IF(TABLERO!$F$17="KVA",TABLERO!BQ105/TABLERO!$F$14,TABLERO!BQ105))</f>
        <v/>
      </c>
      <c r="O105" s="680" t="str">
        <f>IF(TABLERO!BS105=0,"",TABLERO!BS105)</f>
        <v/>
      </c>
      <c r="P105" s="681" t="str">
        <f>IF(TABLERO!BQ105="","",IF(TABLERO!$F$17="KVA",TABLERO!BR105/TABLERO!$F$14,TABLERO!BR105))</f>
        <v/>
      </c>
      <c r="Q105" s="682" t="str">
        <f>IF(TABLERO!H105="TB",IF(SUM(D105:N105)&lt;&gt;0,"",TABLERO!BU105),"")</f>
        <v/>
      </c>
    </row>
    <row r="106" spans="1:17" hidden="1">
      <c r="A106" s="678" t="str">
        <f>RESUMEN!A106</f>
        <v>76</v>
      </c>
      <c r="B106" s="679" t="str">
        <f>IF('CUADRO (1)'!AI106="","",TABLERO!H106)</f>
        <v/>
      </c>
      <c r="C106" s="679" t="str">
        <f>IF('CUADRO (1)'!AI106="","",TABLERO!W106)</f>
        <v/>
      </c>
      <c r="D106" s="680" t="str">
        <f>IF(OR(TABLERO!BC106=""),"",IF(TABLERO!$F$17="KVA",TABLERO!BC106/TABLERO!$DA106,TABLERO!BC106))</f>
        <v/>
      </c>
      <c r="E106" s="680" t="str">
        <f>IF(OR(TABLERO!BD106=""),"",IF(TABLERO!$F$17="KVA",TABLERO!BD106/TABLERO!$DA106,TABLERO!BD106))</f>
        <v/>
      </c>
      <c r="F106" s="680" t="str">
        <f>IF(OR(TABLERO!BE106=""),"",IF(TABLERO!$F$17="KVA",TABLERO!BE106/TABLERO!$DA106,TABLERO!BE106))</f>
        <v/>
      </c>
      <c r="G106" s="680" t="str">
        <f>IF(OR(TABLERO!BH106=""),"",IF(TABLERO!$F$17="KVA",TABLERO!BH106/TABLERO!$DA106,TABLERO!BH106))</f>
        <v/>
      </c>
      <c r="H106" s="680" t="str">
        <f>IF(OR(TABLERO!BI106=""),"",IF(TABLERO!$F$17="KVA",TABLERO!BI106/TABLERO!$DA106,TABLERO!BI106))</f>
        <v/>
      </c>
      <c r="I106" s="680" t="str">
        <f>IF(OR(TABLERO!BJ106=""),"",IF(TABLERO!$F$17="KVA",TABLERO!BJ106/TABLERO!$DA106,TABLERO!BJ106))</f>
        <v/>
      </c>
      <c r="J106" s="680" t="str">
        <f>IF(OR(TABLERO!BK106=""),"",IF(TABLERO!$F$17="KVA",TABLERO!BK106/TABLERO!$DA106,TABLERO!BK106))</f>
        <v/>
      </c>
      <c r="K106" s="680" t="str">
        <f>IF(OR(TABLERO!BL106=""),"",IF(TABLERO!$F$17="KVA",TABLERO!BL106/TABLERO!$DA106,TABLERO!BL106))</f>
        <v/>
      </c>
      <c r="L106" s="680" t="str">
        <f>IF(OR(TABLERO!BO106=""),"",IF(TABLERO!$F$17="KVA",TABLERO!BO106/TABLERO!$DA106,TABLERO!BO106))</f>
        <v/>
      </c>
      <c r="M106" s="680" t="str">
        <f>IF(OR(TABLERO!BP106=""),"",IF(TABLERO!$F$17="KVA",TABLERO!BP106/TABLERO!$DA106,TABLERO!BP106))</f>
        <v/>
      </c>
      <c r="N106" s="680" t="str">
        <f>IF(TABLERO!BQ106="","",IF(TABLERO!$F$17="KVA",TABLERO!BQ106/TABLERO!$F$14,TABLERO!BQ106))</f>
        <v/>
      </c>
      <c r="O106" s="680" t="str">
        <f>IF(TABLERO!BS106=0,"",TABLERO!BS106)</f>
        <v/>
      </c>
      <c r="P106" s="681" t="str">
        <f>IF(TABLERO!BQ106="","",IF(TABLERO!$F$17="KVA",TABLERO!BR106/TABLERO!$F$14,TABLERO!BR106))</f>
        <v/>
      </c>
      <c r="Q106" s="682" t="str">
        <f>IF(TABLERO!H106="TB",IF(SUM(D106:N106)&lt;&gt;0,"",TABLERO!BU106),"")</f>
        <v/>
      </c>
    </row>
    <row r="107" spans="1:17" hidden="1">
      <c r="A107" s="678" t="str">
        <f>RESUMEN!A107</f>
        <v>77</v>
      </c>
      <c r="B107" s="679" t="str">
        <f>IF('CUADRO (1)'!AI107="","",TABLERO!H107)</f>
        <v/>
      </c>
      <c r="C107" s="679" t="str">
        <f>IF('CUADRO (1)'!AI107="","",TABLERO!W107)</f>
        <v/>
      </c>
      <c r="D107" s="680" t="str">
        <f>IF(OR(TABLERO!BC107=""),"",IF(TABLERO!$F$17="KVA",TABLERO!BC107/TABLERO!$DA107,TABLERO!BC107))</f>
        <v/>
      </c>
      <c r="E107" s="680" t="str">
        <f>IF(OR(TABLERO!BD107=""),"",IF(TABLERO!$F$17="KVA",TABLERO!BD107/TABLERO!$DA107,TABLERO!BD107))</f>
        <v/>
      </c>
      <c r="F107" s="680" t="str">
        <f>IF(OR(TABLERO!BE107=""),"",IF(TABLERO!$F$17="KVA",TABLERO!BE107/TABLERO!$DA107,TABLERO!BE107))</f>
        <v/>
      </c>
      <c r="G107" s="680" t="str">
        <f>IF(OR(TABLERO!BH107=""),"",IF(TABLERO!$F$17="KVA",TABLERO!BH107/TABLERO!$DA107,TABLERO!BH107))</f>
        <v/>
      </c>
      <c r="H107" s="680" t="str">
        <f>IF(OR(TABLERO!BI107=""),"",IF(TABLERO!$F$17="KVA",TABLERO!BI107/TABLERO!$DA107,TABLERO!BI107))</f>
        <v/>
      </c>
      <c r="I107" s="680" t="str">
        <f>IF(OR(TABLERO!BJ107=""),"",IF(TABLERO!$F$17="KVA",TABLERO!BJ107/TABLERO!$DA107,TABLERO!BJ107))</f>
        <v/>
      </c>
      <c r="J107" s="680" t="str">
        <f>IF(OR(TABLERO!BK107=""),"",IF(TABLERO!$F$17="KVA",TABLERO!BK107/TABLERO!$DA107,TABLERO!BK107))</f>
        <v/>
      </c>
      <c r="K107" s="680" t="str">
        <f>IF(OR(TABLERO!BL107=""),"",IF(TABLERO!$F$17="KVA",TABLERO!BL107/TABLERO!$DA107,TABLERO!BL107))</f>
        <v/>
      </c>
      <c r="L107" s="680" t="str">
        <f>IF(OR(TABLERO!BO107=""),"",IF(TABLERO!$F$17="KVA",TABLERO!BO107/TABLERO!$DA107,TABLERO!BO107))</f>
        <v/>
      </c>
      <c r="M107" s="680" t="str">
        <f>IF(OR(TABLERO!BP107=""),"",IF(TABLERO!$F$17="KVA",TABLERO!BP107/TABLERO!$DA107,TABLERO!BP107))</f>
        <v/>
      </c>
      <c r="N107" s="680" t="str">
        <f>IF(TABLERO!BQ107="","",IF(TABLERO!$F$17="KVA",TABLERO!BQ107/TABLERO!$F$14,TABLERO!BQ107))</f>
        <v/>
      </c>
      <c r="O107" s="680" t="str">
        <f>IF(TABLERO!BS107=0,"",TABLERO!BS107)</f>
        <v/>
      </c>
      <c r="P107" s="681" t="str">
        <f>IF(TABLERO!BQ107="","",IF(TABLERO!$F$17="KVA",TABLERO!BR107/TABLERO!$F$14,TABLERO!BR107))</f>
        <v/>
      </c>
      <c r="Q107" s="682" t="str">
        <f>IF(TABLERO!H107="TB",IF(SUM(D107:N107)&lt;&gt;0,"",TABLERO!BU107),"")</f>
        <v/>
      </c>
    </row>
    <row r="108" spans="1:17" hidden="1">
      <c r="A108" s="678" t="str">
        <f>RESUMEN!A108</f>
        <v>78</v>
      </c>
      <c r="B108" s="679" t="str">
        <f>IF('CUADRO (1)'!AI108="","",TABLERO!H108)</f>
        <v/>
      </c>
      <c r="C108" s="679" t="str">
        <f>IF('CUADRO (1)'!AI108="","",TABLERO!W108)</f>
        <v/>
      </c>
      <c r="D108" s="680" t="str">
        <f>IF(OR(TABLERO!BC108=""),"",IF(TABLERO!$F$17="KVA",TABLERO!BC108/TABLERO!$DA108,TABLERO!BC108))</f>
        <v/>
      </c>
      <c r="E108" s="680" t="str">
        <f>IF(OR(TABLERO!BD108=""),"",IF(TABLERO!$F$17="KVA",TABLERO!BD108/TABLERO!$DA108,TABLERO!BD108))</f>
        <v/>
      </c>
      <c r="F108" s="680" t="str">
        <f>IF(OR(TABLERO!BE108=""),"",IF(TABLERO!$F$17="KVA",TABLERO!BE108/TABLERO!$DA108,TABLERO!BE108))</f>
        <v/>
      </c>
      <c r="G108" s="680" t="str">
        <f>IF(OR(TABLERO!BH108=""),"",IF(TABLERO!$F$17="KVA",TABLERO!BH108/TABLERO!$DA108,TABLERO!BH108))</f>
        <v/>
      </c>
      <c r="H108" s="680" t="str">
        <f>IF(OR(TABLERO!BI108=""),"",IF(TABLERO!$F$17="KVA",TABLERO!BI108/TABLERO!$DA108,TABLERO!BI108))</f>
        <v/>
      </c>
      <c r="I108" s="680" t="str">
        <f>IF(OR(TABLERO!BJ108=""),"",IF(TABLERO!$F$17="KVA",TABLERO!BJ108/TABLERO!$DA108,TABLERO!BJ108))</f>
        <v/>
      </c>
      <c r="J108" s="680" t="str">
        <f>IF(OR(TABLERO!BK108=""),"",IF(TABLERO!$F$17="KVA",TABLERO!BK108/TABLERO!$DA108,TABLERO!BK108))</f>
        <v/>
      </c>
      <c r="K108" s="680" t="str">
        <f>IF(OR(TABLERO!BL108=""),"",IF(TABLERO!$F$17="KVA",TABLERO!BL108/TABLERO!$DA108,TABLERO!BL108))</f>
        <v/>
      </c>
      <c r="L108" s="680" t="str">
        <f>IF(OR(TABLERO!BO108=""),"",IF(TABLERO!$F$17="KVA",TABLERO!BO108/TABLERO!$DA108,TABLERO!BO108))</f>
        <v/>
      </c>
      <c r="M108" s="680" t="str">
        <f>IF(OR(TABLERO!BP108=""),"",IF(TABLERO!$F$17="KVA",TABLERO!BP108/TABLERO!$DA108,TABLERO!BP108))</f>
        <v/>
      </c>
      <c r="N108" s="680" t="str">
        <f>IF(TABLERO!BQ108="","",IF(TABLERO!$F$17="KVA",TABLERO!BQ108/TABLERO!$F$14,TABLERO!BQ108))</f>
        <v/>
      </c>
      <c r="O108" s="680" t="str">
        <f>IF(TABLERO!BS108=0,"",TABLERO!BS108)</f>
        <v/>
      </c>
      <c r="P108" s="681" t="str">
        <f>IF(TABLERO!BQ108="","",IF(TABLERO!$F$17="KVA",TABLERO!BR108/TABLERO!$F$14,TABLERO!BR108))</f>
        <v/>
      </c>
      <c r="Q108" s="682" t="str">
        <f>IF(TABLERO!H108="TB",IF(SUM(D108:N108)&lt;&gt;0,"",TABLERO!BU108),"")</f>
        <v/>
      </c>
    </row>
    <row r="109" spans="1:17" hidden="1">
      <c r="A109" s="678" t="str">
        <f>RESUMEN!A109</f>
        <v>79</v>
      </c>
      <c r="B109" s="679" t="str">
        <f>IF('CUADRO (1)'!AI109="","",TABLERO!H109)</f>
        <v/>
      </c>
      <c r="C109" s="679" t="str">
        <f>IF('CUADRO (1)'!AI109="","",TABLERO!W109)</f>
        <v/>
      </c>
      <c r="D109" s="680" t="str">
        <f>IF(OR(TABLERO!BC109=""),"",IF(TABLERO!$F$17="KVA",TABLERO!BC109/TABLERO!$DA109,TABLERO!BC109))</f>
        <v/>
      </c>
      <c r="E109" s="680" t="str">
        <f>IF(OR(TABLERO!BD109=""),"",IF(TABLERO!$F$17="KVA",TABLERO!BD109/TABLERO!$DA109,TABLERO!BD109))</f>
        <v/>
      </c>
      <c r="F109" s="680" t="str">
        <f>IF(OR(TABLERO!BE109=""),"",IF(TABLERO!$F$17="KVA",TABLERO!BE109/TABLERO!$DA109,TABLERO!BE109))</f>
        <v/>
      </c>
      <c r="G109" s="680" t="str">
        <f>IF(OR(TABLERO!BH109=""),"",IF(TABLERO!$F$17="KVA",TABLERO!BH109/TABLERO!$DA109,TABLERO!BH109))</f>
        <v/>
      </c>
      <c r="H109" s="680" t="str">
        <f>IF(OR(TABLERO!BI109=""),"",IF(TABLERO!$F$17="KVA",TABLERO!BI109/TABLERO!$DA109,TABLERO!BI109))</f>
        <v/>
      </c>
      <c r="I109" s="680" t="str">
        <f>IF(OR(TABLERO!BJ109=""),"",IF(TABLERO!$F$17="KVA",TABLERO!BJ109/TABLERO!$DA109,TABLERO!BJ109))</f>
        <v/>
      </c>
      <c r="J109" s="680" t="str">
        <f>IF(OR(TABLERO!BK109=""),"",IF(TABLERO!$F$17="KVA",TABLERO!BK109/TABLERO!$DA109,TABLERO!BK109))</f>
        <v/>
      </c>
      <c r="K109" s="680" t="str">
        <f>IF(OR(TABLERO!BL109=""),"",IF(TABLERO!$F$17="KVA",TABLERO!BL109/TABLERO!$DA109,TABLERO!BL109))</f>
        <v/>
      </c>
      <c r="L109" s="680" t="str">
        <f>IF(OR(TABLERO!BO109=""),"",IF(TABLERO!$F$17="KVA",TABLERO!BO109/TABLERO!$DA109,TABLERO!BO109))</f>
        <v/>
      </c>
      <c r="M109" s="680" t="str">
        <f>IF(OR(TABLERO!BP109=""),"",IF(TABLERO!$F$17="KVA",TABLERO!BP109/TABLERO!$DA109,TABLERO!BP109))</f>
        <v/>
      </c>
      <c r="N109" s="680" t="str">
        <f>IF(TABLERO!BQ109="","",IF(TABLERO!$F$17="KVA",TABLERO!BQ109/TABLERO!$F$14,TABLERO!BQ109))</f>
        <v/>
      </c>
      <c r="O109" s="680" t="str">
        <f>IF(TABLERO!BS109=0,"",TABLERO!BS109)</f>
        <v/>
      </c>
      <c r="P109" s="681" t="str">
        <f>IF(TABLERO!BQ109="","",IF(TABLERO!$F$17="KVA",TABLERO!BR109/TABLERO!$F$14,TABLERO!BR109))</f>
        <v/>
      </c>
      <c r="Q109" s="682" t="str">
        <f>IF(TABLERO!H109="TB",IF(SUM(D109:N109)&lt;&gt;0,"",TABLERO!BU109),"")</f>
        <v/>
      </c>
    </row>
    <row r="110" spans="1:17" hidden="1">
      <c r="A110" s="678" t="str">
        <f>RESUMEN!A110</f>
        <v>80</v>
      </c>
      <c r="B110" s="679" t="str">
        <f>IF('CUADRO (1)'!AI110="","",TABLERO!H110)</f>
        <v/>
      </c>
      <c r="C110" s="679" t="str">
        <f>IF('CUADRO (1)'!AI110="","",TABLERO!W110)</f>
        <v/>
      </c>
      <c r="D110" s="680" t="str">
        <f>IF(OR(TABLERO!BC110=""),"",IF(TABLERO!$F$17="KVA",TABLERO!BC110/TABLERO!$DA110,TABLERO!BC110))</f>
        <v/>
      </c>
      <c r="E110" s="680" t="str">
        <f>IF(OR(TABLERO!BD110=""),"",IF(TABLERO!$F$17="KVA",TABLERO!BD110/TABLERO!$DA110,TABLERO!BD110))</f>
        <v/>
      </c>
      <c r="F110" s="680" t="str">
        <f>IF(OR(TABLERO!BE110=""),"",IF(TABLERO!$F$17="KVA",TABLERO!BE110/TABLERO!$DA110,TABLERO!BE110))</f>
        <v/>
      </c>
      <c r="G110" s="680" t="str">
        <f>IF(OR(TABLERO!BH110=""),"",IF(TABLERO!$F$17="KVA",TABLERO!BH110/TABLERO!$DA110,TABLERO!BH110))</f>
        <v/>
      </c>
      <c r="H110" s="680" t="str">
        <f>IF(OR(TABLERO!BI110=""),"",IF(TABLERO!$F$17="KVA",TABLERO!BI110/TABLERO!$DA110,TABLERO!BI110))</f>
        <v/>
      </c>
      <c r="I110" s="680" t="str">
        <f>IF(OR(TABLERO!BJ110=""),"",IF(TABLERO!$F$17="KVA",TABLERO!BJ110/TABLERO!$DA110,TABLERO!BJ110))</f>
        <v/>
      </c>
      <c r="J110" s="680" t="str">
        <f>IF(OR(TABLERO!BK110=""),"",IF(TABLERO!$F$17="KVA",TABLERO!BK110/TABLERO!$DA110,TABLERO!BK110))</f>
        <v/>
      </c>
      <c r="K110" s="680" t="str">
        <f>IF(OR(TABLERO!BL110=""),"",IF(TABLERO!$F$17="KVA",TABLERO!BL110/TABLERO!$DA110,TABLERO!BL110))</f>
        <v/>
      </c>
      <c r="L110" s="680" t="str">
        <f>IF(OR(TABLERO!BO110=""),"",IF(TABLERO!$F$17="KVA",TABLERO!BO110/TABLERO!$DA110,TABLERO!BO110))</f>
        <v/>
      </c>
      <c r="M110" s="680" t="str">
        <f>IF(OR(TABLERO!BP110=""),"",IF(TABLERO!$F$17="KVA",TABLERO!BP110/TABLERO!$DA110,TABLERO!BP110))</f>
        <v/>
      </c>
      <c r="N110" s="680" t="str">
        <f>IF(TABLERO!BQ110="","",IF(TABLERO!$F$17="KVA",TABLERO!BQ110/TABLERO!$F$14,TABLERO!BQ110))</f>
        <v/>
      </c>
      <c r="O110" s="680" t="str">
        <f>IF(TABLERO!BS110=0,"",TABLERO!BS110)</f>
        <v/>
      </c>
      <c r="P110" s="681" t="str">
        <f>IF(TABLERO!BQ110="","",IF(TABLERO!$F$17="KVA",TABLERO!BR110/TABLERO!$F$14,TABLERO!BR110))</f>
        <v/>
      </c>
      <c r="Q110" s="682" t="str">
        <f>IF(TABLERO!H110="TB",IF(SUM(D110:N110)&lt;&gt;0,"",TABLERO!BU110),"")</f>
        <v/>
      </c>
    </row>
    <row r="111" spans="1:17" hidden="1">
      <c r="A111" s="678" t="str">
        <f>RESUMEN!A111</f>
        <v>81</v>
      </c>
      <c r="B111" s="679" t="str">
        <f>IF('CUADRO (1)'!AI111="","",TABLERO!H111)</f>
        <v/>
      </c>
      <c r="C111" s="679" t="str">
        <f>IF('CUADRO (1)'!AI111="","",TABLERO!W111)</f>
        <v/>
      </c>
      <c r="D111" s="680" t="str">
        <f>IF(OR(TABLERO!BC111=""),"",IF(TABLERO!$F$17="KVA",TABLERO!BC111/TABLERO!$DA111,TABLERO!BC111))</f>
        <v/>
      </c>
      <c r="E111" s="680" t="str">
        <f>IF(OR(TABLERO!BD111=""),"",IF(TABLERO!$F$17="KVA",TABLERO!BD111/TABLERO!$DA111,TABLERO!BD111))</f>
        <v/>
      </c>
      <c r="F111" s="680" t="str">
        <f>IF(OR(TABLERO!BE111=""),"",IF(TABLERO!$F$17="KVA",TABLERO!BE111/TABLERO!$DA111,TABLERO!BE111))</f>
        <v/>
      </c>
      <c r="G111" s="680" t="str">
        <f>IF(OR(TABLERO!BH111=""),"",IF(TABLERO!$F$17="KVA",TABLERO!BH111/TABLERO!$DA111,TABLERO!BH111))</f>
        <v/>
      </c>
      <c r="H111" s="680" t="str">
        <f>IF(OR(TABLERO!BI111=""),"",IF(TABLERO!$F$17="KVA",TABLERO!BI111/TABLERO!$DA111,TABLERO!BI111))</f>
        <v/>
      </c>
      <c r="I111" s="680" t="str">
        <f>IF(OR(TABLERO!BJ111=""),"",IF(TABLERO!$F$17="KVA",TABLERO!BJ111/TABLERO!$DA111,TABLERO!BJ111))</f>
        <v/>
      </c>
      <c r="J111" s="680" t="str">
        <f>IF(OR(TABLERO!BK111=""),"",IF(TABLERO!$F$17="KVA",TABLERO!BK111/TABLERO!$DA111,TABLERO!BK111))</f>
        <v/>
      </c>
      <c r="K111" s="680" t="str">
        <f>IF(OR(TABLERO!BL111=""),"",IF(TABLERO!$F$17="KVA",TABLERO!BL111/TABLERO!$DA111,TABLERO!BL111))</f>
        <v/>
      </c>
      <c r="L111" s="680" t="str">
        <f>IF(OR(TABLERO!BO111=""),"",IF(TABLERO!$F$17="KVA",TABLERO!BO111/TABLERO!$DA111,TABLERO!BO111))</f>
        <v/>
      </c>
      <c r="M111" s="680" t="str">
        <f>IF(OR(TABLERO!BP111=""),"",IF(TABLERO!$F$17="KVA",TABLERO!BP111/TABLERO!$DA111,TABLERO!BP111))</f>
        <v/>
      </c>
      <c r="N111" s="680" t="str">
        <f>IF(TABLERO!BQ111="","",IF(TABLERO!$F$17="KVA",TABLERO!BQ111/TABLERO!$F$14,TABLERO!BQ111))</f>
        <v/>
      </c>
      <c r="O111" s="680" t="str">
        <f>IF(TABLERO!BS111=0,"",TABLERO!BS111)</f>
        <v/>
      </c>
      <c r="P111" s="681" t="str">
        <f>IF(TABLERO!BQ111="","",IF(TABLERO!$F$17="KVA",TABLERO!BR111/TABLERO!$F$14,TABLERO!BR111))</f>
        <v/>
      </c>
      <c r="Q111" s="682" t="str">
        <f>IF(TABLERO!H111="TB",IF(SUM(D111:N111)&lt;&gt;0,"",TABLERO!BU111),"")</f>
        <v/>
      </c>
    </row>
    <row r="112" spans="1:17" hidden="1">
      <c r="A112" s="678" t="str">
        <f>RESUMEN!A112</f>
        <v>82</v>
      </c>
      <c r="B112" s="679" t="str">
        <f>IF('CUADRO (1)'!AI112="","",TABLERO!H112)</f>
        <v/>
      </c>
      <c r="C112" s="679" t="str">
        <f>IF('CUADRO (1)'!AI112="","",TABLERO!W112)</f>
        <v/>
      </c>
      <c r="D112" s="680" t="str">
        <f>IF(OR(TABLERO!BC112=""),"",IF(TABLERO!$F$17="KVA",TABLERO!BC112/TABLERO!$DA112,TABLERO!BC112))</f>
        <v/>
      </c>
      <c r="E112" s="680" t="str">
        <f>IF(OR(TABLERO!BD112=""),"",IF(TABLERO!$F$17="KVA",TABLERO!BD112/TABLERO!$DA112,TABLERO!BD112))</f>
        <v/>
      </c>
      <c r="F112" s="680" t="str">
        <f>IF(OR(TABLERO!BE112=""),"",IF(TABLERO!$F$17="KVA",TABLERO!BE112/TABLERO!$DA112,TABLERO!BE112))</f>
        <v/>
      </c>
      <c r="G112" s="680" t="str">
        <f>IF(OR(TABLERO!BH112=""),"",IF(TABLERO!$F$17="KVA",TABLERO!BH112/TABLERO!$DA112,TABLERO!BH112))</f>
        <v/>
      </c>
      <c r="H112" s="680" t="str">
        <f>IF(OR(TABLERO!BI112=""),"",IF(TABLERO!$F$17="KVA",TABLERO!BI112/TABLERO!$DA112,TABLERO!BI112))</f>
        <v/>
      </c>
      <c r="I112" s="680" t="str">
        <f>IF(OR(TABLERO!BJ112=""),"",IF(TABLERO!$F$17="KVA",TABLERO!BJ112/TABLERO!$DA112,TABLERO!BJ112))</f>
        <v/>
      </c>
      <c r="J112" s="680" t="str">
        <f>IF(OR(TABLERO!BK112=""),"",IF(TABLERO!$F$17="KVA",TABLERO!BK112/TABLERO!$DA112,TABLERO!BK112))</f>
        <v/>
      </c>
      <c r="K112" s="680" t="str">
        <f>IF(OR(TABLERO!BL112=""),"",IF(TABLERO!$F$17="KVA",TABLERO!BL112/TABLERO!$DA112,TABLERO!BL112))</f>
        <v/>
      </c>
      <c r="L112" s="680" t="str">
        <f>IF(OR(TABLERO!BO112=""),"",IF(TABLERO!$F$17="KVA",TABLERO!BO112/TABLERO!$DA112,TABLERO!BO112))</f>
        <v/>
      </c>
      <c r="M112" s="680" t="str">
        <f>IF(OR(TABLERO!BP112=""),"",IF(TABLERO!$F$17="KVA",TABLERO!BP112/TABLERO!$DA112,TABLERO!BP112))</f>
        <v/>
      </c>
      <c r="N112" s="680" t="str">
        <f>IF(TABLERO!BQ112="","",IF(TABLERO!$F$17="KVA",TABLERO!BQ112/TABLERO!$F$14,TABLERO!BQ112))</f>
        <v/>
      </c>
      <c r="O112" s="680" t="str">
        <f>IF(TABLERO!BS112=0,"",TABLERO!BS112)</f>
        <v/>
      </c>
      <c r="P112" s="681" t="str">
        <f>IF(TABLERO!BQ112="","",IF(TABLERO!$F$17="KVA",TABLERO!BR112/TABLERO!$F$14,TABLERO!BR112))</f>
        <v/>
      </c>
      <c r="Q112" s="682" t="str">
        <f>IF(TABLERO!H112="TB",IF(SUM(D112:N112)&lt;&gt;0,"",TABLERO!BU112),"")</f>
        <v/>
      </c>
    </row>
    <row r="113" spans="1:17" hidden="1">
      <c r="A113" s="678" t="str">
        <f>RESUMEN!A113</f>
        <v>83</v>
      </c>
      <c r="B113" s="679" t="str">
        <f>IF('CUADRO (1)'!AI113="","",TABLERO!H113)</f>
        <v/>
      </c>
      <c r="C113" s="679" t="str">
        <f>IF('CUADRO (1)'!AI113="","",TABLERO!W113)</f>
        <v/>
      </c>
      <c r="D113" s="680" t="str">
        <f>IF(OR(TABLERO!BC113=""),"",IF(TABLERO!$F$17="KVA",TABLERO!BC113/TABLERO!$DA113,TABLERO!BC113))</f>
        <v/>
      </c>
      <c r="E113" s="680" t="str">
        <f>IF(OR(TABLERO!BD113=""),"",IF(TABLERO!$F$17="KVA",TABLERO!BD113/TABLERO!$DA113,TABLERO!BD113))</f>
        <v/>
      </c>
      <c r="F113" s="680" t="str">
        <f>IF(OR(TABLERO!BE113=""),"",IF(TABLERO!$F$17="KVA",TABLERO!BE113/TABLERO!$DA113,TABLERO!BE113))</f>
        <v/>
      </c>
      <c r="G113" s="680" t="str">
        <f>IF(OR(TABLERO!BH113=""),"",IF(TABLERO!$F$17="KVA",TABLERO!BH113/TABLERO!$DA113,TABLERO!BH113))</f>
        <v/>
      </c>
      <c r="H113" s="680" t="str">
        <f>IF(OR(TABLERO!BI113=""),"",IF(TABLERO!$F$17="KVA",TABLERO!BI113/TABLERO!$DA113,TABLERO!BI113))</f>
        <v/>
      </c>
      <c r="I113" s="680" t="str">
        <f>IF(OR(TABLERO!BJ113=""),"",IF(TABLERO!$F$17="KVA",TABLERO!BJ113/TABLERO!$DA113,TABLERO!BJ113))</f>
        <v/>
      </c>
      <c r="J113" s="680" t="str">
        <f>IF(OR(TABLERO!BK113=""),"",IF(TABLERO!$F$17="KVA",TABLERO!BK113/TABLERO!$DA113,TABLERO!BK113))</f>
        <v/>
      </c>
      <c r="K113" s="680" t="str">
        <f>IF(OR(TABLERO!BL113=""),"",IF(TABLERO!$F$17="KVA",TABLERO!BL113/TABLERO!$DA113,TABLERO!BL113))</f>
        <v/>
      </c>
      <c r="L113" s="680" t="str">
        <f>IF(OR(TABLERO!BO113=""),"",IF(TABLERO!$F$17="KVA",TABLERO!BO113/TABLERO!$DA113,TABLERO!BO113))</f>
        <v/>
      </c>
      <c r="M113" s="680" t="str">
        <f>IF(OR(TABLERO!BP113=""),"",IF(TABLERO!$F$17="KVA",TABLERO!BP113/TABLERO!$DA113,TABLERO!BP113))</f>
        <v/>
      </c>
      <c r="N113" s="680" t="str">
        <f>IF(TABLERO!BQ113="","",IF(TABLERO!$F$17="KVA",TABLERO!BQ113/TABLERO!$F$14,TABLERO!BQ113))</f>
        <v/>
      </c>
      <c r="O113" s="680" t="str">
        <f>IF(TABLERO!BS113=0,"",TABLERO!BS113)</f>
        <v/>
      </c>
      <c r="P113" s="681" t="str">
        <f>IF(TABLERO!BQ113="","",IF(TABLERO!$F$17="KVA",TABLERO!BR113/TABLERO!$F$14,TABLERO!BR113))</f>
        <v/>
      </c>
      <c r="Q113" s="682" t="str">
        <f>IF(TABLERO!H113="TB",IF(SUM(D113:N113)&lt;&gt;0,"",TABLERO!BU113),"")</f>
        <v/>
      </c>
    </row>
    <row r="114" spans="1:17" hidden="1">
      <c r="A114" s="678" t="str">
        <f>RESUMEN!A114</f>
        <v/>
      </c>
      <c r="B114" s="679" t="str">
        <f>IF('CUADRO (1)'!AI114="","",TABLERO!H114)</f>
        <v/>
      </c>
      <c r="C114" s="679" t="str">
        <f>IF('CUADRO (1)'!AI114="","",TABLERO!W114)</f>
        <v/>
      </c>
      <c r="D114" s="680" t="str">
        <f>IF(OR(TABLERO!BC114=""),"",IF(TABLERO!$F$17="KVA",TABLERO!BC114/TABLERO!$DA114,TABLERO!BC114))</f>
        <v/>
      </c>
      <c r="E114" s="680" t="str">
        <f>IF(OR(TABLERO!BD114=""),"",IF(TABLERO!$F$17="KVA",TABLERO!BD114/TABLERO!$DA114,TABLERO!BD114))</f>
        <v/>
      </c>
      <c r="F114" s="680" t="str">
        <f>IF(OR(TABLERO!BE114=""),"",IF(TABLERO!$F$17="KVA",TABLERO!BE114/TABLERO!$DA114,TABLERO!BE114))</f>
        <v/>
      </c>
      <c r="G114" s="680" t="str">
        <f>IF(OR(TABLERO!BH114=""),"",IF(TABLERO!$F$17="KVA",TABLERO!BH114/TABLERO!$DA114,TABLERO!BH114))</f>
        <v/>
      </c>
      <c r="H114" s="680" t="str">
        <f>IF(OR(TABLERO!BI114=""),"",IF(TABLERO!$F$17="KVA",TABLERO!BI114/TABLERO!$DA114,TABLERO!BI114))</f>
        <v/>
      </c>
      <c r="I114" s="680" t="str">
        <f>IF(OR(TABLERO!BJ114=""),"",IF(TABLERO!$F$17="KVA",TABLERO!BJ114/TABLERO!$DA114,TABLERO!BJ114))</f>
        <v/>
      </c>
      <c r="J114" s="680" t="str">
        <f>IF(OR(TABLERO!BK114=""),"",IF(TABLERO!$F$17="KVA",TABLERO!BK114/TABLERO!$DA114,TABLERO!BK114))</f>
        <v/>
      </c>
      <c r="K114" s="680" t="str">
        <f>IF(OR(TABLERO!BL114=""),"",IF(TABLERO!$F$17="KVA",TABLERO!BL114/TABLERO!$DA114,TABLERO!BL114))</f>
        <v/>
      </c>
      <c r="L114" s="680" t="str">
        <f>IF(OR(TABLERO!BO114=""),"",IF(TABLERO!$F$17="KVA",TABLERO!BO114/TABLERO!$DA114,TABLERO!BO114))</f>
        <v/>
      </c>
      <c r="M114" s="680" t="str">
        <f>IF(OR(TABLERO!BP114=""),"",IF(TABLERO!$F$17="KVA",TABLERO!BP114/TABLERO!$DA114,TABLERO!BP114))</f>
        <v/>
      </c>
      <c r="N114" s="680" t="str">
        <f>IF(TABLERO!BQ114="","",IF(TABLERO!$F$17="KVA",TABLERO!BQ114/TABLERO!$F$14,TABLERO!BQ114))</f>
        <v/>
      </c>
      <c r="O114" s="680" t="str">
        <f>IF(TABLERO!BS114=0,"",TABLERO!BS114)</f>
        <v/>
      </c>
      <c r="P114" s="681" t="str">
        <f>IF(TABLERO!BQ114="","",IF(TABLERO!$F$17="KVA",TABLERO!BR114/TABLERO!$F$14,TABLERO!BR114))</f>
        <v/>
      </c>
      <c r="Q114" s="682" t="str">
        <f>IF(TABLERO!H114="TB",IF(SUM(D114:N114)&lt;&gt;0,"",TABLERO!BU114),"")</f>
        <v/>
      </c>
    </row>
    <row r="115" spans="1:17">
      <c r="A115" s="683"/>
      <c r="B115" s="684"/>
      <c r="C115" s="684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6"/>
      <c r="Q115" s="687"/>
    </row>
    <row r="116" spans="1:17">
      <c r="A116" s="1209" t="s">
        <v>158</v>
      </c>
      <c r="B116" s="1210"/>
      <c r="C116" s="1211"/>
      <c r="D116" s="688">
        <f>SUM(D30:D115)</f>
        <v>4.5999999999999996</v>
      </c>
      <c r="E116" s="688">
        <f t="shared" ref="E116:M116" si="0">SUM(E30:E115)</f>
        <v>0</v>
      </c>
      <c r="F116" s="688">
        <f t="shared" si="0"/>
        <v>30</v>
      </c>
      <c r="G116" s="688">
        <f t="shared" si="0"/>
        <v>0</v>
      </c>
      <c r="H116" s="688">
        <f t="shared" si="0"/>
        <v>0</v>
      </c>
      <c r="I116" s="688">
        <f t="shared" si="0"/>
        <v>0</v>
      </c>
      <c r="J116" s="688">
        <f t="shared" si="0"/>
        <v>20.135999999999999</v>
      </c>
      <c r="K116" s="688">
        <f t="shared" si="0"/>
        <v>0</v>
      </c>
      <c r="L116" s="688">
        <f t="shared" si="0"/>
        <v>0</v>
      </c>
      <c r="M116" s="688">
        <f t="shared" si="0"/>
        <v>0</v>
      </c>
      <c r="N116" s="688">
        <f>SUM(N31:N115)</f>
        <v>38.70702</v>
      </c>
      <c r="O116" s="688" t="s">
        <v>16</v>
      </c>
      <c r="Q116" s="688">
        <f>SUM(Q30:Q115)</f>
        <v>0</v>
      </c>
    </row>
    <row r="117" spans="1:17">
      <c r="A117" s="1209" t="s">
        <v>153</v>
      </c>
      <c r="B117" s="1210"/>
      <c r="C117" s="1211"/>
      <c r="D117" s="688">
        <f>TABLERO!BC26</f>
        <v>1</v>
      </c>
      <c r="E117" s="688">
        <f>TABLERO!BD26</f>
        <v>1</v>
      </c>
      <c r="F117" s="688">
        <f>TABLERO!BE26</f>
        <v>1</v>
      </c>
      <c r="G117" s="688">
        <f>TABLERO!BH26</f>
        <v>1</v>
      </c>
      <c r="H117" s="688">
        <f>TABLERO!BI26</f>
        <v>1</v>
      </c>
      <c r="I117" s="688">
        <f>TABLERO!BJ26</f>
        <v>1</v>
      </c>
      <c r="J117" s="688">
        <f>TABLERO!BK26</f>
        <v>1</v>
      </c>
      <c r="K117" s="688">
        <f>TABLERO!BL26</f>
        <v>1</v>
      </c>
      <c r="L117" s="688">
        <f>TABLERO!BO26</f>
        <v>1</v>
      </c>
      <c r="M117" s="688">
        <f>TABLERO!BP26</f>
        <v>1</v>
      </c>
      <c r="N117" s="688">
        <f>TABLERO!BF26</f>
        <v>1</v>
      </c>
      <c r="O117" s="688" t="s">
        <v>174</v>
      </c>
      <c r="P117" s="688"/>
      <c r="Q117" s="688">
        <f>TABLERO!BG26</f>
        <v>1</v>
      </c>
    </row>
    <row r="118" spans="1:17">
      <c r="A118" s="1209" t="s">
        <v>92</v>
      </c>
      <c r="B118" s="1210"/>
      <c r="C118" s="1211"/>
      <c r="D118" s="688">
        <f>D117*D116</f>
        <v>4.5999999999999996</v>
      </c>
      <c r="E118" s="688">
        <f t="shared" ref="E118:M118" si="1">E117*E116</f>
        <v>0</v>
      </c>
      <c r="F118" s="688">
        <f t="shared" si="1"/>
        <v>30</v>
      </c>
      <c r="G118" s="688">
        <f t="shared" si="1"/>
        <v>0</v>
      </c>
      <c r="H118" s="688">
        <f t="shared" si="1"/>
        <v>0</v>
      </c>
      <c r="I118" s="688">
        <f t="shared" si="1"/>
        <v>0</v>
      </c>
      <c r="J118" s="688">
        <f t="shared" si="1"/>
        <v>20.135999999999999</v>
      </c>
      <c r="K118" s="688">
        <f t="shared" si="1"/>
        <v>0</v>
      </c>
      <c r="L118" s="688">
        <f t="shared" si="1"/>
        <v>0</v>
      </c>
      <c r="M118" s="688">
        <f t="shared" si="1"/>
        <v>0</v>
      </c>
      <c r="N118" s="688">
        <f>N116*N117</f>
        <v>38.70702</v>
      </c>
      <c r="O118" s="688">
        <f>MAX(O30:O115)</f>
        <v>70</v>
      </c>
      <c r="P118" s="688">
        <f>MAX(P30:P115)</f>
        <v>15.825348000000002</v>
      </c>
      <c r="Q118" s="688">
        <f>Q116*Q117</f>
        <v>0</v>
      </c>
    </row>
    <row r="119" spans="1:17" ht="13.8" thickBot="1">
      <c r="L119" s="1200"/>
      <c r="M119" s="1200"/>
    </row>
    <row r="120" spans="1:17" ht="13.8" thickBot="1">
      <c r="D120" s="1201" t="s">
        <v>159</v>
      </c>
      <c r="E120" s="1202"/>
      <c r="F120" s="1202"/>
      <c r="G120" s="1202"/>
      <c r="H120" s="1202"/>
      <c r="I120" s="1203"/>
      <c r="Q120" s="593"/>
    </row>
    <row r="121" spans="1:17" ht="13.8" thickBot="1">
      <c r="D121" s="689"/>
      <c r="E121" s="690"/>
      <c r="F121" s="690"/>
      <c r="G121" s="691"/>
      <c r="H121" s="692" t="str">
        <f>IF(TABLERO!$F$17&lt;&gt;"KVA","KW","KVA")</f>
        <v>KW</v>
      </c>
      <c r="I121" s="693" t="s">
        <v>32</v>
      </c>
      <c r="Q121" s="593"/>
    </row>
    <row r="122" spans="1:17">
      <c r="D122" s="1204" t="s">
        <v>52</v>
      </c>
      <c r="E122" s="1178"/>
      <c r="F122" s="1178"/>
      <c r="G122" s="1205"/>
      <c r="H122" s="694">
        <f>SUM(D118:H118)</f>
        <v>34.6</v>
      </c>
      <c r="I122" s="695">
        <f>(H122*1000)/(IF(TABLERO!$F$10=3,1.73,IF(AND(TABLERO!$F$10=2,TABLERO!$H$10=3),2,1))*IF(TABLERO!$F$10&gt;2,TABLERO!$F$9,TABLERO!$H$9)*IF(TABLERO!$F$17="KVA",1,TABLERO!$F$14))</f>
        <v>101.01010101010101</v>
      </c>
      <c r="Q122" s="593"/>
    </row>
    <row r="123" spans="1:17">
      <c r="D123" s="1204" t="s">
        <v>160</v>
      </c>
      <c r="E123" s="1178"/>
      <c r="F123" s="1178"/>
      <c r="G123" s="1205"/>
      <c r="H123" s="694">
        <f>SUM(I118:M118)</f>
        <v>20.135999999999999</v>
      </c>
      <c r="I123" s="695">
        <f>(H123*1000)/(IF(TABLERO!$F$10=3,1.73,IF(AND(TABLERO!$F$10=2,TABLERO!$H$10=3),2,1))*IF(TABLERO!$F$10&gt;2,TABLERO!$F$9,TABLERO!$H$9)*IF(TABLERO!$F$17="KVA",1,TABLERO!$F$14))</f>
        <v>58.784375547381323</v>
      </c>
      <c r="Q123" s="593"/>
    </row>
    <row r="124" spans="1:17" ht="13.8" thickBot="1">
      <c r="D124" s="1206"/>
      <c r="E124" s="1207"/>
      <c r="F124" s="1207"/>
      <c r="G124" s="1208"/>
      <c r="H124" s="694"/>
      <c r="I124" s="696"/>
      <c r="Q124" s="593"/>
    </row>
    <row r="125" spans="1:17" ht="13.8" thickBot="1">
      <c r="D125" s="1212" t="s">
        <v>170</v>
      </c>
      <c r="E125" s="1213"/>
      <c r="F125" s="1213"/>
      <c r="G125" s="1214"/>
      <c r="H125" s="697">
        <f>SUM(H122:H123)</f>
        <v>54.736000000000004</v>
      </c>
      <c r="I125" s="698"/>
      <c r="Q125" s="593"/>
    </row>
    <row r="127" spans="1:17">
      <c r="B127" s="593" t="str">
        <f>IF(TABLERO!M18="TR","Determinación de la corriente del sistema para el cálculo de la capacidad del Transformador",IF(TABLERO!M18="PE","Determinación de la corriente del sistema para el cálculo de la capacidad del Generador","Determinación de la corriente del sistema para el cálculo de la capacidad del Alimentador"))</f>
        <v>Determinación de la corriente del sistema para el cálculo de la capacidad del Transformador</v>
      </c>
      <c r="D127" s="593"/>
      <c r="E127" s="593"/>
      <c r="F127" s="593"/>
      <c r="G127" s="593"/>
      <c r="H127" s="593"/>
      <c r="I127" s="593"/>
    </row>
    <row r="128" spans="1:17">
      <c r="D128" s="593"/>
      <c r="E128" s="593"/>
      <c r="F128" s="593"/>
      <c r="G128" s="593"/>
      <c r="H128" s="593"/>
      <c r="I128" s="593"/>
    </row>
    <row r="129" spans="2:12">
      <c r="B129" s="611" t="s">
        <v>161</v>
      </c>
      <c r="C129" s="593" t="s">
        <v>162</v>
      </c>
      <c r="D129" s="593"/>
      <c r="E129" s="593"/>
      <c r="F129" s="593"/>
      <c r="G129" s="593"/>
      <c r="H129" s="593"/>
      <c r="I129" s="593"/>
    </row>
    <row r="130" spans="2:12">
      <c r="D130" s="593"/>
      <c r="E130" s="593"/>
      <c r="F130" s="593"/>
      <c r="G130" s="593"/>
      <c r="H130" s="593"/>
      <c r="I130" s="593"/>
    </row>
    <row r="131" spans="2:12">
      <c r="D131" s="593" t="s">
        <v>163</v>
      </c>
      <c r="E131" s="593"/>
      <c r="F131" s="593"/>
      <c r="G131" s="593"/>
      <c r="H131" s="655">
        <f>TABLERO!$CY$130</f>
        <v>113</v>
      </c>
      <c r="I131" s="611" t="s">
        <v>589</v>
      </c>
    </row>
    <row r="132" spans="2:12">
      <c r="D132" s="593" t="s">
        <v>164</v>
      </c>
      <c r="E132" s="593"/>
      <c r="F132" s="593"/>
      <c r="G132" s="593"/>
      <c r="H132" s="655">
        <f>TABLERO!$CY$131</f>
        <v>11.55</v>
      </c>
      <c r="I132" s="611" t="s">
        <v>589</v>
      </c>
    </row>
    <row r="133" spans="2:12">
      <c r="D133" s="593" t="s">
        <v>165</v>
      </c>
      <c r="E133" s="593"/>
      <c r="F133" s="593"/>
      <c r="G133" s="593"/>
      <c r="H133" s="655">
        <f>I122*1.25</f>
        <v>126.26262626262627</v>
      </c>
      <c r="I133" s="611" t="s">
        <v>589</v>
      </c>
    </row>
    <row r="134" spans="2:12">
      <c r="D134" s="593" t="s">
        <v>166</v>
      </c>
      <c r="E134" s="593"/>
      <c r="F134" s="593"/>
      <c r="G134" s="593"/>
      <c r="H134" s="655">
        <f>I123</f>
        <v>58.784375547381323</v>
      </c>
      <c r="I134" s="611" t="s">
        <v>589</v>
      </c>
    </row>
    <row r="135" spans="2:12">
      <c r="D135" s="593" t="s">
        <v>167</v>
      </c>
      <c r="E135" s="593"/>
      <c r="F135" s="593"/>
      <c r="G135" s="593"/>
      <c r="H135" s="655">
        <f>Q118</f>
        <v>0</v>
      </c>
      <c r="I135" s="611" t="s">
        <v>589</v>
      </c>
    </row>
    <row r="136" spans="2:12">
      <c r="D136" s="593"/>
      <c r="E136" s="593"/>
      <c r="F136" s="593"/>
      <c r="G136" s="593"/>
      <c r="I136" s="611"/>
    </row>
    <row r="137" spans="2:12">
      <c r="D137" s="593"/>
      <c r="E137" s="593"/>
      <c r="F137" s="593"/>
      <c r="G137" s="593"/>
      <c r="H137" s="612" t="s">
        <v>168</v>
      </c>
      <c r="I137" s="611"/>
    </row>
    <row r="138" spans="2:12">
      <c r="D138" s="593"/>
      <c r="E138" s="593"/>
      <c r="F138" s="593"/>
      <c r="G138" s="611" t="s">
        <v>161</v>
      </c>
      <c r="H138" s="655">
        <f>SUM(H131:H137)</f>
        <v>309.59700181000761</v>
      </c>
      <c r="I138" s="611" t="s">
        <v>589</v>
      </c>
    </row>
    <row r="139" spans="2:12">
      <c r="D139" s="593"/>
      <c r="E139" s="593"/>
      <c r="F139" s="593"/>
      <c r="G139" s="593"/>
      <c r="H139" s="593"/>
      <c r="I139" s="611"/>
    </row>
    <row r="140" spans="2:12">
      <c r="D140" s="593"/>
      <c r="E140" s="593"/>
      <c r="F140" s="593"/>
      <c r="G140" s="611" t="s">
        <v>169</v>
      </c>
      <c r="H140" s="655">
        <f>TABLERO!O17</f>
        <v>0.8</v>
      </c>
      <c r="I140" s="611"/>
    </row>
    <row r="141" spans="2:12">
      <c r="D141" s="593"/>
      <c r="E141" s="593"/>
      <c r="F141" s="593"/>
      <c r="G141" s="593"/>
      <c r="H141" s="593"/>
      <c r="I141" s="611"/>
    </row>
    <row r="142" spans="2:12">
      <c r="D142" s="593"/>
      <c r="E142" s="593"/>
      <c r="F142" s="593"/>
      <c r="G142" s="611" t="s">
        <v>161</v>
      </c>
      <c r="H142" s="699">
        <f>H138*H140</f>
        <v>247.6776014480061</v>
      </c>
      <c r="I142" s="611" t="s">
        <v>589</v>
      </c>
    </row>
    <row r="143" spans="2:12">
      <c r="D143" s="593"/>
    </row>
    <row r="144" spans="2:12">
      <c r="B144" s="593" t="str">
        <f>IF(OR(TABLERO!$M$18="UPS",TABLERO!$M$18="REG"),"Determinación de la Capacidad del UPS",IF(TABLERO!M18="TR","Determinación de la Capacidad del TRANSFORMADOR",IF(TABLERO!M18="PE","Determinación de la Capacidad del GENERADOR","Determinación de la corriente para la selección de la protección")))</f>
        <v>Determinación de la Capacidad del TRANSFORMADOR</v>
      </c>
      <c r="D144" s="593"/>
      <c r="E144" s="593"/>
      <c r="F144" s="593"/>
      <c r="G144" s="593"/>
      <c r="H144" s="593"/>
      <c r="I144" s="593"/>
      <c r="J144" s="593"/>
      <c r="K144" s="593"/>
      <c r="L144" s="593"/>
    </row>
    <row r="145" spans="2:12">
      <c r="D145" s="593"/>
      <c r="E145" s="593"/>
      <c r="F145" s="593"/>
      <c r="G145" s="593"/>
      <c r="H145" s="593"/>
      <c r="I145" s="593"/>
      <c r="J145" s="593"/>
      <c r="K145" s="593"/>
      <c r="L145" s="593"/>
    </row>
    <row r="146" spans="2:12">
      <c r="B146" s="611" t="str">
        <f>IF(TABLERO!M18&lt;&gt;"TB","","Itot =")</f>
        <v/>
      </c>
      <c r="C146" s="593" t="str">
        <f>IF(TABLERO!M18&lt;&gt;"TB","","PROT. MOT MAY + Inom. DE LOS MOT - MOT. MAYOR + 125% In CARGAS CONTINUAS + In CARGAS NO CONTINUAS + In OTROS TABLEROS")</f>
        <v/>
      </c>
      <c r="D146" s="593"/>
      <c r="E146" s="593"/>
      <c r="F146" s="593"/>
      <c r="G146" s="593"/>
      <c r="H146" s="593"/>
      <c r="I146" s="593"/>
      <c r="J146" s="593"/>
      <c r="K146" s="593"/>
      <c r="L146" s="593"/>
    </row>
    <row r="147" spans="2:12">
      <c r="B147" s="1185" t="str">
        <f>IF(OR(TABLERO!$M$18="UPS",TABLERO!$M$18="REG"),"KVA-"&amp;TABLERO!$M$18&amp;" = 1.732 X ( Vff / 1000 ) X Itot =",IF(TABLERO!M18="TR","KVAtrafo = 1.732 X ( Vff / 1000 ) X Itot =",IF(TABLERO!M18="PE","KWgen. = 1.732 X ( Vff / 1000 ) X Itot X f.p: =","")))</f>
        <v>KVAtrafo = 1.732 X ( Vff / 1000 ) X Itot =</v>
      </c>
      <c r="C147" s="1185"/>
      <c r="D147" s="1185"/>
      <c r="E147" s="1185"/>
      <c r="F147" s="1185"/>
      <c r="G147" s="1185"/>
      <c r="H147" s="700">
        <f>IF(OR(TABLERO!$M$18="UPS",TABLERO!$M$18="REG"),1.73*(TABLERO!$F$9/1000)*'AL-EQ'!H142,IF(TABLERO!M18="TR",1.73*(TABLERO!$F$9/1000)*'AL-EQ'!H142,IF(TABLERO!M18="PE",1.73*(TABLERO!$F$9/1000)*'AL-EQ'!H142*E27,"")))</f>
        <v>94.266095111111127</v>
      </c>
      <c r="I147" s="611" t="str">
        <f>IF(OR(TABLERO!$M$18="UPS",TABLERO!$M$18="REG"),"KVA",IF(TABLERO!M18="TR","KVA",IF(TABLERO!M18="PE","KW","")))</f>
        <v>KVA</v>
      </c>
    </row>
    <row r="148" spans="2:12">
      <c r="D148" s="593"/>
      <c r="E148" s="593"/>
      <c r="F148" s="593"/>
      <c r="G148" s="593"/>
      <c r="H148" s="615"/>
      <c r="I148" s="611"/>
      <c r="J148" s="593"/>
      <c r="K148" s="593"/>
      <c r="L148" s="593"/>
    </row>
    <row r="149" spans="2:12">
      <c r="D149" s="593"/>
      <c r="G149" s="615" t="str">
        <f>IF(TABLERO!M18&lt;&gt;"TB","CAPACIDAD COMERCIAL =","Inom. DE LOS MOTORES - In del Mot. Mayor")</f>
        <v>CAPACIDAD COMERCIAL =</v>
      </c>
      <c r="H149" s="700">
        <f>IF(OR(TABLERO!$M$18="UPS",TABLERO!$M$18="REG"),TABLERO!AZ126/E27,IF(TABLERO!M18="TR",TABLERO!AZ118/E27,IF(TABLERO!M18="PE",TABLERO!AZ122,TABLERO!DL130)))</f>
        <v>112.5</v>
      </c>
      <c r="I149" s="611" t="str">
        <f>IF(OR(TABLERO!$M$18="UPS",TABLERO!$M$18="REG"),"kVA",IF(TABLERO!M18="TR","kVA",IF(TABLERO!M18="PE","kW","A.")))</f>
        <v>kVA</v>
      </c>
      <c r="J149" s="615"/>
      <c r="K149" s="701"/>
      <c r="L149" s="593"/>
    </row>
    <row r="150" spans="2:12">
      <c r="D150" s="593"/>
      <c r="G150" s="615" t="str">
        <f>IF(TABLERO!M18&lt;&gt;"TB","","PROT. DEL MOT. MAYOR")</f>
        <v/>
      </c>
      <c r="H150" s="700" t="str">
        <f>IF(TABLERO!M18&lt;&gt;"Tb","",O118)</f>
        <v/>
      </c>
      <c r="I150" s="611" t="str">
        <f>IF(TABLERO!M18&lt;&gt;"TB","","AMP.")</f>
        <v/>
      </c>
      <c r="J150" s="615"/>
      <c r="K150" s="593"/>
      <c r="L150" s="593"/>
    </row>
    <row r="151" spans="2:12">
      <c r="D151" s="593"/>
      <c r="G151" s="615" t="str">
        <f>IF(OR(TABLERO!$M$18="UPS",TABLERO!$M$18="REG"),"CORRIENTE NOMINAL =",IF(TABLERO!M18="TR","CORRIENTE NOMINAL =",IF(TABLERO!M18="PE","CORRIENTE NOMINAL =","125% DE LA In DE LAS CARGAS CONTINUAS ")))</f>
        <v>CORRIENTE NOMINAL =</v>
      </c>
      <c r="H151" s="700">
        <f>IF(OR(TABLERO!$M$18="UPS",TABLERO!$M$18="REG"),TABLERO!BA126,IF(TABLERO!M18="TR",TABLERO!BA118,IF(TABLERO!M18="PE",TABLERO!BA122,I122*1.25)))</f>
        <v>295.5859169732002</v>
      </c>
      <c r="I151" s="611" t="str">
        <f>IF(TABLERO!M18="TR","A","A.")</f>
        <v>A</v>
      </c>
      <c r="J151" s="615"/>
      <c r="K151" s="701"/>
      <c r="L151" s="593"/>
    </row>
    <row r="152" spans="2:12">
      <c r="D152" s="593"/>
      <c r="G152" s="615" t="str">
        <f>IF(TABLERO!M18&lt;&gt;"TB","","In DE LAS CARGAS NO CONTINUAS")</f>
        <v/>
      </c>
      <c r="H152" s="700" t="str">
        <f>IF(TABLERO!M18&lt;&gt;"TB","",I123)</f>
        <v/>
      </c>
      <c r="I152" s="611" t="str">
        <f>IF(TABLERO!M18&lt;&gt;"TB","","AMP.")</f>
        <v/>
      </c>
      <c r="J152" s="615"/>
      <c r="K152" s="593"/>
      <c r="L152" s="593"/>
    </row>
    <row r="153" spans="2:12">
      <c r="D153" s="593"/>
      <c r="G153" s="615" t="str">
        <f>IF(OR(TABLERO!$M$18="UPS",TABLERO!$M$18="REG"),"PROTECCION =",IF(TABLERO!M18="TR","PROTECCION =",IF(TABLERO!M18="PE","PROTECCION =","In OTROS TABLEROS")))</f>
        <v>PROTECCION =</v>
      </c>
      <c r="H153" s="700">
        <f>IF(OR(TABLERO!$M$18="UPS",TABLERO!$M$18="REG"),TABLERO!BW126,IF(TABLERO!M18="TR",TABLERO!BW118,IF(TABLERO!M18="PE",TABLERO!BW122,Q118)))</f>
        <v>300</v>
      </c>
      <c r="I153" s="611" t="str">
        <f>IF(TABLERO!M18="TR","A","A.")</f>
        <v>A</v>
      </c>
      <c r="J153" s="615"/>
      <c r="K153" s="701"/>
      <c r="L153" s="593"/>
    </row>
    <row r="154" spans="2:12">
      <c r="D154" s="593"/>
      <c r="G154" s="593"/>
      <c r="H154" s="612" t="str">
        <f>IF(TABLERO!M18&lt;&gt;"TB","","---------------------")</f>
        <v/>
      </c>
      <c r="I154" s="611"/>
    </row>
    <row r="155" spans="2:12">
      <c r="D155" s="593"/>
      <c r="G155" s="615" t="str">
        <f>IF(TABLERO!M18&lt;&gt;"TB","","Itot ="  )</f>
        <v/>
      </c>
      <c r="H155" s="702" t="str">
        <f>IF(TABLERO!M18&lt;&gt;"TB","",SUM(H149:H154))</f>
        <v/>
      </c>
      <c r="I155" s="611" t="str">
        <f>IF(TABLERO!M18&lt;&gt;"TB","","AMP.")</f>
        <v/>
      </c>
    </row>
    <row r="156" spans="2:12">
      <c r="B156" s="593" t="str">
        <f>IF(TABLERO!$M$18="TR","CONDUCTOR DEL ELECTRODO DE PUESTA A TIERRA","")</f>
        <v>CONDUCTOR DEL ELECTRODO DE PUESTA A TIERRA</v>
      </c>
      <c r="D156" s="593"/>
      <c r="G156" s="615" t="str">
        <f>IF(TABLERO!M18&lt;&gt;"TB","","FD =")</f>
        <v/>
      </c>
      <c r="H156" s="702" t="str">
        <f>IF(TABLERO!$M$18="TR",TABLERO!CB119,"")</f>
        <v>1-4T AWG Al</v>
      </c>
      <c r="I156" s="611"/>
    </row>
    <row r="157" spans="2:12">
      <c r="B157" s="593" t="str">
        <f>IF(TABLERO!$M$18="TR","TABLA 250-66 NOM-001-SEDE 2012.","")</f>
        <v>TABLA 250-66 NOM-001-SEDE 2012.</v>
      </c>
      <c r="D157" s="593"/>
      <c r="G157" s="615" t="str">
        <f>IF(TABLERO!M18&lt;&gt;"TB","","% DISP.DE LA PROT=")</f>
        <v/>
      </c>
      <c r="H157" s="615" t="str">
        <f>IF(TABLERO!M18&lt;&gt;"TB","",TABLERO!F18)</f>
        <v/>
      </c>
      <c r="I157" s="611" t="str">
        <f>IF(TABLERO!M18&lt;&gt;"TB","","%")</f>
        <v/>
      </c>
    </row>
    <row r="158" spans="2:12">
      <c r="D158" s="593"/>
      <c r="G158" s="611" t="str">
        <f>IF(TABLERO!M18&lt;&gt;"TB","","Itot ="  )</f>
        <v/>
      </c>
      <c r="H158" s="700" t="str">
        <f>IF(TABLERO!M18&lt;&gt;"TB","",H155*H156*(H157/100))</f>
        <v/>
      </c>
      <c r="I158" s="611" t="str">
        <f>IF(TABLERO!M18&lt;&gt;"TB","","AMP.")</f>
        <v/>
      </c>
    </row>
    <row r="160" spans="2:12">
      <c r="G160" s="702" t="str">
        <f>IF(TABLERO!M18&lt;&gt;"TB","","SELECCIÓN DE PROTECCION="  )</f>
        <v/>
      </c>
      <c r="H160" s="627" t="str">
        <f>IF(TABLERO!M18&lt;&gt;"TB","",TABLERO!BW116  )</f>
        <v/>
      </c>
      <c r="I160" s="622" t="str">
        <f>IF(TABLERO!M18&lt;&gt;"TB","","AMP.")</f>
        <v/>
      </c>
    </row>
  </sheetData>
  <sheetProtection algorithmName="SHA-512" hashValue="F175FxylWJXqmXf/E+PiDuumiu2Aua286y5DSVHXTDsHGbNAkm3kSN0/XftVSJWv5vdN+Bw3vu2yFA1GPrFoHQ==" saltValue="BlkSqAKV7fPohpjvCIQ+aw==" spinCount="100000" sheet="1" formatCells="0" formatColumns="0" formatRows="0"/>
  <mergeCells count="26">
    <mergeCell ref="D124:G124"/>
    <mergeCell ref="D125:G125"/>
    <mergeCell ref="D120:I120"/>
    <mergeCell ref="D122:G122"/>
    <mergeCell ref="D123:G123"/>
    <mergeCell ref="C17:D18"/>
    <mergeCell ref="B24:C24"/>
    <mergeCell ref="B26:C26"/>
    <mergeCell ref="A17:B18"/>
    <mergeCell ref="B27:C27"/>
    <mergeCell ref="P17:Q17"/>
    <mergeCell ref="B147:G147"/>
    <mergeCell ref="A15:Q16"/>
    <mergeCell ref="L18:M18"/>
    <mergeCell ref="B19:C19"/>
    <mergeCell ref="D28:H28"/>
    <mergeCell ref="B20:C20"/>
    <mergeCell ref="B21:C21"/>
    <mergeCell ref="B22:C22"/>
    <mergeCell ref="B23:C23"/>
    <mergeCell ref="G26:J27"/>
    <mergeCell ref="L119:M119"/>
    <mergeCell ref="A116:C116"/>
    <mergeCell ref="A117:C117"/>
    <mergeCell ref="A118:C118"/>
    <mergeCell ref="I28:M28"/>
  </mergeCells>
  <phoneticPr fontId="6" type="noConversion"/>
  <conditionalFormatting sqref="H158 H147 K149 K151 K153 H149:H153">
    <cfRule type="cellIs" dxfId="0" priority="1" stopIfTrue="1" operator="equal">
      <formula>""</formula>
    </cfRule>
  </conditionalFormatting>
  <printOptions horizontalCentered="1"/>
  <pageMargins left="0.62992125984251968" right="0.74803149606299213" top="0.78740157480314965" bottom="0.19685039370078741" header="0.19685039370078741" footer="0.27559055118110237"/>
  <pageSetup paperSize="152" scale="44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/>
  <dimension ref="A12:H305"/>
  <sheetViews>
    <sheetView showGridLines="0" view="pageBreakPreview" topLeftCell="A84" zoomScaleNormal="100" zoomScaleSheetLayoutView="100" workbookViewId="0">
      <selection activeCell="A162" sqref="A162"/>
    </sheetView>
  </sheetViews>
  <sheetFormatPr baseColWidth="10" defaultColWidth="0" defaultRowHeight="13.2"/>
  <cols>
    <col min="1" max="4" width="11.44140625" style="593" customWidth="1"/>
    <col min="5" max="5" width="12.33203125" style="593" bestFit="1" customWidth="1"/>
    <col min="6" max="8" width="11.44140625" style="593" customWidth="1"/>
    <col min="9" max="16384" width="11.44140625" style="593" hidden="1"/>
  </cols>
  <sheetData>
    <row r="12" spans="1:7" ht="17.399999999999999">
      <c r="A12" s="633" t="s">
        <v>643</v>
      </c>
      <c r="B12" s="594"/>
      <c r="C12" s="594"/>
      <c r="D12" s="594"/>
      <c r="E12" s="594"/>
      <c r="F12" s="594"/>
      <c r="G12" s="594"/>
    </row>
    <row r="13" spans="1:7">
      <c r="A13" s="594"/>
      <c r="B13" s="594"/>
      <c r="C13" s="594"/>
      <c r="D13" s="594"/>
      <c r="E13" s="594"/>
      <c r="F13" s="594"/>
      <c r="G13" s="594"/>
    </row>
    <row r="14" spans="1:7">
      <c r="A14" s="594"/>
      <c r="B14" s="594"/>
      <c r="C14" s="594"/>
      <c r="D14" s="594"/>
      <c r="E14" s="594"/>
      <c r="F14" s="594"/>
      <c r="G14" s="594"/>
    </row>
    <row r="15" spans="1:7">
      <c r="A15" s="594"/>
      <c r="B15" s="594"/>
      <c r="C15" s="594"/>
      <c r="D15" s="594"/>
      <c r="E15" s="594"/>
      <c r="F15" s="594"/>
      <c r="G15" s="594"/>
    </row>
    <row r="16" spans="1:7">
      <c r="A16" s="594"/>
      <c r="B16" s="594"/>
      <c r="C16" s="594"/>
      <c r="D16" s="594"/>
      <c r="E16" s="594"/>
      <c r="F16" s="594"/>
      <c r="G16" s="594"/>
    </row>
    <row r="17" spans="1:7">
      <c r="A17" s="594"/>
      <c r="B17" s="594"/>
      <c r="C17" s="594"/>
      <c r="D17" s="594"/>
      <c r="E17" s="594"/>
      <c r="F17" s="594"/>
      <c r="G17" s="594"/>
    </row>
    <row r="18" spans="1:7" ht="17.399999999999999">
      <c r="A18" s="633" t="str">
        <f>IF(TABLERO!M18="PE","CAPACIDAD DE PLANTA DE EMERGENCIA,",IF(TABLERO!M18="TR","CAPACIDAD DE TRANSFORMADOR,","ALIMENTADOR"))</f>
        <v>CAPACIDAD DE TRANSFORMADOR,</v>
      </c>
      <c r="B18" s="594"/>
      <c r="C18" s="594"/>
      <c r="D18" s="594"/>
      <c r="E18" s="594"/>
      <c r="F18" s="594"/>
      <c r="G18" s="594"/>
    </row>
    <row r="19" spans="1:7" ht="17.399999999999999">
      <c r="A19" s="633" t="str">
        <f>IF(TABLERO!M18="PE","ALIMENTADOR Y",IF(TABLERO!M18="TR","ALIMENTADOR Y","Y"))</f>
        <v>ALIMENTADOR Y</v>
      </c>
      <c r="B19" s="594"/>
      <c r="C19" s="594"/>
      <c r="D19" s="594"/>
      <c r="E19" s="594"/>
      <c r="F19" s="594"/>
      <c r="G19" s="594"/>
    </row>
    <row r="20" spans="1:7" ht="17.399999999999999">
      <c r="A20" s="633" t="s">
        <v>708</v>
      </c>
      <c r="B20" s="594"/>
      <c r="C20" s="594"/>
      <c r="D20" s="594"/>
      <c r="E20" s="594"/>
      <c r="F20" s="594"/>
      <c r="G20" s="594"/>
    </row>
    <row r="21" spans="1:7" ht="17.399999999999999">
      <c r="A21" s="633" t="str">
        <f>IF(TABLERO!M18="TR","PARA EL SECUNDARIO DEL","PARA")</f>
        <v>PARA EL SECUNDARIO DEL</v>
      </c>
      <c r="B21" s="594"/>
      <c r="C21" s="594"/>
      <c r="D21" s="594"/>
      <c r="E21" s="594"/>
      <c r="F21" s="594"/>
      <c r="G21" s="594"/>
    </row>
    <row r="22" spans="1:7" ht="17.399999999999999">
      <c r="A22" s="633" t="str">
        <f>IF(OR(TABLERO!M18="UPS",TABLERO!M18="REG"),TABLERO!E1,IF(TABLERO!M18="PE",TABLERO!E1,IF(TABLERO!M18="TR",TABLERO!E1,"TABLERO DE DISTRIBUCION ''"&amp;TABLERO!E25&amp;"''")))</f>
        <v>TRAFO 112.5 KVA-TAB-G</v>
      </c>
      <c r="B22" s="594"/>
      <c r="C22" s="594"/>
      <c r="D22" s="594"/>
      <c r="E22" s="594"/>
      <c r="F22" s="594"/>
      <c r="G22" s="594"/>
    </row>
    <row r="23" spans="1:7" ht="17.399999999999999">
      <c r="A23" s="633"/>
      <c r="B23" s="594"/>
      <c r="C23" s="594"/>
      <c r="D23" s="594"/>
      <c r="E23" s="594"/>
      <c r="F23" s="594"/>
      <c r="G23" s="594"/>
    </row>
    <row r="24" spans="1:7" ht="17.399999999999999">
      <c r="A24" s="647"/>
      <c r="B24" s="594"/>
      <c r="C24" s="594"/>
      <c r="D24" s="594"/>
      <c r="E24" s="594"/>
      <c r="F24" s="594"/>
      <c r="G24" s="594"/>
    </row>
    <row r="25" spans="1:7" ht="17.399999999999999">
      <c r="A25" s="633"/>
      <c r="B25" s="594"/>
      <c r="C25" s="594"/>
      <c r="D25" s="594"/>
      <c r="E25" s="594"/>
      <c r="F25" s="594"/>
      <c r="G25" s="594"/>
    </row>
    <row r="31" spans="1:7" ht="17.399999999999999">
      <c r="B31" s="595" t="s">
        <v>0</v>
      </c>
      <c r="C31" s="648" t="str">
        <f>IF(TABLERO!F5=0,"",TABLERO!F5)</f>
        <v>BODEGA</v>
      </c>
    </row>
    <row r="32" spans="1:7" ht="17.399999999999999">
      <c r="B32" s="595"/>
    </row>
    <row r="33" spans="1:7" ht="17.399999999999999">
      <c r="B33" s="595" t="str">
        <f>IF(TABLERO!M5=0,"","CLIENTE:")</f>
        <v>CLIENTE:</v>
      </c>
      <c r="C33" s="635" t="str">
        <f>IF(TABLERO!M5=0,"",TABLERO!M5)</f>
        <v>YUNEXPRESS</v>
      </c>
      <c r="D33" s="649"/>
      <c r="E33" s="649"/>
      <c r="F33" s="649"/>
      <c r="G33" s="649"/>
    </row>
    <row r="34" spans="1:7">
      <c r="C34" s="649"/>
      <c r="D34" s="649"/>
      <c r="E34" s="649"/>
      <c r="F34" s="649"/>
      <c r="G34" s="649"/>
    </row>
    <row r="35" spans="1:7">
      <c r="C35" s="649"/>
      <c r="D35" s="649"/>
      <c r="E35" s="649"/>
      <c r="F35" s="649"/>
      <c r="G35" s="649"/>
    </row>
    <row r="36" spans="1:7">
      <c r="C36" s="649"/>
      <c r="D36" s="649"/>
      <c r="E36" s="649"/>
      <c r="F36" s="649"/>
      <c r="G36" s="649"/>
    </row>
    <row r="37" spans="1:7">
      <c r="C37" s="649"/>
      <c r="D37" s="649"/>
      <c r="E37" s="649"/>
      <c r="F37" s="649"/>
      <c r="G37" s="649"/>
    </row>
    <row r="45" spans="1:7">
      <c r="A45" s="596" t="s">
        <v>710</v>
      </c>
      <c r="B45" s="597" t="str">
        <f>IF(TABLERO!R11=0,"",TABLERO!R11)</f>
        <v>D.M.S.</v>
      </c>
      <c r="C45" s="598" t="s">
        <v>714</v>
      </c>
      <c r="D45" s="599" t="s">
        <v>715</v>
      </c>
      <c r="E45" s="600"/>
      <c r="F45" s="601" t="s">
        <v>713</v>
      </c>
      <c r="G45" s="601" t="s">
        <v>712</v>
      </c>
    </row>
    <row r="46" spans="1:7">
      <c r="A46" s="596" t="s">
        <v>711</v>
      </c>
      <c r="B46" s="597" t="str">
        <f>IF(TABLERO!R12=0,"",TABLERO!R12)</f>
        <v>M.M.S.</v>
      </c>
      <c r="C46" s="602" t="str">
        <f>IF(TABLERO!P19=0,"",TABLERO!P19)</f>
        <v/>
      </c>
      <c r="D46" s="603" t="str">
        <f>IF(TABLERO!Q19=0,"",TABLERO!Q19)</f>
        <v/>
      </c>
      <c r="E46" s="604"/>
      <c r="F46" s="605" t="str">
        <f>IF(TABLERO!R19=0,"",TABLERO!R19)</f>
        <v/>
      </c>
      <c r="G46" s="605" t="str">
        <f>IF(TABLERO!S19=0,"",TABLERO!S19)</f>
        <v/>
      </c>
    </row>
    <row r="47" spans="1:7">
      <c r="A47" s="596" t="s">
        <v>712</v>
      </c>
      <c r="B47" s="597" t="str">
        <f>IF(TABLERO!R13=0,"",TABLERO!R13)</f>
        <v>D.M.S.</v>
      </c>
      <c r="C47" s="602" t="str">
        <f>IF(TABLERO!P20=0,"",TABLERO!P20)</f>
        <v/>
      </c>
      <c r="D47" s="603" t="str">
        <f>IF(TABLERO!Q20=0,"",TABLERO!Q20)</f>
        <v/>
      </c>
      <c r="E47" s="604"/>
      <c r="F47" s="605" t="str">
        <f>IF(TABLERO!R20=0,"",TABLERO!R20)</f>
        <v/>
      </c>
      <c r="G47" s="605" t="str">
        <f>IF(TABLERO!S20=0,"",TABLERO!S20)</f>
        <v/>
      </c>
    </row>
    <row r="48" spans="1:7">
      <c r="A48" s="606" t="s">
        <v>713</v>
      </c>
      <c r="B48" s="607" t="str">
        <f>IF(TABLERO!R14=0,"",TABLERO!R14)</f>
        <v/>
      </c>
      <c r="C48" s="608" t="str">
        <f>IF(TABLERO!P21=0,"",TABLERO!P21)</f>
        <v/>
      </c>
      <c r="D48" s="609" t="str">
        <f>IF(TABLERO!Q21=0,"",TABLERO!Q21)</f>
        <v/>
      </c>
      <c r="E48" s="610"/>
      <c r="F48" s="605" t="str">
        <f>IF(TABLERO!R21=0,"",TABLERO!R21)</f>
        <v/>
      </c>
      <c r="G48" s="605" t="str">
        <f>IF(TABLERO!S21=0,"",TABLERO!S21)</f>
        <v/>
      </c>
    </row>
    <row r="50" spans="1:7" ht="17.399999999999999">
      <c r="A50" s="776" t="s">
        <v>210</v>
      </c>
      <c r="B50" s="594"/>
      <c r="C50" s="594"/>
      <c r="D50" s="775"/>
      <c r="E50" s="594"/>
      <c r="F50" s="594"/>
      <c r="G50" s="594"/>
    </row>
    <row r="55" spans="1:7" s="656" customFormat="1" ht="15">
      <c r="A55" s="769" t="s">
        <v>211</v>
      </c>
      <c r="B55" s="656" t="s">
        <v>716</v>
      </c>
    </row>
    <row r="56" spans="1:7" s="656" customFormat="1" ht="15">
      <c r="A56" s="770"/>
    </row>
    <row r="57" spans="1:7" s="656" customFormat="1" ht="15">
      <c r="A57" s="769" t="s">
        <v>212</v>
      </c>
      <c r="B57" s="656" t="s">
        <v>717</v>
      </c>
    </row>
    <row r="58" spans="1:7" s="656" customFormat="1" ht="15">
      <c r="A58" s="770"/>
    </row>
    <row r="59" spans="1:7" s="656" customFormat="1" ht="15">
      <c r="A59" s="769" t="s">
        <v>213</v>
      </c>
      <c r="B59" s="656" t="str">
        <f>IF(OR(TABLERO!M18="UPS",TABLERO!M18="REG"),"Capacidad del UPS y Cálculo del calibre de los ",IF(TABLERO!M18="TR","Capacidad del Transformador y cálculo del calibre de los",IF(TABLERO!M18="PE","CAPACIDAD DEL GENERADOR y cálculo del calibre de los","y cálculo del calibre de los Conductores.")))</f>
        <v>Capacidad del Transformador y cálculo del calibre de los</v>
      </c>
    </row>
    <row r="60" spans="1:7" s="656" customFormat="1" ht="15">
      <c r="A60" s="770"/>
      <c r="B60" s="656" t="str">
        <f>IF(OR(TABLERO!M18="UPS",TABLERO!M18="REG"),"de los Conductores por Ampacidad.",IF(TABLERO!M18="TR"," Conductores por Ampacidad.",IF(TABLERO!M18="PE"," Conductores por Ampacidad.","por Ampacidad.")))</f>
        <v xml:space="preserve"> Conductores por Ampacidad.</v>
      </c>
    </row>
    <row r="61" spans="1:7" s="656" customFormat="1" ht="15">
      <c r="A61" s="770"/>
    </row>
    <row r="62" spans="1:7" s="656" customFormat="1" ht="15">
      <c r="A62" s="769" t="s">
        <v>214</v>
      </c>
      <c r="B62" s="656" t="s">
        <v>836</v>
      </c>
    </row>
    <row r="63" spans="1:7" s="656" customFormat="1" ht="15">
      <c r="A63" s="770"/>
    </row>
    <row r="64" spans="1:7" s="656" customFormat="1" ht="15">
      <c r="A64" s="769" t="s">
        <v>215</v>
      </c>
      <c r="B64" s="656" t="s">
        <v>837</v>
      </c>
    </row>
    <row r="65" spans="1:7" s="656" customFormat="1" ht="15">
      <c r="A65" s="770"/>
    </row>
    <row r="66" spans="1:7" s="656" customFormat="1" ht="15">
      <c r="A66" s="769" t="s">
        <v>216</v>
      </c>
      <c r="B66" s="656" t="s">
        <v>721</v>
      </c>
    </row>
    <row r="67" spans="1:7">
      <c r="A67" s="611"/>
    </row>
    <row r="68" spans="1:7" ht="17.399999999999999">
      <c r="A68" s="636" t="s">
        <v>217</v>
      </c>
      <c r="B68" s="656" t="s">
        <v>722</v>
      </c>
    </row>
    <row r="72" spans="1:7" s="777" customFormat="1" ht="15.6">
      <c r="A72" s="777" t="s">
        <v>218</v>
      </c>
      <c r="B72" s="778"/>
      <c r="C72" s="778"/>
      <c r="D72" s="778"/>
      <c r="E72" s="778"/>
      <c r="F72" s="778"/>
      <c r="G72" s="778"/>
    </row>
    <row r="73" spans="1:7" s="777" customFormat="1" ht="15.6">
      <c r="B73" s="778"/>
      <c r="C73" s="778"/>
      <c r="D73" s="778"/>
      <c r="E73" s="778"/>
      <c r="F73" s="778"/>
      <c r="G73" s="778"/>
    </row>
    <row r="75" spans="1:7">
      <c r="A75" s="593" t="s">
        <v>838</v>
      </c>
    </row>
    <row r="76" spans="1:7">
      <c r="A76" s="593" t="s">
        <v>839</v>
      </c>
    </row>
    <row r="77" spans="1:7">
      <c r="A77" s="593" t="str">
        <f>IF(TABLERO!M18="UPS","eléctrico a la salida del UPS",IF(TABLERO!M18="REG","eléctrico a la salida del Regulador",IF(TABLERO!M18="TR","eléctrico al secundario del Transformador",IF(TABLERO!M18="PE","eléctrico al Generador","eléctrico al Tablero de Distribución"))))&amp;"para su correcta operación."</f>
        <v>eléctrico al secundario del Transformadorpara su correcta operación.</v>
      </c>
    </row>
    <row r="82" spans="1:2" s="777" customFormat="1" ht="15.6">
      <c r="A82" s="777" t="s">
        <v>219</v>
      </c>
    </row>
    <row r="86" spans="1:2">
      <c r="A86" s="611">
        <v>2.1</v>
      </c>
      <c r="B86" s="593" t="s">
        <v>848</v>
      </c>
    </row>
    <row r="87" spans="1:2">
      <c r="A87" s="611"/>
      <c r="B87" s="593" t="s">
        <v>849</v>
      </c>
    </row>
    <row r="88" spans="1:2">
      <c r="A88" s="611"/>
      <c r="B88" s="593" t="s">
        <v>850</v>
      </c>
    </row>
    <row r="89" spans="1:2">
      <c r="A89" s="611"/>
    </row>
    <row r="90" spans="1:2">
      <c r="A90" s="611"/>
    </row>
    <row r="91" spans="1:2">
      <c r="A91" s="611">
        <v>2.2000000000000002</v>
      </c>
      <c r="B91" s="593" t="s">
        <v>851</v>
      </c>
    </row>
    <row r="92" spans="1:2">
      <c r="A92" s="611"/>
      <c r="B92" s="593" t="s">
        <v>507</v>
      </c>
    </row>
    <row r="93" spans="1:2">
      <c r="A93" s="611"/>
    </row>
    <row r="94" spans="1:2">
      <c r="A94" s="611"/>
      <c r="B94" s="612" t="s">
        <v>220</v>
      </c>
    </row>
    <row r="95" spans="1:2">
      <c r="A95" s="611"/>
      <c r="B95" s="612" t="s">
        <v>706</v>
      </c>
    </row>
    <row r="96" spans="1:2">
      <c r="A96" s="611"/>
      <c r="B96" s="612" t="s">
        <v>256</v>
      </c>
    </row>
    <row r="97" spans="1:8">
      <c r="A97" s="611"/>
    </row>
    <row r="98" spans="1:8">
      <c r="A98" s="613"/>
      <c r="B98" s="593" t="s">
        <v>730</v>
      </c>
      <c r="C98" s="614"/>
      <c r="D98" s="614"/>
      <c r="E98" s="614"/>
      <c r="F98" s="614"/>
      <c r="G98" s="614"/>
      <c r="H98" s="614"/>
    </row>
    <row r="99" spans="1:8">
      <c r="A99" s="613"/>
      <c r="B99" s="614"/>
      <c r="C99" s="614"/>
      <c r="D99" s="614"/>
      <c r="E99" s="614"/>
      <c r="F99" s="614"/>
      <c r="G99" s="614"/>
      <c r="H99" s="614"/>
    </row>
    <row r="100" spans="1:8">
      <c r="A100" s="613"/>
      <c r="B100" s="614"/>
      <c r="C100" s="614"/>
      <c r="D100" s="614"/>
      <c r="E100" s="614"/>
      <c r="F100" s="614"/>
      <c r="G100" s="614"/>
      <c r="H100" s="614"/>
    </row>
    <row r="101" spans="1:8">
      <c r="A101" s="613"/>
      <c r="B101" s="614"/>
      <c r="C101" s="614"/>
      <c r="D101" s="614"/>
      <c r="E101" s="614"/>
      <c r="F101" s="614"/>
      <c r="G101" s="614"/>
      <c r="H101" s="614"/>
    </row>
    <row r="102" spans="1:8">
      <c r="A102" s="613"/>
      <c r="B102" s="614"/>
      <c r="C102" s="614"/>
      <c r="D102" s="614"/>
      <c r="E102" s="614"/>
      <c r="F102" s="614"/>
      <c r="G102" s="614"/>
      <c r="H102" s="614"/>
    </row>
    <row r="103" spans="1:8" s="777" customFormat="1" ht="15.6">
      <c r="A103" s="777" t="s">
        <v>872</v>
      </c>
    </row>
    <row r="105" spans="1:8" s="771" customFormat="1">
      <c r="A105" s="771" t="s">
        <v>222</v>
      </c>
    </row>
    <row r="107" spans="1:8">
      <c r="D107" s="615" t="s">
        <v>731</v>
      </c>
      <c r="E107" s="637" t="str">
        <f>TABLERO!E116</f>
        <v>TAB-G</v>
      </c>
      <c r="H107" s="615"/>
    </row>
    <row r="108" spans="1:8">
      <c r="D108" s="615" t="s">
        <v>732</v>
      </c>
      <c r="E108" s="650">
        <f>'AL-EQ'!H133/1.25</f>
        <v>101.01010101010101</v>
      </c>
      <c r="F108" s="593" t="s">
        <v>589</v>
      </c>
      <c r="H108" s="615"/>
    </row>
    <row r="109" spans="1:8">
      <c r="D109" s="615" t="s">
        <v>733</v>
      </c>
      <c r="E109" s="650">
        <f>'AL-EQ'!H134</f>
        <v>58.784375547381323</v>
      </c>
      <c r="F109" s="593" t="s">
        <v>589</v>
      </c>
      <c r="H109" s="615"/>
    </row>
    <row r="110" spans="1:8">
      <c r="D110" s="615" t="s">
        <v>734</v>
      </c>
      <c r="E110" s="650">
        <f>'AL-EQ'!H135</f>
        <v>0</v>
      </c>
      <c r="F110" s="593" t="s">
        <v>589</v>
      </c>
      <c r="H110" s="615"/>
    </row>
    <row r="111" spans="1:8">
      <c r="D111" s="615" t="s">
        <v>735</v>
      </c>
      <c r="E111" s="650">
        <f>'AL-EQ'!H131</f>
        <v>113</v>
      </c>
      <c r="F111" s="593" t="s">
        <v>589</v>
      </c>
      <c r="H111" s="615"/>
    </row>
    <row r="112" spans="1:8">
      <c r="D112" s="615" t="s">
        <v>736</v>
      </c>
      <c r="E112" s="650">
        <f>'AL-EQ'!H132*4</f>
        <v>46.2</v>
      </c>
      <c r="F112" s="593" t="s">
        <v>589</v>
      </c>
      <c r="H112" s="615"/>
    </row>
    <row r="113" spans="4:8">
      <c r="D113" s="615" t="s">
        <v>737</v>
      </c>
      <c r="E113" s="651">
        <f>'AL-EQ'!O118</f>
        <v>70</v>
      </c>
      <c r="F113" s="593" t="s">
        <v>589</v>
      </c>
      <c r="H113" s="615"/>
    </row>
    <row r="114" spans="4:8">
      <c r="D114" s="615" t="s">
        <v>738</v>
      </c>
      <c r="E114" s="651">
        <f>IF(TABLERO!M18="TR",TABLERO!BV118,IF(TABLERO!M18="PE",TABLERO!BV124,TABLERO!BV116))</f>
        <v>220</v>
      </c>
      <c r="F114" s="593" t="s">
        <v>223</v>
      </c>
      <c r="H114" s="615"/>
    </row>
    <row r="115" spans="4:8">
      <c r="D115" s="615" t="s">
        <v>739</v>
      </c>
      <c r="E115" s="651">
        <f>IF(OR(TABLERO!M18="UPS",TABLERO!M18="REG"),TABLERO!F126,IF(TABLERO!M18="TR",TABLERO!F118,IF(TABLERO!M18="PE",TABLERO!F124,TABLERO!F116)))</f>
        <v>3</v>
      </c>
      <c r="H115" s="615"/>
    </row>
    <row r="116" spans="4:8">
      <c r="D116" s="615" t="s">
        <v>740</v>
      </c>
      <c r="E116" s="651">
        <f>IF(OR(TABLERO!M18="UPS",TABLERO!M18="REG"),TABLERO!G126,IF(TABLERO!M18="TR",TABLERO!G118,IF(TABLERO!M18="PE",TABLERO!G124,TABLERO!G116)))</f>
        <v>4</v>
      </c>
      <c r="H116" s="615"/>
    </row>
    <row r="117" spans="4:8">
      <c r="D117" s="615" t="s">
        <v>319</v>
      </c>
      <c r="E117" s="637" t="str">
        <f>TABLERO!F8</f>
        <v>TAB-G</v>
      </c>
      <c r="H117" s="615"/>
    </row>
    <row r="118" spans="4:8">
      <c r="D118" s="615" t="s">
        <v>741</v>
      </c>
      <c r="E118" s="652" t="s">
        <v>258</v>
      </c>
      <c r="H118" s="615"/>
    </row>
    <row r="119" spans="4:8">
      <c r="D119" s="615" t="s">
        <v>742</v>
      </c>
      <c r="E119" s="616" t="str">
        <f>IF(OR(TABLERO!M18="UPS",TABLERO!M18="REG"),TABLERO!I126,IF(TABLERO!M18="TR",TABLERO!I118,IF(TABLERO!M18="PE",TABLERO!I124,TABLERO!I116)))</f>
        <v>AL</v>
      </c>
      <c r="H119" s="615"/>
    </row>
    <row r="120" spans="4:8">
      <c r="D120" s="615" t="s">
        <v>743</v>
      </c>
      <c r="E120" s="616" t="str">
        <f>IF(E119&lt;&gt;"AL","THW-LS","XHHW-LS")</f>
        <v>XHHW-LS</v>
      </c>
      <c r="F120" s="623" t="str">
        <f>IF(E151&gt;100, " A 90° C"," A 75°C")</f>
        <v xml:space="preserve"> A 90° C</v>
      </c>
      <c r="H120" s="615"/>
    </row>
    <row r="121" spans="4:8">
      <c r="D121" s="615" t="s">
        <v>331</v>
      </c>
      <c r="E121" s="650">
        <f>TABLERO!F13</f>
        <v>30</v>
      </c>
      <c r="F121" s="593" t="s">
        <v>30</v>
      </c>
      <c r="H121" s="615"/>
    </row>
    <row r="122" spans="4:8">
      <c r="D122" s="615" t="s">
        <v>744</v>
      </c>
      <c r="E122" s="650">
        <f>IF(E151&gt;100,75,60)</f>
        <v>75</v>
      </c>
      <c r="F122" s="593" t="s">
        <v>30</v>
      </c>
      <c r="H122" s="615"/>
    </row>
    <row r="123" spans="4:8">
      <c r="D123" s="615" t="s">
        <v>504</v>
      </c>
      <c r="E123" s="616"/>
      <c r="H123" s="615"/>
    </row>
    <row r="124" spans="4:8">
      <c r="D124" s="615" t="s">
        <v>745</v>
      </c>
      <c r="E124" s="650">
        <f>IF(OR(TABLERO!M18="UPS",TABLERO!M18="REG"),TABLERO!K126,IF(TABLERO!M18="TR",TABLERO!K118,IF(TABLERO!M18="PE",TABLERO!K124,TABLERO!K116)))</f>
        <v>8</v>
      </c>
      <c r="F124" s="593" t="s">
        <v>590</v>
      </c>
      <c r="H124" s="615"/>
    </row>
    <row r="125" spans="4:8">
      <c r="D125" s="615" t="s">
        <v>746</v>
      </c>
      <c r="E125" s="650">
        <f>TABLERO!DA116</f>
        <v>0.9</v>
      </c>
      <c r="F125" s="593" t="s">
        <v>225</v>
      </c>
      <c r="H125" s="615"/>
    </row>
    <row r="126" spans="4:8">
      <c r="D126" s="615" t="s">
        <v>747</v>
      </c>
      <c r="E126" s="651">
        <f>IF(OR(TABLERO!M18="UPS",TABLERO!M18="REG"),TABLERO!J126,IF(TABLERO!M18="TR",TABLERO!J118,IF(TABLERO!M18="PE",TABLERO!J124,TABLERO!J116)))</f>
        <v>4</v>
      </c>
      <c r="F126" s="796">
        <f>IF(OR(TABLERO!M18="UPS",TABLERO!M18="REG"),TABLERO!M126,IF(TABLERO!M18="TR",TABLERO!M118,IF(TABLERO!M18="PE",TABLERO!M124,TABLERO!M116)))</f>
        <v>1</v>
      </c>
      <c r="G126" s="639">
        <f>IF(OR(TABLERO!M18="UPS",TABLERO!M18="REG"),TABLERO!M126,IF(TABLERO!M18="TR",TABLERO!M118,IF(TABLERO!M18="PE",TABLERO!M124,TABLERO!M116)))</f>
        <v>1</v>
      </c>
      <c r="H126" s="615"/>
    </row>
    <row r="127" spans="4:8">
      <c r="D127" s="615" t="s">
        <v>748</v>
      </c>
      <c r="E127" s="640" t="str">
        <f>IF(G126=1,"TUBO CONDUIT METALICO",IF(G126=7,"TUBO CONDUIT PVC",IF(G126=6,"DUCTO CUADRADO","CHAROLA")))</f>
        <v>TUBO CONDUIT METALICO</v>
      </c>
      <c r="H127" s="615"/>
    </row>
    <row r="128" spans="4:8">
      <c r="D128" s="619"/>
      <c r="E128" s="619"/>
      <c r="F128" s="619" t="str">
        <f>IF(G126=2,"CABLES EN CH. EN UNA SOLA CAPA SIN ESPACIAMIENTO 310-17 AL 65%","")</f>
        <v/>
      </c>
    </row>
    <row r="129" spans="1:6">
      <c r="A129" s="771" t="s">
        <v>865</v>
      </c>
      <c r="D129" s="619"/>
      <c r="E129" s="619"/>
      <c r="F129" s="619" t="str">
        <f>IF(G126=3,"CABLES EN CH. EN UNA SOLA CAPA SIN ESPACIAMIENTO CON TAPA 310-17 AL 60%","")</f>
        <v/>
      </c>
    </row>
    <row r="130" spans="1:6">
      <c r="D130" s="619"/>
      <c r="E130" s="619"/>
      <c r="F130" s="619" t="str">
        <f>IF(G126=4,"CHAROLA CONF. TRIANGULAR O CUADRADA SEPARADOS. 2.5 DE 310-2 APEND.A ","")</f>
        <v/>
      </c>
    </row>
    <row r="132" spans="1:6">
      <c r="B132" s="593" t="s">
        <v>260</v>
      </c>
      <c r="E132" s="641">
        <f>CORRIENTES!D129</f>
        <v>218.23558124598586</v>
      </c>
      <c r="F132" s="593" t="s">
        <v>589</v>
      </c>
    </row>
    <row r="133" spans="1:6">
      <c r="A133" s="593" t="s">
        <v>221</v>
      </c>
    </row>
    <row r="134" spans="1:6" s="771" customFormat="1">
      <c r="A134" s="779" t="str">
        <f>"3.2.1  "&amp;'AL-EQ'!B127</f>
        <v>3.2.1  Determinación de la corriente del sistema para el cálculo de la capacidad del Transformador</v>
      </c>
    </row>
    <row r="136" spans="1:6">
      <c r="A136" s="593" t="s">
        <v>749</v>
      </c>
    </row>
    <row r="137" spans="1:6">
      <c r="A137" s="593" t="s">
        <v>750</v>
      </c>
    </row>
    <row r="140" spans="1:6">
      <c r="A140" s="593" t="s">
        <v>261</v>
      </c>
      <c r="B140" s="593" t="s">
        <v>279</v>
      </c>
    </row>
    <row r="141" spans="1:6">
      <c r="B141" s="593" t="s">
        <v>262</v>
      </c>
    </row>
    <row r="143" spans="1:6">
      <c r="D143" s="615" t="str">
        <f>'AL-EQ'!D131</f>
        <v>Inom. DE LOS MOTORES</v>
      </c>
      <c r="E143" s="655">
        <f>'AL-EQ'!H131</f>
        <v>113</v>
      </c>
      <c r="F143" s="655" t="str">
        <f>'AL-EQ'!I131</f>
        <v>A.</v>
      </c>
    </row>
    <row r="144" spans="1:6">
      <c r="D144" s="615" t="str">
        <f>'AL-EQ'!D132</f>
        <v>25% Inom. DEL MOT. MAYOR</v>
      </c>
      <c r="E144" s="655">
        <f>'AL-EQ'!H132</f>
        <v>11.55</v>
      </c>
      <c r="F144" s="655" t="str">
        <f>'AL-EQ'!I132</f>
        <v>A.</v>
      </c>
    </row>
    <row r="145" spans="1:6">
      <c r="D145" s="615" t="str">
        <f>'AL-EQ'!D133</f>
        <v xml:space="preserve">125% DE LA In DE LAS CARGAS CONTINUAS </v>
      </c>
      <c r="E145" s="655">
        <f>'AL-EQ'!H133</f>
        <v>126.26262626262627</v>
      </c>
      <c r="F145" s="655" t="str">
        <f>'AL-EQ'!I133</f>
        <v>A.</v>
      </c>
    </row>
    <row r="146" spans="1:6">
      <c r="D146" s="615" t="str">
        <f>'AL-EQ'!D134</f>
        <v>In DE LAS CARGAS NO CONTINUAS</v>
      </c>
      <c r="E146" s="655">
        <f>'AL-EQ'!H134</f>
        <v>58.784375547381323</v>
      </c>
      <c r="F146" s="655" t="str">
        <f>'AL-EQ'!I134</f>
        <v>A.</v>
      </c>
    </row>
    <row r="147" spans="1:6">
      <c r="D147" s="615" t="str">
        <f>'AL-EQ'!D135</f>
        <v>In OTROS TABLEROS</v>
      </c>
      <c r="E147" s="655">
        <f>'AL-EQ'!H135</f>
        <v>0</v>
      </c>
      <c r="F147" s="655" t="str">
        <f>'AL-EQ'!I135</f>
        <v>A.</v>
      </c>
    </row>
    <row r="148" spans="1:6">
      <c r="E148" s="593" t="str">
        <f>'AL-EQ'!H137</f>
        <v>---------------------</v>
      </c>
    </row>
    <row r="149" spans="1:6">
      <c r="D149" s="615" t="s">
        <v>263</v>
      </c>
      <c r="E149" s="653">
        <f>'AL-EQ'!H138</f>
        <v>309.59700181000761</v>
      </c>
      <c r="F149" s="593" t="s">
        <v>589</v>
      </c>
    </row>
    <row r="150" spans="1:6">
      <c r="D150" s="593" t="s">
        <v>277</v>
      </c>
      <c r="E150" s="653">
        <f>'AL-EQ'!H140</f>
        <v>0.8</v>
      </c>
    </row>
    <row r="151" spans="1:6">
      <c r="D151" s="615" t="s">
        <v>278</v>
      </c>
      <c r="E151" s="653">
        <f>'AL-EQ'!H142</f>
        <v>247.6776014480061</v>
      </c>
      <c r="F151" s="593" t="s">
        <v>589</v>
      </c>
    </row>
    <row r="152" spans="1:6">
      <c r="C152" s="615"/>
      <c r="D152" s="653"/>
    </row>
    <row r="153" spans="1:6" s="771" customFormat="1">
      <c r="A153" s="771" t="str">
        <f>IF(TABLERO!M18&lt;&gt;"TB",'AL-EQ'!B144,"")</f>
        <v>Determinación de la Capacidad del TRANSFORMADOR</v>
      </c>
    </row>
    <row r="155" spans="1:6">
      <c r="A155" s="1185" t="str">
        <f>IF(TABLERO!M18&lt;&gt;"TB",'AL-EQ'!B147,"")</f>
        <v>KVAtrafo = 1.732 X ( Vff / 1000 ) X Itot =</v>
      </c>
      <c r="B155" s="1185"/>
      <c r="C155" s="1185"/>
      <c r="D155" s="1185"/>
      <c r="E155" s="638">
        <f>IF(TABLERO!M18&lt;&gt;"TB",'AL-EQ'!H147,"")</f>
        <v>94.266095111111127</v>
      </c>
      <c r="F155" s="653" t="str">
        <f>IF(TABLERO!M18&lt;&gt;"TB",'AL-EQ'!I147,"")</f>
        <v>KVA</v>
      </c>
    </row>
    <row r="156" spans="1:6">
      <c r="A156" s="615"/>
      <c r="B156" s="615"/>
      <c r="C156" s="615"/>
      <c r="D156" s="615"/>
      <c r="E156" s="638"/>
      <c r="F156" s="653"/>
    </row>
    <row r="157" spans="1:6">
      <c r="A157" s="1185" t="str">
        <f>IF(TABLERO!M18&lt;&gt;"TB",'AL-EQ'!G149,"")</f>
        <v>CAPACIDAD COMERCIAL =</v>
      </c>
      <c r="B157" s="1185"/>
      <c r="C157" s="1185"/>
      <c r="D157" s="1185"/>
      <c r="E157" s="638">
        <f>IF(TABLERO!M18&lt;&gt;"TB",'AL-EQ'!H149,"")</f>
        <v>112.5</v>
      </c>
      <c r="F157" s="653" t="str">
        <f>IF(TABLERO!M18&lt;&gt;"TB",'AL-EQ'!I149,"")</f>
        <v>kVA</v>
      </c>
    </row>
    <row r="158" spans="1:6">
      <c r="A158" s="1185" t="str">
        <f>IF(TABLERO!M18&lt;&gt;"TB",'AL-EQ'!G151,"")</f>
        <v>CORRIENTE NOMINAL =</v>
      </c>
      <c r="B158" s="1185"/>
      <c r="C158" s="1185"/>
      <c r="D158" s="1185"/>
      <c r="E158" s="638">
        <f>IF(TABLERO!M18&lt;&gt;"TB",'AL-EQ'!H151,"")</f>
        <v>295.5859169732002</v>
      </c>
      <c r="F158" s="653" t="str">
        <f>IF(TABLERO!M18&lt;&gt;"TB",'AL-EQ'!I151,"")</f>
        <v>A</v>
      </c>
    </row>
    <row r="159" spans="1:6">
      <c r="A159" s="615"/>
      <c r="B159" s="615"/>
      <c r="C159" s="615"/>
      <c r="D159" s="615"/>
      <c r="E159" s="638"/>
      <c r="F159" s="653"/>
    </row>
    <row r="160" spans="1:6">
      <c r="A160" s="615"/>
      <c r="B160" s="615"/>
      <c r="C160" s="615"/>
      <c r="D160" s="615"/>
      <c r="E160" s="638"/>
      <c r="F160" s="653"/>
    </row>
    <row r="161" spans="1:5" s="771" customFormat="1">
      <c r="A161" s="771" t="s">
        <v>873</v>
      </c>
    </row>
    <row r="163" spans="1:5">
      <c r="A163" s="593" t="s">
        <v>228</v>
      </c>
      <c r="D163" s="638">
        <f>IF(OR(TABLERO!M18="UPS",TABLERO!M18="REG"),TABLERO!CS126,IF(TABLERO!M18="TR",TABLERO!CS118,IF(TABLERO!M18="PE",TABLERO!CS124,TABLERO!CS116)))</f>
        <v>1</v>
      </c>
      <c r="E163" s="593" t="s">
        <v>625</v>
      </c>
    </row>
    <row r="164" spans="1:5">
      <c r="A164" s="593" t="s">
        <v>229</v>
      </c>
      <c r="D164" s="638">
        <f>IF(OR(TABLERO!M18="UPS",TABLERO!M18="REG"),TABLERO!CT126,IF(TABLERO!M18="TR",TABLERO!CT118,IF(TABLERO!M18="PE",TABLERO!CT124,TABLERO!CT116)))</f>
        <v>0.8</v>
      </c>
      <c r="E164" s="593" t="s">
        <v>624</v>
      </c>
    </row>
    <row r="166" spans="1:5">
      <c r="A166" s="593" t="s">
        <v>221</v>
      </c>
      <c r="B166" s="615" t="s">
        <v>230</v>
      </c>
      <c r="C166" s="641">
        <f>IF(OR(TABLERO!M18="UPS",TABLERO!M18="REG"),TABLERO!CY126,IF(TABLERO!M18="TR",TABLERO!CY118,IF(TABLERO!M18="PE",TABLERO!CY124,TABLERO!CY116)))</f>
        <v>272.79447655748231</v>
      </c>
      <c r="D166" s="593" t="s">
        <v>589</v>
      </c>
    </row>
    <row r="167" spans="1:5">
      <c r="B167" s="615"/>
      <c r="C167" s="641"/>
    </row>
    <row r="168" spans="1:5" s="771" customFormat="1">
      <c r="A168" s="771" t="s">
        <v>864</v>
      </c>
    </row>
    <row r="170" spans="1:5">
      <c r="B170" s="593" t="s">
        <v>231</v>
      </c>
    </row>
    <row r="172" spans="1:5">
      <c r="A172" s="593" t="s">
        <v>751</v>
      </c>
    </row>
    <row r="173" spans="1:5">
      <c r="A173" s="593" t="s">
        <v>752</v>
      </c>
    </row>
    <row r="174" spans="1:5">
      <c r="A174" s="593" t="s">
        <v>753</v>
      </c>
    </row>
    <row r="175" spans="1:5">
      <c r="A175" s="593" t="s">
        <v>755</v>
      </c>
    </row>
    <row r="176" spans="1:5">
      <c r="A176" s="593" t="s">
        <v>754</v>
      </c>
    </row>
    <row r="177" spans="1:7">
      <c r="C177" s="642">
        <f>IF(OR(TABLERO!M18="UPS",TABLERO!M18="REG"),TABLERO!DC126,IF(TABLERO!M18="TR",TABLERO!DC118,IF(TABLERO!M18="PE",TABLERO!DC124,TABLERO!DC116)))</f>
        <v>350</v>
      </c>
      <c r="D177" s="643" t="str">
        <f>IF(OR(TABLERO!M18="UPS",TABLERO!M18="REG"),TABLERO!ED126,IF(TABLERO!M18="TR",TABLERO!ED118,IF(TABLERO!M18="PE",TABLERO!ED124,TABLERO!ED116)))</f>
        <v>AWG</v>
      </c>
      <c r="E177" s="621" t="str">
        <f>IF(E119&lt;&gt;"AL","de Cobre","de Aluminio")</f>
        <v>de Aluminio</v>
      </c>
    </row>
    <row r="179" spans="1:7">
      <c r="B179" s="615" t="s">
        <v>232</v>
      </c>
      <c r="C179" s="642">
        <f>IF(OR(TABLERO!M18="UPS",TABLERO!M18="REG"),TABLERO!DD126,IF(TABLERO!M18="TR",TABLERO!DD118,IF(TABLERO!M18="PE",TABLERO!DD124,TABLERO!DD116)))</f>
        <v>280</v>
      </c>
      <c r="D179" s="611" t="s">
        <v>233</v>
      </c>
      <c r="E179" s="622">
        <f>C166</f>
        <v>272.79447655748231</v>
      </c>
      <c r="F179" s="593" t="s">
        <v>32</v>
      </c>
    </row>
    <row r="181" spans="1:7" ht="13.8">
      <c r="A181" s="780" t="s">
        <v>854</v>
      </c>
    </row>
    <row r="182" spans="1:7" ht="11.25" customHeight="1">
      <c r="A182" s="626"/>
    </row>
    <row r="183" spans="1:7" s="771" customFormat="1" ht="11.25" customHeight="1">
      <c r="A183" s="771" t="s">
        <v>855</v>
      </c>
    </row>
    <row r="185" spans="1:7">
      <c r="B185" s="593" t="s">
        <v>508</v>
      </c>
    </row>
    <row r="186" spans="1:7">
      <c r="A186" s="593" t="s">
        <v>234</v>
      </c>
    </row>
    <row r="187" spans="1:7">
      <c r="A187" s="615" t="s">
        <v>235</v>
      </c>
      <c r="C187" s="593" t="s">
        <v>757</v>
      </c>
    </row>
    <row r="188" spans="1:7">
      <c r="A188" s="615" t="s">
        <v>527</v>
      </c>
      <c r="B188" s="622">
        <f>E151</f>
        <v>247.6776014480061</v>
      </c>
      <c r="C188" s="593" t="s">
        <v>840</v>
      </c>
    </row>
    <row r="189" spans="1:7">
      <c r="A189" s="615" t="s">
        <v>528</v>
      </c>
      <c r="B189" s="622">
        <f>E132</f>
        <v>218.23558124598586</v>
      </c>
      <c r="C189" s="593" t="s">
        <v>841</v>
      </c>
    </row>
    <row r="190" spans="1:7">
      <c r="A190" s="615" t="s">
        <v>244</v>
      </c>
      <c r="B190" s="617">
        <f>IF(OR(TABLERO!M18="UPS",TABLERO!M18="REG"),TABLERO!N126,IF(TABLERO!M18="TR",TABLERO!N118,IF(TABLERO!M18="PE",TABLERO!N124,TABLERO!N116)))</f>
        <v>1</v>
      </c>
    </row>
    <row r="191" spans="1:7">
      <c r="A191" s="615" t="s">
        <v>245</v>
      </c>
      <c r="B191" s="624" t="str">
        <f>IF(OR(TABLERO!M18="UPS",TABLERO!M18="REG"),TABLERO!BX126,IF(TABLERO!M18="TR",TABLERO!BX118,IF(TABLERO!M18="PE",TABLERO!BX124,TABLERO!BX116)))</f>
        <v>3/0</v>
      </c>
      <c r="C191" s="614" t="str">
        <f>IF(OR(TABLERO!M18="UPS",TABLERO!M18="REG"),TABLERO!ED126,IF(TABLERO!M18="TR",TABLERO!ED118,IF(TABLERO!M18="PE",TABLERO!ED124,TABLERO!ED116)))</f>
        <v>AWG</v>
      </c>
      <c r="D191" s="593" t="str">
        <f>IF(E119&lt;&gt;"AL","de Cobre,","de Aluminio,")</f>
        <v>de Aluminio,</v>
      </c>
      <c r="E191" s="615" t="s">
        <v>407</v>
      </c>
      <c r="F191" s="622">
        <f>IF(OR(TABLERO!M18="UPS",TABLERO!M18="REG"),TABLERO!BY126,IF(TABLERO!M18="TR",TABLERO!BY118,IF(TABLERO!M18="PE",TABLERO!BY124,TABLERO!BY116)))</f>
        <v>155</v>
      </c>
      <c r="G191" s="593" t="s">
        <v>32</v>
      </c>
    </row>
    <row r="192" spans="1:7">
      <c r="A192" s="615" t="s">
        <v>237</v>
      </c>
      <c r="B192" s="625">
        <f>IF(OR(TABLERO!M18="UPS",TABLERO!M18="REG"),TABLERO!DO126,IF(TABLERO!M18="TR",TABLERO!DO118,IF(TABLERO!M18="PE",TABLERO!DO124,TABLERO!DO116)))</f>
        <v>0.43</v>
      </c>
      <c r="C192" s="593" t="s">
        <v>759</v>
      </c>
    </row>
    <row r="193" spans="1:5">
      <c r="A193" s="615" t="s">
        <v>238</v>
      </c>
      <c r="B193" s="625">
        <f>IF(OR(TABLERO!M18="UPS",TABLERO!M18="REG"),TABLERO!DP126,IF(TABLERO!M18="TR",TABLERO!DP118,IF(TABLERO!M18="PE",TABLERO!DP124,TABLERO!DP116)))</f>
        <v>0.17100000000000001</v>
      </c>
      <c r="C193" s="593" t="s">
        <v>760</v>
      </c>
    </row>
    <row r="194" spans="1:5">
      <c r="A194" s="615" t="s">
        <v>239</v>
      </c>
      <c r="B194" s="622">
        <f>ACOS(B195)</f>
        <v>0.45102681179626236</v>
      </c>
      <c r="C194" s="593" t="s">
        <v>761</v>
      </c>
    </row>
    <row r="195" spans="1:5">
      <c r="A195" s="615" t="s">
        <v>240</v>
      </c>
      <c r="B195" s="622">
        <f>E125</f>
        <v>0.9</v>
      </c>
      <c r="C195" s="593" t="s">
        <v>762</v>
      </c>
    </row>
    <row r="196" spans="1:5">
      <c r="A196" s="615" t="s">
        <v>241</v>
      </c>
      <c r="B196" s="622">
        <f>SIN(B194)</f>
        <v>0.43588989435406728</v>
      </c>
      <c r="C196" s="593" t="s">
        <v>763</v>
      </c>
    </row>
    <row r="197" spans="1:5">
      <c r="A197" s="615" t="s">
        <v>242</v>
      </c>
      <c r="B197" s="622">
        <f>E124</f>
        <v>8</v>
      </c>
      <c r="C197" s="593" t="s">
        <v>764</v>
      </c>
    </row>
    <row r="198" spans="1:5">
      <c r="A198" s="593" t="s">
        <v>842</v>
      </c>
    </row>
    <row r="199" spans="1:5">
      <c r="A199" s="593" t="s">
        <v>843</v>
      </c>
    </row>
    <row r="200" spans="1:5">
      <c r="B200" s="615" t="s">
        <v>235</v>
      </c>
      <c r="C200" s="641">
        <f>IF(OR(TABLERO!M18="UPS",TABLERO!M18="REG"),TABLERO!DS126,IF(TABLERO!M18="TR",TABLERO!DS118,IF(TABLERO!M18="PE",TABLERO!DS124,TABLERO!DS116)))</f>
        <v>1.3940178484952943</v>
      </c>
      <c r="D200" s="593" t="s">
        <v>248</v>
      </c>
    </row>
    <row r="201" spans="1:5">
      <c r="A201" s="593" t="s">
        <v>844</v>
      </c>
      <c r="B201" s="615"/>
      <c r="C201" s="641"/>
    </row>
    <row r="202" spans="1:5">
      <c r="B202" s="615" t="s">
        <v>235</v>
      </c>
      <c r="C202" s="641">
        <f>(1.73*B197*B188)*((B192*B195)+(B193*B196))/1000/B190</f>
        <v>1.582083888978004</v>
      </c>
      <c r="D202" s="593" t="s">
        <v>248</v>
      </c>
    </row>
    <row r="203" spans="1:5">
      <c r="B203" s="615"/>
      <c r="C203" s="641"/>
    </row>
    <row r="204" spans="1:5" s="771" customFormat="1">
      <c r="A204" s="771" t="s">
        <v>856</v>
      </c>
    </row>
    <row r="205" spans="1:5" s="771" customFormat="1"/>
    <row r="206" spans="1:5" s="771" customFormat="1">
      <c r="A206" s="593" t="s">
        <v>845</v>
      </c>
    </row>
    <row r="207" spans="1:5">
      <c r="B207" s="593" t="s">
        <v>506</v>
      </c>
      <c r="D207" s="641">
        <f>IF(OR(TABLERO!M18="UPS",TABLERO!M18="REG"),TABLERO!BZ126,IF(TABLERO!M18="TR",TABLERO!BZ118,IF(TABLERO!M18="PE",TABLERO!BZ124,TABLERO!BZ116)))</f>
        <v>0.6336444765887701</v>
      </c>
      <c r="E207" s="593" t="s">
        <v>106</v>
      </c>
    </row>
    <row r="208" spans="1:5">
      <c r="A208" s="593" t="s">
        <v>846</v>
      </c>
      <c r="D208" s="641"/>
    </row>
    <row r="209" spans="1:5">
      <c r="B209" s="593" t="s">
        <v>506</v>
      </c>
      <c r="D209" s="641">
        <f>(C202/E114)*100</f>
        <v>0.71912904044454729</v>
      </c>
      <c r="E209" s="593" t="s">
        <v>106</v>
      </c>
    </row>
    <row r="210" spans="1:5">
      <c r="D210" s="641"/>
    </row>
    <row r="211" spans="1:5">
      <c r="D211" s="641"/>
    </row>
    <row r="212" spans="1:5" ht="15.6">
      <c r="A212" s="777" t="str">
        <f>IF(TABLERO!M18="TR","4.3 Calibre minimo del conductor del electrodo de Puesta a Tierra","")</f>
        <v>4.3 Calibre minimo del conductor del electrodo de Puesta a Tierra</v>
      </c>
      <c r="D212" s="641"/>
    </row>
    <row r="213" spans="1:5">
      <c r="D213" s="641"/>
    </row>
    <row r="214" spans="1:5">
      <c r="A214" s="593" t="str">
        <f>IF(TABLERO!M18="TR","De la Tabla 250-66 de la NOM-001-SEDE-2012 de acuerdo con los conductores del circuito","")</f>
        <v>De la Tabla 250-66 de la NOM-001-SEDE-2012 de acuerdo con los conductores del circuito</v>
      </c>
      <c r="D214" s="641"/>
    </row>
    <row r="215" spans="1:5">
      <c r="A215" s="593" t="str">
        <f>IF(TABLERO!M18="TR","Del secundario del Transformador, el conductor del electrodo a instalarse es:","")</f>
        <v>Del secundario del Transformador, el conductor del electrodo a instalarse es:</v>
      </c>
      <c r="D215" s="641"/>
    </row>
    <row r="216" spans="1:5">
      <c r="B216" s="615" t="s">
        <v>245</v>
      </c>
      <c r="C216" s="593" t="str">
        <f>TABLERO!CB119</f>
        <v>1-4T AWG Al</v>
      </c>
      <c r="D216" s="641"/>
    </row>
    <row r="217" spans="1:5" hidden="1">
      <c r="D217" s="641"/>
    </row>
    <row r="218" spans="1:5" hidden="1">
      <c r="D218" s="641"/>
    </row>
    <row r="219" spans="1:5" s="777" customFormat="1" ht="15.6">
      <c r="A219" s="777" t="s">
        <v>857</v>
      </c>
      <c r="D219" s="781"/>
    </row>
    <row r="220" spans="1:5">
      <c r="D220" s="641"/>
    </row>
    <row r="221" spans="1:5">
      <c r="A221" s="593" t="s">
        <v>264</v>
      </c>
    </row>
    <row r="222" spans="1:5">
      <c r="A222" s="593" t="s">
        <v>265</v>
      </c>
    </row>
    <row r="223" spans="1:5">
      <c r="A223" s="593" t="s">
        <v>266</v>
      </c>
      <c r="C223" s="593" t="s">
        <v>221</v>
      </c>
    </row>
    <row r="224" spans="1:5">
      <c r="A224" s="593" t="s">
        <v>267</v>
      </c>
    </row>
    <row r="226" spans="1:7">
      <c r="A226" s="593" t="s">
        <v>268</v>
      </c>
    </row>
    <row r="229" spans="1:7">
      <c r="A229" s="593" t="s">
        <v>234</v>
      </c>
    </row>
    <row r="230" spans="1:7">
      <c r="A230" s="1185" t="s">
        <v>300</v>
      </c>
      <c r="B230" s="1185"/>
      <c r="C230" s="1185"/>
      <c r="D230" s="1185"/>
      <c r="E230" s="1185"/>
      <c r="F230" s="654">
        <f>IF(TABLERO!CB23&lt;1000,TABLERO!CB23*1000,TABLERO!CB23)</f>
        <v>21113.279783800012</v>
      </c>
      <c r="G230" s="593" t="s">
        <v>589</v>
      </c>
    </row>
    <row r="231" spans="1:7">
      <c r="A231" s="1185" t="s">
        <v>301</v>
      </c>
      <c r="B231" s="1185"/>
      <c r="C231" s="1185"/>
      <c r="D231" s="1185"/>
      <c r="E231" s="1185"/>
    </row>
    <row r="232" spans="1:7">
      <c r="A232" s="1185" t="s">
        <v>302</v>
      </c>
      <c r="B232" s="1185"/>
      <c r="C232" s="1185"/>
      <c r="D232" s="1185"/>
      <c r="E232" s="1185"/>
      <c r="F232" s="614">
        <v>3.3000000000000002E-2</v>
      </c>
      <c r="G232" s="593" t="s">
        <v>269</v>
      </c>
    </row>
    <row r="233" spans="1:7">
      <c r="A233" s="1185" t="s">
        <v>552</v>
      </c>
      <c r="B233" s="1185"/>
      <c r="C233" s="1185"/>
      <c r="D233" s="1185"/>
      <c r="E233" s="1185"/>
      <c r="F233" s="653">
        <f>IF(D273&gt;100,75,60)</f>
        <v>75</v>
      </c>
      <c r="G233" s="593" t="s">
        <v>270</v>
      </c>
    </row>
    <row r="234" spans="1:7">
      <c r="E234" s="615" t="s">
        <v>554</v>
      </c>
    </row>
    <row r="235" spans="1:7">
      <c r="A235" s="1185" t="s">
        <v>553</v>
      </c>
      <c r="B235" s="1185"/>
      <c r="C235" s="1185"/>
      <c r="D235" s="1185"/>
      <c r="E235" s="1185"/>
      <c r="F235" s="614">
        <f>IF(E119&lt;&gt;"CU",250,200)</f>
        <v>250</v>
      </c>
      <c r="G235" s="593" t="s">
        <v>270</v>
      </c>
    </row>
    <row r="236" spans="1:7">
      <c r="A236" s="615"/>
      <c r="B236" s="615"/>
      <c r="C236" s="615"/>
      <c r="D236" s="615"/>
      <c r="E236" s="615" t="s">
        <v>555</v>
      </c>
      <c r="F236" s="614"/>
    </row>
    <row r="237" spans="1:7">
      <c r="A237" s="593" t="s">
        <v>852</v>
      </c>
    </row>
    <row r="238" spans="1:7">
      <c r="A238" s="593" t="s">
        <v>271</v>
      </c>
    </row>
    <row r="240" spans="1:7">
      <c r="B240" s="615" t="s">
        <v>272</v>
      </c>
      <c r="C240" s="622">
        <f>IF(E119="CU",F230/(SQRT((0.0297*(LOG10((F235+234)/(F233+234))))/F232)),F230/(SQRT((0.0125*(LOG10((F235+234)/(F233+234))))/F232)))</f>
        <v>77708.112871798687</v>
      </c>
      <c r="D240" s="593" t="s">
        <v>273</v>
      </c>
    </row>
    <row r="241" spans="1:7">
      <c r="B241" s="615"/>
      <c r="C241" s="655"/>
    </row>
    <row r="242" spans="1:7">
      <c r="B242" s="622">
        <f>C240</f>
        <v>77708.112871798687</v>
      </c>
    </row>
    <row r="243" spans="1:7" ht="15.6">
      <c r="A243" s="615" t="s">
        <v>272</v>
      </c>
      <c r="B243" s="612" t="s">
        <v>274</v>
      </c>
      <c r="C243" s="641">
        <f>B242/B244</f>
        <v>39.375386553872616</v>
      </c>
      <c r="D243" s="593" t="s">
        <v>503</v>
      </c>
    </row>
    <row r="244" spans="1:7">
      <c r="B244" s="611">
        <v>1973.52</v>
      </c>
    </row>
    <row r="246" spans="1:7">
      <c r="A246" s="593" t="s">
        <v>275</v>
      </c>
      <c r="F246" s="644" t="str">
        <f>VLOOKUP(C243,B289:D305,2)</f>
        <v>1/0 AWG</v>
      </c>
      <c r="G246" s="593" t="str">
        <f>IF(E119&lt;&gt;"AL","de Cobre","De Aluminio")</f>
        <v>De Aluminio</v>
      </c>
    </row>
    <row r="247" spans="1:7" ht="15.6">
      <c r="A247" s="593" t="s">
        <v>276</v>
      </c>
      <c r="D247" s="644">
        <f>VLOOKUP(C243,B289:D305,3)</f>
        <v>53.481000000000002</v>
      </c>
      <c r="E247" s="593" t="s">
        <v>503</v>
      </c>
    </row>
    <row r="249" spans="1:7" s="771" customFormat="1" ht="15.6">
      <c r="A249" s="777" t="s">
        <v>858</v>
      </c>
    </row>
    <row r="251" spans="1:7">
      <c r="A251" s="1185" t="s">
        <v>777</v>
      </c>
      <c r="B251" s="1185"/>
      <c r="C251" s="1185"/>
      <c r="D251" s="642">
        <f>C177</f>
        <v>350</v>
      </c>
      <c r="E251" s="628" t="str">
        <f>D177</f>
        <v>AWG</v>
      </c>
      <c r="F251" s="818" t="str">
        <f>IF(E119&lt;&gt;"AL","DE COBRE","DE ALUMINIO")</f>
        <v>DE ALUMINIO</v>
      </c>
    </row>
    <row r="252" spans="1:7">
      <c r="A252" s="1185" t="s">
        <v>778</v>
      </c>
      <c r="B252" s="1185"/>
      <c r="C252" s="1185"/>
      <c r="D252" s="642" t="str">
        <f>B191</f>
        <v>3/0</v>
      </c>
      <c r="E252" s="593" t="str">
        <f>C191</f>
        <v>AWG</v>
      </c>
      <c r="F252" s="818" t="str">
        <f>IF(E119&lt;&gt;"AL","DE COBRE","DE ALUMINIO")</f>
        <v>DE ALUMINIO</v>
      </c>
    </row>
    <row r="253" spans="1:7">
      <c r="A253" s="1185" t="s">
        <v>779</v>
      </c>
      <c r="B253" s="1185"/>
      <c r="C253" s="1185"/>
      <c r="D253" s="657" t="str">
        <f>F246</f>
        <v>1/0 AWG</v>
      </c>
      <c r="F253" s="818" t="str">
        <f>IF(E119&lt;&gt;"AL","DE COBRE","DE ALUMINIO")</f>
        <v>DE ALUMINIO</v>
      </c>
    </row>
    <row r="255" spans="1:7">
      <c r="A255" s="1185" t="s">
        <v>780</v>
      </c>
      <c r="B255" s="1185"/>
      <c r="C255" s="1185"/>
      <c r="D255" s="627">
        <f>E116*B190</f>
        <v>4</v>
      </c>
      <c r="E255" s="593" t="s">
        <v>250</v>
      </c>
      <c r="F255" s="642" t="str">
        <f>B191</f>
        <v>3/0</v>
      </c>
      <c r="G255" s="593" t="s">
        <v>53</v>
      </c>
    </row>
    <row r="256" spans="1:7">
      <c r="D256" s="627"/>
      <c r="F256" s="642" t="str">
        <f>IF(E119&lt;&gt;"AL","DE COBRE","DE ALUMINIO")</f>
        <v>DE ALUMINIO</v>
      </c>
    </row>
    <row r="257" spans="1:7">
      <c r="D257" s="627"/>
      <c r="F257" s="642"/>
    </row>
    <row r="258" spans="1:7" s="777" customFormat="1" ht="15.6">
      <c r="A258" s="777" t="s">
        <v>859</v>
      </c>
      <c r="D258" s="782"/>
      <c r="F258" s="783"/>
    </row>
    <row r="259" spans="1:7" s="777" customFormat="1" ht="15.6">
      <c r="A259" s="777" t="s">
        <v>860</v>
      </c>
    </row>
    <row r="261" spans="1:7">
      <c r="A261" s="593" t="s">
        <v>847</v>
      </c>
      <c r="G261" s="621"/>
    </row>
    <row r="262" spans="1:7">
      <c r="A262" s="593" t="str">
        <f>IF(D273&gt;800,"por lo que el Interruptor Electromágnetico será de la siguiente capacidad:","por lo que el Interruptor Termomágnetico será de la siguiente capacidad:")</f>
        <v>por lo que el Interruptor Termomágnetico será de la siguiente capacidad:</v>
      </c>
    </row>
    <row r="263" spans="1:7">
      <c r="A263" s="593" t="str">
        <f>IF(TABLERO!M18&lt;&gt;"TB","El procentaje de disparo de la protección es:","")</f>
        <v>El procentaje de disparo de la protección es:</v>
      </c>
      <c r="E263" s="613">
        <f>TABLERO!G18</f>
        <v>100</v>
      </c>
      <c r="F263" s="593" t="str">
        <f>IF(TABLERO!M18&lt;&gt;"TB","%","")</f>
        <v>%</v>
      </c>
      <c r="G263" s="621"/>
    </row>
    <row r="264" spans="1:7">
      <c r="A264" s="593" t="str">
        <f>IF(TABLERO!M18&lt;&gt;"TB","Por lo tanto:","")</f>
        <v>Por lo tanto:</v>
      </c>
      <c r="D264" s="615" t="str">
        <f>IF(TABLERO!M18&lt;&gt;"TB","",'AL-EQ'!G150)</f>
        <v/>
      </c>
      <c r="E264" s="638" t="str">
        <f>IF(TABLERO!M18&lt;&gt;"TB","",'AL-EQ'!H150)</f>
        <v/>
      </c>
      <c r="F264" s="621" t="str">
        <f>IF(TABLERO!M18&lt;&gt;"TB","",'AL-EQ'!I150)</f>
        <v/>
      </c>
    </row>
    <row r="265" spans="1:7">
      <c r="D265" s="615" t="str">
        <f>IF(TABLERO!M18&lt;&gt;"TB","",'AL-EQ'!G151)</f>
        <v/>
      </c>
      <c r="E265" s="638" t="str">
        <f>IF(TABLERO!M18&lt;&gt;"TB","",'AL-EQ'!H151)</f>
        <v/>
      </c>
      <c r="F265" s="621" t="str">
        <f>IF(TABLERO!M18&lt;&gt;"TB","",'AL-EQ'!I151)</f>
        <v/>
      </c>
    </row>
    <row r="266" spans="1:7">
      <c r="A266" s="611" t="str">
        <f>IF(TABLERO!M18&lt;&gt;"TB","Ic =","")</f>
        <v>Ic =</v>
      </c>
      <c r="B266" s="622">
        <f>IF(OR(TABLERO!M18="UPS",TABLERO!M18="REG"),'AL-EQ'!H151,IF(TABLERO!M18&lt;&gt;"TB",IF(TABLERO!M18="TR",'AL-EQ'!H151,IF(TABLERO!M18="PE",'AL-EQ'!H151,TABLERO!DL116)),""))</f>
        <v>295.5859169732002</v>
      </c>
      <c r="C266" s="621" t="str">
        <f>IF(TABLERO!M18&lt;&gt;"TB","AMP.","")</f>
        <v>AMP.</v>
      </c>
      <c r="D266" s="615" t="str">
        <f>IF(TABLERO!M18&lt;&gt;"TB","",'AL-EQ'!G152)</f>
        <v/>
      </c>
      <c r="E266" s="638" t="str">
        <f>IF(TABLERO!M18&lt;&gt;"TB","",'AL-EQ'!H152)</f>
        <v/>
      </c>
      <c r="F266" s="621" t="str">
        <f>IF(TABLERO!M18&lt;&gt;"TB","",'AL-EQ'!I152)</f>
        <v/>
      </c>
    </row>
    <row r="267" spans="1:7">
      <c r="D267" s="615" t="str">
        <f>IF(TABLERO!M18&lt;&gt;"TB","",'AL-EQ'!G153)</f>
        <v/>
      </c>
      <c r="E267" s="638" t="str">
        <f>IF(TABLERO!M18&lt;&gt;"TB","",'AL-EQ'!H153)</f>
        <v/>
      </c>
      <c r="F267" s="621" t="str">
        <f>IF(TABLERO!M18&lt;&gt;"TB","",'AL-EQ'!I153)</f>
        <v/>
      </c>
    </row>
    <row r="268" spans="1:7">
      <c r="A268" s="594" t="str">
        <f>IF(TABLERO!M18&lt;&gt;"TB","CAP. DE INT. =","")</f>
        <v>CAP. DE INT. =</v>
      </c>
      <c r="B268" s="594"/>
      <c r="C268" s="622">
        <f>IF(OR(TABLERO!M18="UPS",TABLERO!M18="REG"),TABLERO!DL126,IF(TABLERO!M18&lt;&gt;"TB",IF(TABLERO!M18="TR",TABLERO!DL118,IF(TABLERO!M18="PE",TABLERO!DL124,TABLERO!DL116)),""))</f>
        <v>295.5859169732002</v>
      </c>
      <c r="D268" s="621" t="str">
        <f>IF(TABLERO!M18&lt;&gt;"TB","AMP.","")</f>
        <v>AMP.</v>
      </c>
      <c r="E268" s="638"/>
      <c r="F268" s="621"/>
    </row>
    <row r="269" spans="1:7" hidden="1">
      <c r="D269" s="615" t="str">
        <f>IF(TABLERO!M18&lt;&gt;"TB","",'AL-EQ'!G155)</f>
        <v/>
      </c>
      <c r="E269" s="638" t="str">
        <f>IF(TABLERO!M18&lt;&gt;"TB","",'AL-EQ'!H155)</f>
        <v/>
      </c>
      <c r="F269" s="621" t="str">
        <f>IF(TABLERO!M18&lt;&gt;"TB","",'AL-EQ'!I155)</f>
        <v/>
      </c>
    </row>
    <row r="270" spans="1:7" hidden="1">
      <c r="D270" s="615" t="str">
        <f>IF(TABLERO!M18&lt;&gt;"TB","",'AL-EQ'!G156)</f>
        <v/>
      </c>
      <c r="E270" s="638" t="str">
        <f>IF(TABLERO!M18&lt;&gt;"TB","",'AL-EQ'!H156)</f>
        <v/>
      </c>
      <c r="F270" s="621"/>
    </row>
    <row r="271" spans="1:7" ht="6" hidden="1" customHeight="1">
      <c r="D271" s="615" t="str">
        <f>IF(TABLERO!M18&lt;&gt;"TB","",'AL-EQ'!G157)</f>
        <v/>
      </c>
      <c r="E271" s="638" t="str">
        <f>IF(TABLERO!M18&lt;&gt;"TB","",'AL-EQ'!H157)</f>
        <v/>
      </c>
      <c r="F271" s="621" t="str">
        <f>IF(TABLERO!M18&lt;&gt;"TB","",'AL-EQ'!I157)</f>
        <v/>
      </c>
    </row>
    <row r="272" spans="1:7" hidden="1">
      <c r="D272" s="615" t="str">
        <f>IF(TABLERO!M18&lt;&gt;"TB","",'AL-EQ'!G158)</f>
        <v/>
      </c>
      <c r="E272" s="638" t="str">
        <f>IF(TABLERO!M18&lt;&gt;"TB","",'AL-EQ'!H158)</f>
        <v/>
      </c>
      <c r="F272" s="621" t="str">
        <f>IF(TABLERO!M18&lt;&gt;"TB","",'AL-EQ'!I158)</f>
        <v/>
      </c>
    </row>
    <row r="273" spans="1:6">
      <c r="A273" s="593" t="s">
        <v>251</v>
      </c>
      <c r="B273" s="628">
        <f>E115</f>
        <v>3</v>
      </c>
      <c r="C273" s="611" t="s">
        <v>252</v>
      </c>
      <c r="D273" s="627">
        <f>IF(OR(TABLERO!M18="UPS",TABLERO!M18="REG"),TABLERO!BW126,IF(TABLERO!M18="TR",TABLERO!BW118,IF(TABLERO!M18="PE",TABLERO!BW124,TABLERO!BW116)))</f>
        <v>300</v>
      </c>
      <c r="E273" s="593" t="s">
        <v>862</v>
      </c>
    </row>
    <row r="275" spans="1:6" s="777" customFormat="1" ht="15.6">
      <c r="A275" s="777" t="s">
        <v>861</v>
      </c>
    </row>
    <row r="276" spans="1:6">
      <c r="A276" s="593" t="s">
        <v>221</v>
      </c>
    </row>
    <row r="277" spans="1:6">
      <c r="A277" s="593" t="s">
        <v>853</v>
      </c>
    </row>
    <row r="278" spans="1:6">
      <c r="A278" s="593" t="s">
        <v>831</v>
      </c>
    </row>
    <row r="280" spans="1:6">
      <c r="A280" s="627">
        <f>E116*B190</f>
        <v>4</v>
      </c>
      <c r="B280" s="593" t="s">
        <v>250</v>
      </c>
      <c r="C280" s="642" t="str">
        <f>B191</f>
        <v>3/0</v>
      </c>
      <c r="D280" s="593" t="s">
        <v>53</v>
      </c>
      <c r="E280" s="593" t="s">
        <v>832</v>
      </c>
      <c r="F280" s="593" t="str">
        <f>IF(E119&lt;&gt;"AL","de Cobre","de Aluminio")</f>
        <v>de Aluminio</v>
      </c>
    </row>
    <row r="281" spans="1:6">
      <c r="A281" s="611">
        <f>A282</f>
        <v>1</v>
      </c>
      <c r="B281" s="615" t="s">
        <v>292</v>
      </c>
      <c r="C281" s="642">
        <f>IF(TABLERO!M18="TR",TABLERO!CA118,IF(TABLERO!M18="PE",TABLERO!CA124,TABLERO!CA116))</f>
        <v>4</v>
      </c>
      <c r="D281" s="593" t="s">
        <v>253</v>
      </c>
      <c r="E281" s="593" t="s">
        <v>863</v>
      </c>
      <c r="F281" s="593" t="str">
        <f>IF(E119&lt;&gt;"AL","de Cobre","de Aluminio")</f>
        <v>de Aluminio</v>
      </c>
    </row>
    <row r="282" spans="1:6">
      <c r="A282" s="613">
        <f>IF(TABLERO!M18="TR",TABLERO!O118,IF(TABLERO!M18="PE",TABLERO!O124,TABLERO!O116))</f>
        <v>1</v>
      </c>
      <c r="B282" s="621"/>
      <c r="C282" s="642" t="str">
        <f>IF(OR(TABLERO!M18="UPS",TABLERO!M18="REG"),TABLERO!CB126,IF(TABLERO!M18="TR",TABLERO!CB118,IF(TABLERO!M18="PE",TABLERO!CB124,TABLERO!CB116)))</f>
        <v>MC-STABILOY</v>
      </c>
      <c r="D282" s="621"/>
      <c r="E282" s="593" t="s">
        <v>254</v>
      </c>
    </row>
    <row r="283" spans="1:6">
      <c r="A283" s="593" t="str">
        <f>IF(E283&gt;800,"Protegido con un interruptor Electromágnetico de","Protegido con un interruptor Termomágnetico de")</f>
        <v>Protegido con un interruptor Termomágnetico de</v>
      </c>
      <c r="E283" s="642">
        <f>D273</f>
        <v>300</v>
      </c>
      <c r="F283" s="593" t="s">
        <v>591</v>
      </c>
    </row>
    <row r="285" spans="1:6">
      <c r="C285" s="644"/>
    </row>
    <row r="286" spans="1:6">
      <c r="B286" s="593" t="s">
        <v>280</v>
      </c>
    </row>
    <row r="287" spans="1:6">
      <c r="B287" s="611" t="s">
        <v>56</v>
      </c>
      <c r="C287" s="611" t="s">
        <v>57</v>
      </c>
      <c r="D287" s="611"/>
    </row>
    <row r="288" spans="1:6">
      <c r="B288" s="611"/>
      <c r="C288" s="611"/>
      <c r="D288" s="611"/>
    </row>
    <row r="289" spans="2:4">
      <c r="B289" s="611">
        <v>0</v>
      </c>
      <c r="C289" s="611" t="s">
        <v>58</v>
      </c>
      <c r="D289" s="622">
        <v>2.0821000000000001</v>
      </c>
    </row>
    <row r="290" spans="2:4">
      <c r="B290" s="611">
        <v>2.0821000000000001</v>
      </c>
      <c r="C290" s="611" t="s">
        <v>59</v>
      </c>
      <c r="D290" s="622">
        <v>3.3071000000000002</v>
      </c>
    </row>
    <row r="291" spans="2:4">
      <c r="B291" s="611">
        <v>3.3071000000000002</v>
      </c>
      <c r="C291" s="611" t="s">
        <v>60</v>
      </c>
      <c r="D291" s="622">
        <v>5.2601000000000004</v>
      </c>
    </row>
    <row r="292" spans="2:4">
      <c r="B292" s="611">
        <v>5.2601000000000004</v>
      </c>
      <c r="C292" s="611" t="s">
        <v>61</v>
      </c>
      <c r="D292" s="622">
        <v>8.3671000000000006</v>
      </c>
    </row>
    <row r="293" spans="2:4">
      <c r="B293" s="611">
        <v>8.3671000000000006</v>
      </c>
      <c r="C293" s="611" t="s">
        <v>62</v>
      </c>
      <c r="D293" s="622">
        <v>13.301</v>
      </c>
    </row>
    <row r="294" spans="2:4">
      <c r="B294" s="611">
        <v>13.301</v>
      </c>
      <c r="C294" s="611" t="s">
        <v>63</v>
      </c>
      <c r="D294" s="622">
        <v>21.151</v>
      </c>
    </row>
    <row r="295" spans="2:4">
      <c r="B295" s="611">
        <v>21.151</v>
      </c>
      <c r="C295" s="611" t="s">
        <v>64</v>
      </c>
      <c r="D295" s="622">
        <v>33.621000000000002</v>
      </c>
    </row>
    <row r="296" spans="2:4">
      <c r="B296" s="611">
        <v>33.621000000000002</v>
      </c>
      <c r="C296" s="611" t="s">
        <v>65</v>
      </c>
      <c r="D296" s="622">
        <v>53.481000000000002</v>
      </c>
    </row>
    <row r="297" spans="2:4">
      <c r="B297" s="611">
        <v>53.481000000000002</v>
      </c>
      <c r="C297" s="611" t="s">
        <v>66</v>
      </c>
      <c r="D297" s="622">
        <v>67.430999999999997</v>
      </c>
    </row>
    <row r="298" spans="2:4">
      <c r="B298" s="611">
        <v>67.430999999999997</v>
      </c>
      <c r="C298" s="611" t="s">
        <v>67</v>
      </c>
      <c r="D298" s="622">
        <v>85.010999999999996</v>
      </c>
    </row>
    <row r="299" spans="2:4">
      <c r="B299" s="611">
        <v>85.010999999999996</v>
      </c>
      <c r="C299" s="611" t="s">
        <v>68</v>
      </c>
      <c r="D299" s="622">
        <v>107.20099999999999</v>
      </c>
    </row>
    <row r="300" spans="2:4">
      <c r="B300" s="611">
        <v>107.20099999999999</v>
      </c>
      <c r="C300" s="611" t="s">
        <v>69</v>
      </c>
      <c r="D300" s="622">
        <v>126.70099999999999</v>
      </c>
    </row>
    <row r="301" spans="2:4">
      <c r="B301" s="611">
        <v>126.70099999999999</v>
      </c>
      <c r="C301" s="611" t="s">
        <v>70</v>
      </c>
      <c r="D301" s="622">
        <v>152.001</v>
      </c>
    </row>
    <row r="302" spans="2:4">
      <c r="B302" s="611">
        <v>152.001</v>
      </c>
      <c r="C302" s="611" t="s">
        <v>71</v>
      </c>
      <c r="D302" s="622">
        <v>202.70099999999999</v>
      </c>
    </row>
    <row r="303" spans="2:4">
      <c r="B303" s="611">
        <v>202.70099999999999</v>
      </c>
      <c r="C303" s="611" t="s">
        <v>72</v>
      </c>
      <c r="D303" s="622">
        <v>253.40100000000001</v>
      </c>
    </row>
    <row r="304" spans="2:4">
      <c r="B304" s="611">
        <v>253.40100000000001</v>
      </c>
      <c r="C304" s="611" t="s">
        <v>73</v>
      </c>
      <c r="D304" s="622">
        <v>380.00099999999998</v>
      </c>
    </row>
    <row r="305" spans="2:4">
      <c r="B305" s="611">
        <v>380.00099999999998</v>
      </c>
      <c r="C305" s="611" t="s">
        <v>74</v>
      </c>
      <c r="D305" s="622">
        <v>506.70100000000002</v>
      </c>
    </row>
  </sheetData>
  <sheetProtection algorithmName="SHA-512" hashValue="ESUaGyIFgT1aZ5LNZgcfDzkSWg3kLD9WckfEBkh96K/O4nMO/T0zHPNvD8agtC+hMRiJH7LmY352RepkMJr4aQ==" saltValue="d3AqxVETOr0QExGAYTn4Vw==" spinCount="100000" sheet="1" objects="1" scenarios="1"/>
  <mergeCells count="12">
    <mergeCell ref="A255:C255"/>
    <mergeCell ref="A231:E231"/>
    <mergeCell ref="A232:E232"/>
    <mergeCell ref="A233:E233"/>
    <mergeCell ref="A235:E235"/>
    <mergeCell ref="A253:C253"/>
    <mergeCell ref="A155:D155"/>
    <mergeCell ref="A157:D157"/>
    <mergeCell ref="A158:D158"/>
    <mergeCell ref="A251:C251"/>
    <mergeCell ref="A252:C252"/>
    <mergeCell ref="A230:E230"/>
  </mergeCells>
  <phoneticPr fontId="6" type="noConversion"/>
  <printOptions horizontalCentered="1"/>
  <pageMargins left="0.19685039370078741" right="0.15748031496062992" top="0.78740157480314965" bottom="0.19685039370078741" header="0.19685039370078741" footer="0.27559055118110237"/>
  <pageSetup scale="93" orientation="portrait" horizontalDpi="300" verticalDpi="300" r:id="rId1"/>
  <headerFooter alignWithMargins="0">
    <oddHeader>&amp;L&amp;"Frutiger-Light,Normal"&amp;U
&amp;UCables de Baja Tensión&amp;R&amp;"Frutiger-Light,Negrita"&amp;U
&amp;U&amp;P/&amp;N</oddHeader>
  </headerFooter>
  <rowBreaks count="5" manualBreakCount="5">
    <brk id="49" max="16383" man="1"/>
    <brk id="102" max="6" man="1"/>
    <brk id="159" max="6" man="1"/>
    <brk id="216" max="6" man="1"/>
    <brk id="283" max="6" man="1"/>
  </rowBreaks>
  <drawing r:id="rId2"/>
  <legacyDrawing r:id="rId3"/>
  <oleObjects>
    <mc:AlternateContent xmlns:mc="http://schemas.openxmlformats.org/markup-compatibility/2006">
      <mc:Choice Requires="x14">
        <oleObject progId="Equation.DSMT4" shapeId="9218" r:id="rId4">
          <objectPr defaultSize="0" autoPict="0" r:id="rId5">
            <anchor moveWithCells="1">
              <from>
                <xdr:col>1</xdr:col>
                <xdr:colOff>419100</xdr:colOff>
                <xdr:row>221</xdr:row>
                <xdr:rowOff>121920</xdr:rowOff>
              </from>
              <to>
                <xdr:col>4</xdr:col>
                <xdr:colOff>228600</xdr:colOff>
                <xdr:row>227</xdr:row>
                <xdr:rowOff>68580</xdr:rowOff>
              </to>
            </anchor>
          </objectPr>
        </oleObject>
      </mc:Choice>
      <mc:Fallback>
        <oleObject progId="Equation.DSMT4" shapeId="9218" r:id="rId4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5:J89"/>
  <sheetViews>
    <sheetView showGridLines="0" view="pageBreakPreview" zoomScale="60" zoomScaleNormal="75" workbookViewId="0">
      <selection activeCell="B47" sqref="B47"/>
    </sheetView>
  </sheetViews>
  <sheetFormatPr baseColWidth="10" defaultColWidth="0" defaultRowHeight="13.2"/>
  <cols>
    <col min="1" max="4" width="11.44140625" style="799" customWidth="1"/>
    <col min="5" max="5" width="16.5546875" style="799" customWidth="1"/>
    <col min="6" max="6" width="14.109375" style="799" customWidth="1"/>
    <col min="7" max="7" width="11.44140625" style="799" customWidth="1"/>
    <col min="8" max="16384" width="0" style="799" hidden="1"/>
  </cols>
  <sheetData>
    <row r="15" spans="1:8" ht="17.399999999999999">
      <c r="A15" s="797" t="s">
        <v>204</v>
      </c>
      <c r="B15" s="798"/>
      <c r="C15" s="798"/>
      <c r="D15" s="798"/>
      <c r="E15" s="798"/>
      <c r="F15" s="798"/>
      <c r="G15" s="798"/>
      <c r="H15" s="798"/>
    </row>
    <row r="21" spans="1:8" ht="17.399999999999999">
      <c r="A21" s="1234" t="s">
        <v>352</v>
      </c>
      <c r="B21" s="1234"/>
      <c r="C21" s="1234"/>
      <c r="D21" s="1234"/>
      <c r="E21" s="1234"/>
      <c r="F21" s="1234"/>
      <c r="G21" s="1234"/>
      <c r="H21" s="798"/>
    </row>
    <row r="22" spans="1:8" ht="17.399999999999999">
      <c r="A22" s="1234" t="s">
        <v>529</v>
      </c>
      <c r="B22" s="1234"/>
      <c r="C22" s="1234"/>
      <c r="D22" s="1234"/>
      <c r="E22" s="1234"/>
      <c r="F22" s="1234"/>
      <c r="G22" s="1234"/>
    </row>
    <row r="26" spans="1:8" ht="17.399999999999999">
      <c r="A26" s="1235" t="str">
        <f>TABLERO!E1</f>
        <v>TRAFO 112.5 KVA-TAB-G</v>
      </c>
      <c r="B26" s="1235"/>
      <c r="C26" s="1235"/>
      <c r="D26" s="1235"/>
      <c r="E26" s="1235"/>
      <c r="F26" s="1235"/>
      <c r="G26" s="1235"/>
      <c r="H26" s="798"/>
    </row>
    <row r="27" spans="1:8" ht="17.399999999999999">
      <c r="A27" s="1235"/>
      <c r="B27" s="1235"/>
      <c r="C27" s="1235"/>
      <c r="D27" s="1235"/>
      <c r="E27" s="1235"/>
      <c r="F27" s="1235"/>
      <c r="G27" s="1235"/>
      <c r="H27" s="798"/>
    </row>
    <row r="28" spans="1:8" ht="17.399999999999999">
      <c r="A28" s="797"/>
      <c r="B28" s="798"/>
      <c r="C28" s="798"/>
      <c r="D28" s="798"/>
      <c r="E28" s="798"/>
      <c r="F28" s="798"/>
      <c r="G28" s="798"/>
      <c r="H28" s="798"/>
    </row>
    <row r="29" spans="1:8" ht="17.399999999999999">
      <c r="A29" s="797"/>
      <c r="B29" s="798"/>
      <c r="C29" s="798"/>
      <c r="D29" s="798"/>
      <c r="E29" s="798"/>
      <c r="F29" s="798"/>
      <c r="G29" s="798"/>
      <c r="H29" s="798"/>
    </row>
    <row r="30" spans="1:8" ht="17.399999999999999">
      <c r="A30" s="797"/>
      <c r="B30" s="798"/>
      <c r="C30" s="798"/>
      <c r="D30" s="798"/>
      <c r="E30" s="798"/>
      <c r="F30" s="798"/>
      <c r="G30" s="798"/>
      <c r="H30" s="798"/>
    </row>
    <row r="31" spans="1:8" ht="17.399999999999999">
      <c r="A31" s="797"/>
      <c r="B31" s="798"/>
      <c r="C31" s="798"/>
      <c r="D31" s="798"/>
      <c r="E31" s="798"/>
      <c r="F31" s="798"/>
      <c r="G31" s="798"/>
      <c r="H31" s="798"/>
    </row>
    <row r="34" spans="1:10">
      <c r="A34" s="799" t="s">
        <v>221</v>
      </c>
    </row>
    <row r="35" spans="1:10" ht="17.399999999999999">
      <c r="A35" s="797"/>
      <c r="B35" s="800" t="s">
        <v>0</v>
      </c>
      <c r="C35" s="801" t="str">
        <f>IF(TABLERO!F5=0,"",TABLERO!F5)</f>
        <v>BODEGA</v>
      </c>
    </row>
    <row r="37" spans="1:10" ht="17.399999999999999">
      <c r="B37" s="800" t="s">
        <v>530</v>
      </c>
      <c r="C37" s="802" t="str">
        <f>IF(TABLERO!M5=0,"",TABLERO!M5)</f>
        <v>YUNEXPRESS</v>
      </c>
    </row>
    <row r="41" spans="1:10" ht="17.399999999999999">
      <c r="A41" s="797"/>
      <c r="B41" s="803"/>
      <c r="C41" s="803"/>
      <c r="D41" s="803"/>
      <c r="E41" s="803"/>
      <c r="F41" s="803"/>
      <c r="G41" s="803"/>
      <c r="H41" s="803"/>
    </row>
    <row r="42" spans="1:10" ht="15.6">
      <c r="A42" s="804">
        <v>1.1000000000000001</v>
      </c>
      <c r="B42" s="805" t="s">
        <v>531</v>
      </c>
      <c r="C42" s="805"/>
      <c r="D42" s="805"/>
      <c r="E42" s="805"/>
      <c r="F42" s="805"/>
      <c r="H42" s="805"/>
      <c r="I42" s="805" t="s">
        <v>532</v>
      </c>
      <c r="J42" s="805"/>
    </row>
    <row r="43" spans="1:10" ht="15.6">
      <c r="A43" s="805"/>
      <c r="B43" s="805"/>
      <c r="C43" s="805"/>
      <c r="D43" s="805"/>
      <c r="E43" s="805"/>
      <c r="F43" s="805"/>
      <c r="H43" s="805"/>
      <c r="I43" s="805"/>
      <c r="J43" s="805"/>
    </row>
    <row r="44" spans="1:10" ht="15.6">
      <c r="A44" s="805"/>
      <c r="B44" s="805" t="s">
        <v>533</v>
      </c>
      <c r="C44" s="805"/>
      <c r="D44" s="805"/>
      <c r="E44" s="806">
        <f>TABLERO!AZ118/TABLERO!$F$14</f>
        <v>112.5</v>
      </c>
      <c r="F44" s="805" t="s">
        <v>373</v>
      </c>
      <c r="H44" s="805"/>
      <c r="I44" s="805"/>
      <c r="J44" s="805"/>
    </row>
    <row r="45" spans="1:10" ht="15.6">
      <c r="A45" s="805"/>
      <c r="B45" s="805" t="s">
        <v>534</v>
      </c>
      <c r="C45" s="805"/>
      <c r="D45" s="805"/>
      <c r="E45" s="805">
        <f>TABLERO!W10</f>
        <v>1.75</v>
      </c>
      <c r="F45" s="805"/>
      <c r="H45" s="805"/>
      <c r="I45" s="805"/>
      <c r="J45" s="805"/>
    </row>
    <row r="46" spans="1:10" ht="15.6">
      <c r="A46" s="805"/>
      <c r="B46" s="805" t="s">
        <v>28</v>
      </c>
      <c r="C46" s="805"/>
      <c r="D46" s="805"/>
      <c r="E46" s="805">
        <f>TABLERO!BV118</f>
        <v>220</v>
      </c>
      <c r="F46" s="805" t="s">
        <v>37</v>
      </c>
      <c r="H46" s="805"/>
      <c r="I46" s="805"/>
      <c r="J46" s="805"/>
    </row>
    <row r="47" spans="1:10" ht="15.6">
      <c r="A47" s="805"/>
      <c r="B47" s="805"/>
      <c r="C47" s="805"/>
      <c r="D47" s="805"/>
      <c r="E47" s="805"/>
      <c r="F47" s="805"/>
      <c r="H47" s="805"/>
      <c r="I47" s="805"/>
      <c r="J47" s="805"/>
    </row>
    <row r="48" spans="1:10" ht="15.6">
      <c r="A48" s="805"/>
      <c r="B48" s="807"/>
      <c r="C48" s="805"/>
      <c r="D48" s="805"/>
      <c r="E48" s="805"/>
      <c r="F48" s="805"/>
      <c r="H48" s="805"/>
      <c r="I48" s="805"/>
      <c r="J48" s="805"/>
    </row>
    <row r="49" spans="1:10" ht="15.6">
      <c r="A49" s="804" t="str">
        <f>"Icc = "&amp;E44&amp;" / (1.73 x 0."&amp;E46&amp;" x "&amp;(E45/100)&amp;") ="</f>
        <v>Icc = 112.5 / (1.73 x 0.220 x 0.0175) =</v>
      </c>
      <c r="B49" s="807"/>
      <c r="C49" s="807"/>
      <c r="D49" s="807"/>
      <c r="E49" s="808">
        <f>E44/(1.73*(E46/1000)*(E45/100))</f>
        <v>16890.62382704001</v>
      </c>
      <c r="F49" s="807" t="s">
        <v>32</v>
      </c>
      <c r="H49" s="807"/>
      <c r="I49" s="807"/>
      <c r="J49" s="807"/>
    </row>
    <row r="50" spans="1:10" ht="13.8">
      <c r="A50" s="809"/>
      <c r="B50" s="810"/>
      <c r="C50" s="811"/>
      <c r="D50" s="811"/>
      <c r="E50" s="811"/>
      <c r="F50" s="810"/>
      <c r="H50" s="811"/>
      <c r="I50" s="811"/>
      <c r="J50" s="811"/>
    </row>
    <row r="51" spans="1:10" ht="13.8">
      <c r="A51" s="809"/>
      <c r="B51" s="811"/>
      <c r="C51" s="811"/>
      <c r="D51" s="811"/>
      <c r="E51" s="811"/>
      <c r="F51" s="811"/>
      <c r="H51" s="811"/>
      <c r="I51" s="811"/>
      <c r="J51" s="811"/>
    </row>
    <row r="52" spans="1:10" ht="15.6">
      <c r="A52" s="804" t="s">
        <v>535</v>
      </c>
      <c r="B52" s="811"/>
      <c r="C52" s="811"/>
      <c r="D52" s="811"/>
      <c r="E52" s="811"/>
      <c r="F52" s="811"/>
      <c r="H52" s="811"/>
      <c r="I52" s="811"/>
      <c r="J52" s="811"/>
    </row>
    <row r="53" spans="1:10" ht="13.8">
      <c r="A53" s="812"/>
      <c r="B53" s="811"/>
      <c r="C53" s="811"/>
      <c r="D53" s="811"/>
      <c r="E53" s="811"/>
      <c r="F53" s="811"/>
      <c r="H53" s="811"/>
      <c r="I53" s="811"/>
      <c r="J53" s="811"/>
    </row>
    <row r="54" spans="1:10" ht="13.8">
      <c r="A54" s="809" t="s">
        <v>536</v>
      </c>
      <c r="B54" s="811"/>
      <c r="C54" s="811"/>
      <c r="D54" s="811"/>
      <c r="E54" s="811"/>
      <c r="F54" s="811"/>
      <c r="H54" s="811"/>
      <c r="I54" s="811"/>
      <c r="J54" s="811"/>
    </row>
    <row r="55" spans="1:10" ht="13.8">
      <c r="A55" s="809" t="s">
        <v>537</v>
      </c>
      <c r="B55" s="811"/>
      <c r="C55" s="811"/>
      <c r="D55" s="811"/>
      <c r="E55" s="811"/>
      <c r="F55" s="811"/>
      <c r="H55" s="811"/>
      <c r="I55" s="811"/>
      <c r="J55" s="811"/>
    </row>
    <row r="56" spans="1:10" ht="13.8">
      <c r="A56" s="809" t="s">
        <v>538</v>
      </c>
      <c r="B56" s="811"/>
      <c r="C56" s="811"/>
      <c r="D56" s="811"/>
      <c r="E56" s="811"/>
      <c r="F56" s="811"/>
      <c r="H56" s="811"/>
      <c r="I56" s="811"/>
      <c r="J56" s="811"/>
    </row>
    <row r="57" spans="1:10" ht="13.8">
      <c r="A57" s="812"/>
      <c r="B57" s="811"/>
      <c r="C57" s="811"/>
      <c r="D57" s="811" t="s">
        <v>539</v>
      </c>
      <c r="E57" s="811">
        <f>TABLERO!W11</f>
        <v>1</v>
      </c>
      <c r="F57" s="811"/>
      <c r="H57" s="811"/>
      <c r="I57" s="811"/>
      <c r="J57" s="811"/>
    </row>
    <row r="58" spans="1:10" ht="13.8">
      <c r="B58" s="812"/>
      <c r="C58" s="811"/>
      <c r="D58" s="811"/>
      <c r="E58" s="811"/>
      <c r="F58" s="811"/>
      <c r="G58" s="811"/>
      <c r="H58" s="811"/>
      <c r="I58" s="811"/>
      <c r="J58" s="811"/>
    </row>
    <row r="60" spans="1:10" ht="13.8">
      <c r="A60" s="809" t="s">
        <v>540</v>
      </c>
      <c r="B60" s="811"/>
      <c r="C60" s="811"/>
      <c r="D60" s="811"/>
      <c r="E60" s="811"/>
      <c r="F60" s="811"/>
      <c r="G60" s="811"/>
      <c r="H60" s="811"/>
    </row>
    <row r="61" spans="1:10" ht="13.8">
      <c r="A61" s="809" t="s">
        <v>541</v>
      </c>
      <c r="B61" s="811"/>
      <c r="C61" s="811"/>
      <c r="D61" s="811"/>
      <c r="E61" s="811"/>
      <c r="F61" s="811"/>
      <c r="G61" s="811"/>
      <c r="H61" s="811"/>
    </row>
    <row r="62" spans="1:10" ht="13.8">
      <c r="A62" s="809" t="s">
        <v>542</v>
      </c>
      <c r="B62" s="811"/>
      <c r="C62" s="811"/>
      <c r="D62" s="811"/>
      <c r="E62" s="811"/>
      <c r="F62" s="811"/>
      <c r="G62" s="811"/>
      <c r="H62" s="811"/>
    </row>
    <row r="63" spans="1:10" ht="13.8">
      <c r="A63" s="809"/>
      <c r="B63" s="811"/>
      <c r="C63" s="811"/>
      <c r="D63" s="811"/>
      <c r="E63" s="811"/>
      <c r="F63" s="811"/>
      <c r="G63" s="811"/>
      <c r="H63" s="811"/>
    </row>
    <row r="64" spans="1:10" ht="13.8">
      <c r="A64" s="809"/>
      <c r="B64" s="813" t="s">
        <v>543</v>
      </c>
      <c r="C64" s="811"/>
      <c r="D64" s="811"/>
      <c r="E64" s="811"/>
      <c r="F64" s="813" t="s">
        <v>544</v>
      </c>
      <c r="G64" s="811"/>
      <c r="H64" s="811"/>
    </row>
    <row r="65" spans="1:8" ht="13.8">
      <c r="A65" s="809"/>
      <c r="B65" s="813" t="s">
        <v>545</v>
      </c>
      <c r="C65" s="813"/>
      <c r="D65" s="813"/>
      <c r="E65" s="813"/>
      <c r="F65" s="813" t="s">
        <v>546</v>
      </c>
      <c r="G65" s="811"/>
      <c r="H65" s="811"/>
    </row>
    <row r="66" spans="1:8" ht="13.8">
      <c r="A66" s="809"/>
      <c r="B66" s="813">
        <v>0.5</v>
      </c>
      <c r="C66" s="813"/>
      <c r="D66" s="813"/>
      <c r="E66" s="813"/>
      <c r="F66" s="813">
        <v>1.65</v>
      </c>
      <c r="G66" s="811"/>
      <c r="H66" s="811"/>
    </row>
    <row r="67" spans="1:8" ht="13.8">
      <c r="A67" s="809"/>
      <c r="B67" s="813">
        <v>6</v>
      </c>
      <c r="C67" s="813"/>
      <c r="D67" s="813"/>
      <c r="E67" s="813"/>
      <c r="F67" s="813">
        <v>1.25</v>
      </c>
      <c r="G67" s="811"/>
      <c r="H67" s="811"/>
    </row>
    <row r="68" spans="1:8" ht="13.8">
      <c r="A68" s="809"/>
      <c r="B68" s="813">
        <v>15</v>
      </c>
      <c r="C68" s="813"/>
      <c r="D68" s="813"/>
      <c r="E68" s="813"/>
      <c r="F68" s="814">
        <v>1.1000000000000001</v>
      </c>
      <c r="G68" s="811"/>
      <c r="H68" s="811"/>
    </row>
    <row r="69" spans="1:8" ht="13.8">
      <c r="A69" s="809"/>
      <c r="B69" s="813" t="s">
        <v>547</v>
      </c>
      <c r="C69" s="813"/>
      <c r="D69" s="813"/>
      <c r="E69" s="813"/>
      <c r="F69" s="814">
        <v>1.1000000000000001</v>
      </c>
      <c r="G69" s="811"/>
      <c r="H69" s="811"/>
    </row>
    <row r="70" spans="1:8" ht="13.8">
      <c r="A70" s="809" t="s">
        <v>548</v>
      </c>
      <c r="B70" s="811"/>
      <c r="C70" s="811"/>
      <c r="D70" s="811"/>
      <c r="E70" s="811"/>
      <c r="F70" s="811"/>
      <c r="G70" s="811"/>
      <c r="H70" s="811"/>
    </row>
    <row r="71" spans="1:8" ht="13.8">
      <c r="A71" s="809" t="s">
        <v>549</v>
      </c>
      <c r="B71" s="811"/>
      <c r="C71" s="811"/>
      <c r="D71" s="811"/>
      <c r="E71" s="811"/>
      <c r="F71" s="811"/>
      <c r="G71" s="811"/>
      <c r="H71" s="811"/>
    </row>
    <row r="72" spans="1:8" ht="13.8">
      <c r="A72" s="809"/>
      <c r="B72" s="811"/>
      <c r="C72" s="811"/>
      <c r="D72" s="811"/>
      <c r="E72" s="811"/>
      <c r="F72" s="811"/>
      <c r="G72" s="811"/>
      <c r="H72" s="811"/>
    </row>
    <row r="73" spans="1:8" ht="13.8">
      <c r="A73" s="809" t="s">
        <v>550</v>
      </c>
      <c r="B73" s="811"/>
      <c r="C73" s="814">
        <f>E49</f>
        <v>16890.62382704001</v>
      </c>
      <c r="D73" s="813" t="s">
        <v>551</v>
      </c>
      <c r="E73" s="811">
        <f>TABLERO!W12</f>
        <v>1.25</v>
      </c>
      <c r="F73" s="815">
        <f>E49*E57*F67</f>
        <v>21113.279783800012</v>
      </c>
      <c r="G73" s="799" t="s">
        <v>257</v>
      </c>
      <c r="H73" s="811" t="s">
        <v>32</v>
      </c>
    </row>
    <row r="85" spans="1:2">
      <c r="A85" s="816"/>
      <c r="B85" s="816"/>
    </row>
    <row r="86" spans="1:2">
      <c r="A86" s="816"/>
      <c r="B86" s="816"/>
    </row>
    <row r="87" spans="1:2">
      <c r="A87" s="816"/>
      <c r="B87" s="816"/>
    </row>
    <row r="88" spans="1:2">
      <c r="A88" s="816"/>
      <c r="B88" s="816"/>
    </row>
    <row r="89" spans="1:2">
      <c r="A89" s="816"/>
      <c r="B89" s="816"/>
    </row>
  </sheetData>
  <sheetProtection algorithmName="SHA-512" hashValue="dq8q2cQNzLeamOwhaol4aUArtP43CqOe/j4nVjEI7G/xd4Dtasyz/08ft4lTILtuqCVAkxYtYV0AGpq/e9pmxQ==" saltValue="Wq05POdtl7Qlu1Fp88cr7Q==" spinCount="100000" sheet="1" objects="1" scenarios="1"/>
  <mergeCells count="4">
    <mergeCell ref="A21:G21"/>
    <mergeCell ref="A22:G22"/>
    <mergeCell ref="A26:G26"/>
    <mergeCell ref="A27:G27"/>
  </mergeCells>
  <printOptions horizontalCentered="1" gridLinesSet="0"/>
  <pageMargins left="0.78740157480314965" right="0.78740157480314965" top="1.1811023622047245" bottom="0.78740157480314965" header="0.51181102362204722" footer="0.51181102362204722"/>
  <pageSetup paperSize="152" fitToHeight="2" orientation="portrait" r:id="rId1"/>
  <headerFooter alignWithMargins="0"/>
  <rowBreaks count="1" manualBreakCount="1">
    <brk id="40" max="6" man="1"/>
  </rowBreaks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r:id="rId5">
            <anchor moveWithCells="1">
              <from>
                <xdr:col>4</xdr:col>
                <xdr:colOff>480060</xdr:colOff>
                <xdr:row>71</xdr:row>
                <xdr:rowOff>7620</xdr:rowOff>
              </from>
              <to>
                <xdr:col>4</xdr:col>
                <xdr:colOff>609600</xdr:colOff>
                <xdr:row>71</xdr:row>
                <xdr:rowOff>99060</xdr:rowOff>
              </to>
            </anchor>
          </objectPr>
        </oleObject>
      </mc:Choice>
      <mc:Fallback>
        <oleObject progId="Equation.3" shapeId="2252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TABLERO</vt:lpstr>
      <vt:lpstr>EJEMPLO</vt:lpstr>
      <vt:lpstr>TAB.</vt:lpstr>
      <vt:lpstr>RESUMEN</vt:lpstr>
      <vt:lpstr>CORRIENTES</vt:lpstr>
      <vt:lpstr>AL-TAB</vt:lpstr>
      <vt:lpstr>CONDUCTOR (1)</vt:lpstr>
      <vt:lpstr>CONDUCTOR (2)</vt:lpstr>
      <vt:lpstr>AL-EQ</vt:lpstr>
      <vt:lpstr>EQUIPO</vt:lpstr>
      <vt:lpstr>Icc</vt:lpstr>
      <vt:lpstr>'AL-EQ'!Área_de_impresión</vt:lpstr>
      <vt:lpstr>'AL-TAB'!Área_de_impresión</vt:lpstr>
      <vt:lpstr>EJEMPLO!Área_de_impresión</vt:lpstr>
      <vt:lpstr>EQUIPO!Área_de_impresión</vt:lpstr>
      <vt:lpstr>Icc!Área_de_impresión</vt:lpstr>
      <vt:lpstr>TAB.!Área_de_impresión</vt:lpstr>
      <vt:lpstr>RESUMEN!Títulos_a_imprimir</vt:lpstr>
    </vt:vector>
  </TitlesOfParts>
  <Company>AOSQUANTUM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AdolfoH</dc:creator>
  <cp:lastModifiedBy>Adolfo E. Hernández Rodríguez</cp:lastModifiedBy>
  <cp:lastPrinted>2025-12-02T01:02:15Z</cp:lastPrinted>
  <dcterms:created xsi:type="dcterms:W3CDTF">2007-06-05T22:13:05Z</dcterms:created>
  <dcterms:modified xsi:type="dcterms:W3CDTF">2026-04-22T15:36:21Z</dcterms:modified>
</cp:coreProperties>
</file>